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Astronomy 101 Week 1 Quiz (Resp" sheetId="2" r:id="rId6"/>
  </sheets>
  <definedNames/>
  <calcPr/>
</workbook>
</file>

<file path=xl/sharedStrings.xml><?xml version="1.0" encoding="utf-8"?>
<sst xmlns="http://schemas.openxmlformats.org/spreadsheetml/2006/main" count="20413" uniqueCount="4369">
  <si>
    <t>Timestamp</t>
  </si>
  <si>
    <t>Email id</t>
  </si>
  <si>
    <t>Name</t>
  </si>
  <si>
    <t>Code</t>
  </si>
  <si>
    <t>Score</t>
  </si>
  <si>
    <t>Sent</t>
  </si>
  <si>
    <t>Error</t>
  </si>
  <si>
    <t>Contact number</t>
  </si>
  <si>
    <t>College</t>
  </si>
  <si>
    <t>Are you a member of Equinox ?</t>
  </si>
  <si>
    <t xml:space="preserve">Which module are you most interested in? </t>
  </si>
  <si>
    <t>What are your expectations from this course?</t>
  </si>
  <si>
    <t>ayush.biswas@iitg.ac.in</t>
  </si>
  <si>
    <t>Ayush Biswas</t>
  </si>
  <si>
    <t>YES</t>
  </si>
  <si>
    <t>IITG</t>
  </si>
  <si>
    <t>No</t>
  </si>
  <si>
    <t>Theoretical Module, Computational Module, Observational Module</t>
  </si>
  <si>
    <t>tejas.khanna@iitg.ac.in</t>
  </si>
  <si>
    <t xml:space="preserve">Tejas Khanna </t>
  </si>
  <si>
    <t xml:space="preserve">IITG </t>
  </si>
  <si>
    <t>Theoretical Module, Computational Module</t>
  </si>
  <si>
    <t>theajantahajong01@gmail.com</t>
  </si>
  <si>
    <t xml:space="preserve">Ajanta Hajong </t>
  </si>
  <si>
    <t xml:space="preserve">Cotton University </t>
  </si>
  <si>
    <t>Theoretical Module, Observational Module</t>
  </si>
  <si>
    <t xml:space="preserve">To learn some basics of astronomy </t>
  </si>
  <si>
    <t>m.jinay@iitg.ac.in</t>
  </si>
  <si>
    <t xml:space="preserve">Jinay Mehta </t>
  </si>
  <si>
    <t xml:space="preserve">IIT Guwahati </t>
  </si>
  <si>
    <t>s.spoorthi@iitg.ac.in</t>
  </si>
  <si>
    <t xml:space="preserve">Spoorthi </t>
  </si>
  <si>
    <t xml:space="preserve">IIT GUWAHATI </t>
  </si>
  <si>
    <t>Yes</t>
  </si>
  <si>
    <t xml:space="preserve">To learn more about the universe and how to use computational  methods </t>
  </si>
  <si>
    <t>v.sakshi@iitg.ac.in</t>
  </si>
  <si>
    <t xml:space="preserve">Sakshi Vatsa </t>
  </si>
  <si>
    <t>raushank1042@iitg.ac.in</t>
  </si>
  <si>
    <t xml:space="preserve">Raushan kumar </t>
  </si>
  <si>
    <t xml:space="preserve">Iitg </t>
  </si>
  <si>
    <t>h.pasari@iitg.ac.in</t>
  </si>
  <si>
    <t>Harsh Pasari</t>
  </si>
  <si>
    <t>IIT G</t>
  </si>
  <si>
    <t>Computational Module, Observational Module</t>
  </si>
  <si>
    <t xml:space="preserve">Learn more about how to observer the night sky being a night sky photographer , and how are the  various values calculated so accurately despite universe being so random and vast </t>
  </si>
  <si>
    <t>y.patel@iitg.ac.in</t>
  </si>
  <si>
    <t>Yashvardhan Patel</t>
  </si>
  <si>
    <t>Theoretical Module</t>
  </si>
  <si>
    <t>anjali.patel@iitg.ac.in</t>
  </si>
  <si>
    <t xml:space="preserve">Anjali Patel </t>
  </si>
  <si>
    <t>Learn something new and gain some knowledge in this field.</t>
  </si>
  <si>
    <t>manvendracharan9@gmail.com</t>
  </si>
  <si>
    <t xml:space="preserve">Manvendra Singh Charan </t>
  </si>
  <si>
    <t>.</t>
  </si>
  <si>
    <t>ashutosh.sharma1@iisi.iitg.ac.in</t>
  </si>
  <si>
    <t xml:space="preserve">Ashutosh Sharma </t>
  </si>
  <si>
    <t xml:space="preserve">MBM University Jodhpur </t>
  </si>
  <si>
    <t xml:space="preserve">To learn something new </t>
  </si>
  <si>
    <t>j.vidhi@iitg.ac.in</t>
  </si>
  <si>
    <t>Vidhi joshi</t>
  </si>
  <si>
    <t xml:space="preserve">IIT guwahati </t>
  </si>
  <si>
    <t>Computational Module</t>
  </si>
  <si>
    <t>alokk4009@iitg.ac.in</t>
  </si>
  <si>
    <t>Alok Kumar</t>
  </si>
  <si>
    <t>IIT Guwahati</t>
  </si>
  <si>
    <t>shaurya.jain@iitg.ac.in</t>
  </si>
  <si>
    <t>Shaurya jain</t>
  </si>
  <si>
    <t xml:space="preserve">Iit guwahati </t>
  </si>
  <si>
    <t>To learn something new</t>
  </si>
  <si>
    <t>abhinavkrish222@gmail.com</t>
  </si>
  <si>
    <t>Abhinav Krishna L</t>
  </si>
  <si>
    <t>ketans@iitg.ac.in</t>
  </si>
  <si>
    <t xml:space="preserve">Ketan Singh </t>
  </si>
  <si>
    <t xml:space="preserve">Indian Institute of Technology Guwahati </t>
  </si>
  <si>
    <t>kaurpsandhu07@gmail.com</t>
  </si>
  <si>
    <t>Parneet kaur</t>
  </si>
  <si>
    <t xml:space="preserve">Indian Institute of technology Guwahati </t>
  </si>
  <si>
    <t xml:space="preserve">I want to learn more about these things </t>
  </si>
  <si>
    <t>s.rebbapragada@iitg.ac.in</t>
  </si>
  <si>
    <t xml:space="preserve">Sruteesh Satya R </t>
  </si>
  <si>
    <t>t.tanisha@iitg.ac.in</t>
  </si>
  <si>
    <t xml:space="preserve">Tanisha Tembhare </t>
  </si>
  <si>
    <t>Observational Module</t>
  </si>
  <si>
    <t>d.joyshmit@iitg.ac.in</t>
  </si>
  <si>
    <t xml:space="preserve">Joyshmit Das </t>
  </si>
  <si>
    <t xml:space="preserve">Want to learn how ml concepts are applied to astronomy </t>
  </si>
  <si>
    <t>ankan.halder@iitg.ac.in</t>
  </si>
  <si>
    <t xml:space="preserve">Ankan Halder </t>
  </si>
  <si>
    <t xml:space="preserve">Learn more about galaxy </t>
  </si>
  <si>
    <t>m.jayanth@iitg.ac.in</t>
  </si>
  <si>
    <t>Jayanth Mummana</t>
  </si>
  <si>
    <t>anshitakalawat@gmail.com</t>
  </si>
  <si>
    <t>Anshita Kalawat</t>
  </si>
  <si>
    <t xml:space="preserve">The computational aspect interests me a lot because it combines astronomy with Python, data analysis, and machine learning, which are highly valuable skills for research and problem-solving. Also , I will be able to learn about telescopes, astrophotography, and real astronomical observations </t>
  </si>
  <si>
    <t>ipshitagargbts@gmail.com</t>
  </si>
  <si>
    <t>Ipshita Garg</t>
  </si>
  <si>
    <t>To learn more about the universe, how to operate devices and participate in hackathons</t>
  </si>
  <si>
    <t>dspb.sr2023@gmail.com</t>
  </si>
  <si>
    <t xml:space="preserve">Devi Sri Priya </t>
  </si>
  <si>
    <t>To learn about the universe, things I always wonder about</t>
  </si>
  <si>
    <t>h.sinha@iitg.ac.in</t>
  </si>
  <si>
    <t xml:space="preserve">Hrishikesh sinha </t>
  </si>
  <si>
    <t>n.saumya@iitg.ac.in</t>
  </si>
  <si>
    <t xml:space="preserve">Saumya Nawandhar </t>
  </si>
  <si>
    <t>b.karishmita@iitg.ac.in</t>
  </si>
  <si>
    <t xml:space="preserve">Karishmita </t>
  </si>
  <si>
    <t>yuvrajs2264@gmail.com</t>
  </si>
  <si>
    <t>Yuvraj Singh</t>
  </si>
  <si>
    <t>adityaj4005@iitg.ac.in</t>
  </si>
  <si>
    <t>Aditya Jaiswal</t>
  </si>
  <si>
    <t>I want to explore space a lot and want to know the deep folded secret of space to mend my mind</t>
  </si>
  <si>
    <t>h.allu@iitg.ac.iin</t>
  </si>
  <si>
    <t>Allu Hemanth</t>
  </si>
  <si>
    <t>n.kinha@iitg.ac.in</t>
  </si>
  <si>
    <t xml:space="preserve">Nitin Kinha </t>
  </si>
  <si>
    <t>t.kritika@iitg.ac.in</t>
  </si>
  <si>
    <t xml:space="preserve">Kritika Tulsyan </t>
  </si>
  <si>
    <t xml:space="preserve">To learn and explore the field of astronomy </t>
  </si>
  <si>
    <t>e.linga@iitg.ac.in</t>
  </si>
  <si>
    <t xml:space="preserve">LINGA RAJA E </t>
  </si>
  <si>
    <t>j.savani@iitg.ac.in</t>
  </si>
  <si>
    <t xml:space="preserve">Jinen Jigneshbhai savani </t>
  </si>
  <si>
    <t>mitalisahu678@gmail.com</t>
  </si>
  <si>
    <t xml:space="preserve">Mitali Sahu </t>
  </si>
  <si>
    <t>m.bhatnagar@iitg.ac.in</t>
  </si>
  <si>
    <t xml:space="preserve">Manas bhatnagar </t>
  </si>
  <si>
    <t>To learn exciting things and make a good base in astronomy</t>
  </si>
  <si>
    <t>v.pyata@iitg.ac.in</t>
  </si>
  <si>
    <t>Vipul reddy pyata</t>
  </si>
  <si>
    <t>My primary expectation from this summer course is to build a strong foundational knowledge in astronomy and astrophysics by engaging with all three modules. From the theoretical module, I hope to understand the core physics governing celestial bodies. Through the computational and observational modules, I expect to gain practical, hands-on experience with astronomical data analysis, programming tools, and telescope data interpretation. Ultimately, I want to use this comprehensive exposure to explore potential research opportunities and contribute meaningfully to the Equinox club's future initiatives.</t>
  </si>
  <si>
    <t>s.atharv@iitg.ac.in</t>
  </si>
  <si>
    <t>Atharv Soni</t>
  </si>
  <si>
    <t>Iitg</t>
  </si>
  <si>
    <t>b.parth@iitg.ac.in</t>
  </si>
  <si>
    <t xml:space="preserve">Parth Bhangriya </t>
  </si>
  <si>
    <t>u.swayam@iitg.ac.in</t>
  </si>
  <si>
    <t>Swayam Upadhyaya</t>
  </si>
  <si>
    <t>r.ekalavya@iitg.ac.in</t>
  </si>
  <si>
    <t>Ekalavya Rathore</t>
  </si>
  <si>
    <t>bl0679947@gmail.com</t>
  </si>
  <si>
    <t xml:space="preserve">Bibek Lama </t>
  </si>
  <si>
    <t>k.hetal@iitg.ac.in</t>
  </si>
  <si>
    <t>Hetal Koul</t>
  </si>
  <si>
    <t>Indian Institute of Technology, Guwahati</t>
  </si>
  <si>
    <t>syed.hassan@iitg.ac.in</t>
  </si>
  <si>
    <t>Aayed</t>
  </si>
  <si>
    <t>r.amartya@op.iitg.ac.in</t>
  </si>
  <si>
    <t>Amartya Rishi</t>
  </si>
  <si>
    <t xml:space="preserve">To learn more about the space out there and observe. </t>
  </si>
  <si>
    <t>v.bheemavarapu@iitg.ac.in</t>
  </si>
  <si>
    <t>Vidhathri B</t>
  </si>
  <si>
    <t>n.gosavi@iitg.ac.in</t>
  </si>
  <si>
    <t>Soham Gosavi</t>
  </si>
  <si>
    <t>Indian Institute of Technology Guwahati</t>
  </si>
  <si>
    <t>k.gulshan@iitg.ac.in</t>
  </si>
  <si>
    <t>Gulshan kumar</t>
  </si>
  <si>
    <t>Jaideep1020@iitg.ac.in</t>
  </si>
  <si>
    <t>Jaideep</t>
  </si>
  <si>
    <t>s.munda@iitg.ac.in</t>
  </si>
  <si>
    <t>Satish Kumar Munda</t>
  </si>
  <si>
    <t>abhishriya@iitg.ac.in</t>
  </si>
  <si>
    <t>Abhishriya Singh</t>
  </si>
  <si>
    <t>y.tamboli@iitg.ac.in</t>
  </si>
  <si>
    <t xml:space="preserve">Yash Tamboli </t>
  </si>
  <si>
    <t>y.saikia@iitg.ac.in</t>
  </si>
  <si>
    <t>Yuvraj Saikia</t>
  </si>
  <si>
    <t>b.falak@iitg.ac.in</t>
  </si>
  <si>
    <t>Falak Baweja</t>
  </si>
  <si>
    <t>I hope to have great learnings and deepen my understanding and curiosity of astromony as well as the use of ml concepts in it.</t>
  </si>
  <si>
    <t>m.prarthana@iitg.ac.in</t>
  </si>
  <si>
    <t>Prarthana M</t>
  </si>
  <si>
    <t>different timings for different courses</t>
  </si>
  <si>
    <t>s.samantray@iitg.ac.in</t>
  </si>
  <si>
    <t>Shreyas Samantray</t>
  </si>
  <si>
    <t>r.monalisha@iitg.ac.in</t>
  </si>
  <si>
    <t>MONALISHA RABHA</t>
  </si>
  <si>
    <t>to learn more about Astronomy</t>
  </si>
  <si>
    <t>mayank.arya@iitg.ac.in</t>
  </si>
  <si>
    <t>Mayank Arya</t>
  </si>
  <si>
    <t>toiyeb.ahangar@iitg.ac.in</t>
  </si>
  <si>
    <t>Toiyeb Ashiq Ahangar</t>
  </si>
  <si>
    <t>s.asolakr@iitg.ac.in</t>
  </si>
  <si>
    <t>Ganesh Sambhaji Asolkar</t>
  </si>
  <si>
    <t>vsamarth926@gmail.com</t>
  </si>
  <si>
    <t xml:space="preserve">Samarth Varshney </t>
  </si>
  <si>
    <t xml:space="preserve">Aligarh college of engineering and technology </t>
  </si>
  <si>
    <t>To enhance my knowledge…</t>
  </si>
  <si>
    <t>navamikhatmode@gmail.com</t>
  </si>
  <si>
    <t>Navami Santosh Khatmode</t>
  </si>
  <si>
    <t>ayushk4022@iitg.ac.in</t>
  </si>
  <si>
    <t xml:space="preserve">Ayush Kumar </t>
  </si>
  <si>
    <t xml:space="preserve">Indian institute of technology Guwahati </t>
  </si>
  <si>
    <t xml:space="preserve">Learning </t>
  </si>
  <si>
    <t>sachink3085@iitg.ac.in</t>
  </si>
  <si>
    <t>Sachin kumar</t>
  </si>
  <si>
    <t>kaustubh.patil@iitg.ac.in</t>
  </si>
  <si>
    <t xml:space="preserve">Kaustubh Patil </t>
  </si>
  <si>
    <t xml:space="preserve">Gain experience </t>
  </si>
  <si>
    <t>g.yuvraj@iitg.ac.in</t>
  </si>
  <si>
    <t>Yuvraj Gupta</t>
  </si>
  <si>
    <t>IITGuwahati</t>
  </si>
  <si>
    <t>archit.singal@iitg.ac.in</t>
  </si>
  <si>
    <t>Archit Singal</t>
  </si>
  <si>
    <t>t.chandana@iitg.ac.in</t>
  </si>
  <si>
    <t xml:space="preserve">Tatikonda Chandana </t>
  </si>
  <si>
    <t>To get deep into astronomy, to observe more than starry sky and explore different aspects of the sky. And also to get hands on experience in computational work in astronomy</t>
  </si>
  <si>
    <t xml:space="preserve">Gulshan Kumar </t>
  </si>
  <si>
    <t>sayedaymaan28@gmail.com</t>
  </si>
  <si>
    <t>Sayed Aymaan</t>
  </si>
  <si>
    <t>NIT Rourkela</t>
  </si>
  <si>
    <t>omprasad2105@gmail.com</t>
  </si>
  <si>
    <t>Omprasad Sahoo</t>
  </si>
  <si>
    <t xml:space="preserve">National Institute of Technology, Rourkela </t>
  </si>
  <si>
    <t>siddhapatra87@gmail.com</t>
  </si>
  <si>
    <t>Siddha Narayan Patra</t>
  </si>
  <si>
    <t>I am expecting that by the end of this course I would have learnt the programming skills required to combine observational data and theoretical knowledge to draw meaningful conclusions about the nature of the cosmos.</t>
  </si>
  <si>
    <t>shravani0744@gmail.com</t>
  </si>
  <si>
    <t>Shravani Anil Jadhav</t>
  </si>
  <si>
    <t xml:space="preserve">National Institute of Technology Calicut </t>
  </si>
  <si>
    <t xml:space="preserve">I hope this course helps me get stronger in my computational skills and to see how it connects to real world problems. </t>
  </si>
  <si>
    <t>singhiti105@gmail.com</t>
  </si>
  <si>
    <t xml:space="preserve">Iti singh </t>
  </si>
  <si>
    <t xml:space="preserve">Maulana Azad national institute of technology bhopal </t>
  </si>
  <si>
    <t>I have an affinity towards input of data science in the field of astronomy, as an ardent engineering student, the more I engage in the application of data science the more alluring it feels and I hope this course will help me to be a consummate person in this field by providing me a holistic view and conscientious towards computational module.</t>
  </si>
  <si>
    <t>solapurkarchaitanya@gmail.com</t>
  </si>
  <si>
    <t>Chaitanya Rao Solapurkar</t>
  </si>
  <si>
    <t>MANIT, Bhopal</t>
  </si>
  <si>
    <t>Learning something I've always had an interest in and apply it to create things....</t>
  </si>
  <si>
    <t>rajharsh3871@gmail.com</t>
  </si>
  <si>
    <t>HARSH KUMAR</t>
  </si>
  <si>
    <t>The LNM Institute of Information Technology, Jaipur</t>
  </si>
  <si>
    <t>devanshkatariya13@gmail.com</t>
  </si>
  <si>
    <t>Devansh Katariya</t>
  </si>
  <si>
    <t>LNMIIT</t>
  </si>
  <si>
    <t xml:space="preserve">To increase my knowledge in astrophotography </t>
  </si>
  <si>
    <t>imnishant2008@gmail.com</t>
  </si>
  <si>
    <t xml:space="preserve">Nishant Sharma </t>
  </si>
  <si>
    <t>jivyajain4062006@gmail.com</t>
  </si>
  <si>
    <t xml:space="preserve">Jivya Jain </t>
  </si>
  <si>
    <t>06freyag@gmail.com</t>
  </si>
  <si>
    <t>Tejasi Gaur</t>
  </si>
  <si>
    <t>Understanding the fundamentals of our universe and astronomy and learning the use of ML and data analysis in astronomy- gaining working knowledge and a deep understanding of it.</t>
  </si>
  <si>
    <t>theanegi10@gmail.com</t>
  </si>
  <si>
    <t>Thea Negi</t>
  </si>
  <si>
    <t>25ucs125@lnmiit.ac.in</t>
  </si>
  <si>
    <t>Ayush agarwal</t>
  </si>
  <si>
    <t xml:space="preserve">LNMIIT </t>
  </si>
  <si>
    <t>vanshika.kamal@iitg.ac.in</t>
  </si>
  <si>
    <t>Vanshika Kamal</t>
  </si>
  <si>
    <t>I just want to learn something new from this course</t>
  </si>
  <si>
    <t>yerragudishivani@gmail.com</t>
  </si>
  <si>
    <t xml:space="preserve">Sivani yerragudi </t>
  </si>
  <si>
    <t xml:space="preserve">NIT BHOPAL </t>
  </si>
  <si>
    <t>I want to improve my photography skills</t>
  </si>
  <si>
    <t>nishthajain897@gmail.com</t>
  </si>
  <si>
    <t>Nishtha</t>
  </si>
  <si>
    <t>suryawanshikamlesh18@gmail.com</t>
  </si>
  <si>
    <t xml:space="preserve">Kamlesh suryawanshi </t>
  </si>
  <si>
    <t xml:space="preserve">Maulana Azad National Institute of Technology Bhopal </t>
  </si>
  <si>
    <t xml:space="preserve">To learn something new that I don't know </t>
  </si>
  <si>
    <t>rakshandar.dd24.ph@nitp.ac.in</t>
  </si>
  <si>
    <t>Rakshanda Razi</t>
  </si>
  <si>
    <t>National Institute of Technology Patna</t>
  </si>
  <si>
    <t>I expect this course to help me build a strong foundation in astronomy while improving my computational and observational skills. I am excited to learn about astrophysics, Python-based data analysis, telescope handling, and astrophotography through both theory and practical experience.</t>
  </si>
  <si>
    <t>aditi.yadav@iitg.ac.in</t>
  </si>
  <si>
    <t>Aditi yadav</t>
  </si>
  <si>
    <t>sukanyau2121@gmail.com</t>
  </si>
  <si>
    <t xml:space="preserve">Sukanya </t>
  </si>
  <si>
    <t>drisya_b241440ed@nitc.ac.in</t>
  </si>
  <si>
    <t xml:space="preserve">DRISYA J </t>
  </si>
  <si>
    <t xml:space="preserve">National Institute of Technology calicut </t>
  </si>
  <si>
    <t>deepaliimishra111@gmail.com</t>
  </si>
  <si>
    <t xml:space="preserve">Deepali Mishra </t>
  </si>
  <si>
    <t xml:space="preserve">National Institute Of Technology Patna </t>
  </si>
  <si>
    <t>To learn something new.</t>
  </si>
  <si>
    <t>25111011132@stu.manit.ac.in</t>
  </si>
  <si>
    <t>Arnav Tiwari</t>
  </si>
  <si>
    <t xml:space="preserve">Maulana Azad national institute of technology </t>
  </si>
  <si>
    <t xml:space="preserve">To learn more about astronomy and space related topics </t>
  </si>
  <si>
    <t>arthavibhati@gmail.com</t>
  </si>
  <si>
    <t xml:space="preserve">Arthavi Bhati </t>
  </si>
  <si>
    <t xml:space="preserve">Maulana Azad National Institute of Technology, Bhopal </t>
  </si>
  <si>
    <t>To learn more about Astronomy and gain knowledge. This is a platform that'll help me become more efficient in a field that is very rare for students to master in.</t>
  </si>
  <si>
    <t>roshanchenglei@gmail.com</t>
  </si>
  <si>
    <t xml:space="preserve">Khundongbam Roshan Chenglei </t>
  </si>
  <si>
    <t xml:space="preserve">Bangalore University </t>
  </si>
  <si>
    <t>sivada_b241454ed@nitc.ac.in</t>
  </si>
  <si>
    <t>Sivada S</t>
  </si>
  <si>
    <t xml:space="preserve">NIT Calicut </t>
  </si>
  <si>
    <t>anagha_b241431ed@nitc.ac.in</t>
  </si>
  <si>
    <t>Anagha Ak</t>
  </si>
  <si>
    <t xml:space="preserve">National institute of technology, Calicut </t>
  </si>
  <si>
    <t xml:space="preserve">To know more about astronomy </t>
  </si>
  <si>
    <t>shinthaheibihaobijam1@gmail.com</t>
  </si>
  <si>
    <t xml:space="preserve">Shinthaheibi Haobijam </t>
  </si>
  <si>
    <t xml:space="preserve">DM College of Science </t>
  </si>
  <si>
    <t>To learn new things</t>
  </si>
  <si>
    <t>krystal.stellariz@gmail.com</t>
  </si>
  <si>
    <t xml:space="preserve">Rajkumari Kajal Devi </t>
  </si>
  <si>
    <t>Graduated Master's Degree from Amity University Noida</t>
  </si>
  <si>
    <t xml:space="preserve">I expect to build a solid foundation in astronomy, both theoretically and practically. I’m particularly interested in learning how more computational tools are applied in astrophysics along with gaining hands-on experience in observation and data analysis. This course will help me with my goals of pursuing further research in astrophysics. </t>
  </si>
  <si>
    <t>dipakningthouja123@gmail.com</t>
  </si>
  <si>
    <t xml:space="preserve">Ningthoujam Dipak Singh </t>
  </si>
  <si>
    <t>09863860376</t>
  </si>
  <si>
    <t xml:space="preserve">Kristu Jayanti College </t>
  </si>
  <si>
    <t>I expect to improve my understanding of astronomy and astrophysics through both theoretical and practical learning. I am especially interested in computational astronomy, observational techniques, and learning how tools like Python and data analysis are used in modern astronomy. I also hope to gain hands-on experience and interact with people who share similar interests in space science.</t>
  </si>
  <si>
    <t>prathamlodha31@gmail.com</t>
  </si>
  <si>
    <t>Pratham Lodha</t>
  </si>
  <si>
    <t>NIT-Hamirpur</t>
  </si>
  <si>
    <t>mnncsrma@gmail.com</t>
  </si>
  <si>
    <t xml:space="preserve">Manoharmayum Nancy Sharma </t>
  </si>
  <si>
    <t xml:space="preserve">Manipur University </t>
  </si>
  <si>
    <t>I hope to learn how data science and Astrophysics are interconnected</t>
  </si>
  <si>
    <t>architadas250@gmail.com</t>
  </si>
  <si>
    <t>Archita Das</t>
  </si>
  <si>
    <t>NIT Durgapur</t>
  </si>
  <si>
    <t>dewangagarwal311@gmail.com</t>
  </si>
  <si>
    <t xml:space="preserve">Dewang Agarwal </t>
  </si>
  <si>
    <t>ojasvi7061@iitg.ac.in</t>
  </si>
  <si>
    <t>Ojasvi</t>
  </si>
  <si>
    <t>sanusingh8390@gmail.com</t>
  </si>
  <si>
    <t>Sanu Singh</t>
  </si>
  <si>
    <t>Learn more about the cosmos. And it would help me to participate in hackathons and competitions in the future.</t>
  </si>
  <si>
    <t>adityalodhi27@gmail.com</t>
  </si>
  <si>
    <t>Aditya Singh Lodhi</t>
  </si>
  <si>
    <t>MANIT Bhopal</t>
  </si>
  <si>
    <t>k.gnanendra@iitg.ac.in</t>
  </si>
  <si>
    <t xml:space="preserve">Gnanendra kumar </t>
  </si>
  <si>
    <t xml:space="preserve">Learn more about space </t>
  </si>
  <si>
    <t>mahambreysuhit@gmail.com</t>
  </si>
  <si>
    <t xml:space="preserve">Suhit Mahambrey </t>
  </si>
  <si>
    <t>25dec026@lnmiit.ac.in</t>
  </si>
  <si>
    <t>Gaurav mangal</t>
  </si>
  <si>
    <t>Lnm institute of information technology</t>
  </si>
  <si>
    <t>I hope to widen my understanding of astronomy, learn practical and computational skills, and work on meaningful projects with passionate people who share the same curiosity as me about the cosmos.</t>
  </si>
  <si>
    <t>singh.sushil240606@gmail.com</t>
  </si>
  <si>
    <t xml:space="preserve">Sushil Singh Chauhan </t>
  </si>
  <si>
    <t>Getting good at Astrophotography</t>
  </si>
  <si>
    <t>konsamkorou4@gmail.com</t>
  </si>
  <si>
    <t>Konsham Korounganba Singh</t>
  </si>
  <si>
    <t>Chandigarh University Mohali</t>
  </si>
  <si>
    <t>I want to learn how machine learning can help in exploring the space</t>
  </si>
  <si>
    <t>ericbenoy2005@gmail.com</t>
  </si>
  <si>
    <t xml:space="preserve">Eric Tom Benoy </t>
  </si>
  <si>
    <t xml:space="preserve">NIT CALICUT </t>
  </si>
  <si>
    <t xml:space="preserve">Hope it to be constructive and helpful. </t>
  </si>
  <si>
    <t>shrivardhansangavkar@gmail.com</t>
  </si>
  <si>
    <t xml:space="preserve">Shrivardhan Satyajeet Sangavkar </t>
  </si>
  <si>
    <t>b.aneesh@iitg.ac.in</t>
  </si>
  <si>
    <t xml:space="preserve">Aneesh Bhate </t>
  </si>
  <si>
    <t>piyushk2038@iitg.ac.in</t>
  </si>
  <si>
    <t xml:space="preserve">Piyush Kumar </t>
  </si>
  <si>
    <t>IITGWT</t>
  </si>
  <si>
    <t>pg610347@gmail.com</t>
  </si>
  <si>
    <t xml:space="preserve">Payal Gupta </t>
  </si>
  <si>
    <t>09822736556</t>
  </si>
  <si>
    <t xml:space="preserve">National Institute of technology Goa </t>
  </si>
  <si>
    <t xml:space="preserve">I've always had an interest in Astronomy and would love to learn more </t>
  </si>
  <si>
    <t>kajals.dd24.ph@nitp.ac.in</t>
  </si>
  <si>
    <t xml:space="preserve">Kajal Soni </t>
  </si>
  <si>
    <t xml:space="preserve">National Institute of Technology Patna </t>
  </si>
  <si>
    <t>Learning from scratch how computation is connected with astronomy.</t>
  </si>
  <si>
    <t>raghavagarwal9017@gmail.com</t>
  </si>
  <si>
    <t xml:space="preserve">Raghav Agarwal </t>
  </si>
  <si>
    <t>ankita.kumari@iitg.ac.in</t>
  </si>
  <si>
    <t xml:space="preserve">Ankita Kumari </t>
  </si>
  <si>
    <t xml:space="preserve">I will learn new and interesting thing about astronomy </t>
  </si>
  <si>
    <t>25eee1003@nitgoa.ac.in</t>
  </si>
  <si>
    <t>Adil Ami</t>
  </si>
  <si>
    <t>NIT GOA</t>
  </si>
  <si>
    <t>A.eshita@iitg.ac.in</t>
  </si>
  <si>
    <t xml:space="preserve">Eshita </t>
  </si>
  <si>
    <t>12someshgupta@gmail.com</t>
  </si>
  <si>
    <t>SOMESH GUPTA</t>
  </si>
  <si>
    <t>NIT HAMIRPUR</t>
  </si>
  <si>
    <t xml:space="preserve">Build a solid foundation </t>
  </si>
  <si>
    <t>24bph029@nith.ac.in</t>
  </si>
  <si>
    <t>Saurav Sharma</t>
  </si>
  <si>
    <t xml:space="preserve">NIT Hamirpur </t>
  </si>
  <si>
    <t>regirachith4444@gmail.com</t>
  </si>
  <si>
    <t>Rachith H</t>
  </si>
  <si>
    <t>Bapuji Institute of Engineering and Technology</t>
  </si>
  <si>
    <t>shugupta4t@gmail.com</t>
  </si>
  <si>
    <t xml:space="preserve">Shubham Kumar </t>
  </si>
  <si>
    <t xml:space="preserve">National institute of technology patna </t>
  </si>
  <si>
    <t>abhinavs.dd25.me@nitp.ac.in</t>
  </si>
  <si>
    <t>Abhinav Srivastava</t>
  </si>
  <si>
    <t>NIT Patna</t>
  </si>
  <si>
    <t>Learn Something New.</t>
  </si>
  <si>
    <t>yogajaaasti@gmail.com</t>
  </si>
  <si>
    <t>Yogaja Aasti</t>
  </si>
  <si>
    <t>arjun.deshmukh@iitg.ac.in</t>
  </si>
  <si>
    <t>Arjun Deshmukh</t>
  </si>
  <si>
    <t>mohits.ug25.me@nitp.ac.in</t>
  </si>
  <si>
    <t>MOHIT SINGH</t>
  </si>
  <si>
    <t>National Institute of Technology, Patna</t>
  </si>
  <si>
    <t xml:space="preserve">Gaining more knowledge in the field of astronomy for my future scope </t>
  </si>
  <si>
    <t>aman754kh@gmail.com</t>
  </si>
  <si>
    <t xml:space="preserve">Aman khan </t>
  </si>
  <si>
    <t xml:space="preserve">I expect that my knowledge will extend beyond theoretical to practical </t>
  </si>
  <si>
    <t>yuvavinayreddy@gmail.com</t>
  </si>
  <si>
    <t xml:space="preserve">Yuva Vinay reddy </t>
  </si>
  <si>
    <t>srashtimala.ug25.ec@nitp.ac.in</t>
  </si>
  <si>
    <t xml:space="preserve">Srashti mala </t>
  </si>
  <si>
    <t xml:space="preserve">To learn how is ML and deep learning is used in the field of astronomy.
</t>
  </si>
  <si>
    <t>dharavathd.ug25.cs@nitp.ac.in</t>
  </si>
  <si>
    <t>Dharavath Devender</t>
  </si>
  <si>
    <t>NIT patna</t>
  </si>
  <si>
    <t>Knowledge and applications</t>
  </si>
  <si>
    <t>25bph014@nith.ac.in</t>
  </si>
  <si>
    <t xml:space="preserve">Deepika Chauhan </t>
  </si>
  <si>
    <t xml:space="preserve">National Institute of Technology Hamirpur </t>
  </si>
  <si>
    <t>prahladbharti1998@gmail.com</t>
  </si>
  <si>
    <t xml:space="preserve">Prahlad Bharti </t>
  </si>
  <si>
    <t xml:space="preserve">Nit patna </t>
  </si>
  <si>
    <t>b.tanmayee257@gmail.com</t>
  </si>
  <si>
    <t xml:space="preserve">Tanmayee Biswal </t>
  </si>
  <si>
    <t xml:space="preserve">NIT Patna </t>
  </si>
  <si>
    <t>To learn AI/ML tools, coding, and data analysis techniques used in astronomy.</t>
  </si>
  <si>
    <t>shivamt.ug19.ec@nitp.ac.in</t>
  </si>
  <si>
    <t xml:space="preserve">Shivam </t>
  </si>
  <si>
    <t>08102323657</t>
  </si>
  <si>
    <t>Nit patna</t>
  </si>
  <si>
    <t>neerajkumarm.phd19.ph@nitp.ac.in</t>
  </si>
  <si>
    <t xml:space="preserve">Neeraj Kumar Mishra </t>
  </si>
  <si>
    <t xml:space="preserve">NIT, Patna </t>
  </si>
  <si>
    <t>I want to learn how to combine deep physics theories with practical coding and telescope skills to better understand the universe.</t>
  </si>
  <si>
    <t>chiranjeetm.ug23.me@nitp.ac.in</t>
  </si>
  <si>
    <t>CHIRANJEET MANDAL</t>
  </si>
  <si>
    <t>NATIONAL INSTITUTE OF TECHNOLOGY PATNA</t>
  </si>
  <si>
    <t>To gain more knowledge and learn new skills which will help me for my research.</t>
  </si>
  <si>
    <t>chiragm.ug24.ce@nitp.ac.in</t>
  </si>
  <si>
    <t>Chirag Malav</t>
  </si>
  <si>
    <t xml:space="preserve">Learn new things </t>
  </si>
  <si>
    <t>roshanik.ug23.ar@nitp.ac.in</t>
  </si>
  <si>
    <t xml:space="preserve">Roshani kumari </t>
  </si>
  <si>
    <t xml:space="preserve">NIT patna </t>
  </si>
  <si>
    <t xml:space="preserve">I will be able to predict something. </t>
  </si>
  <si>
    <t>chandrapriya1233@gmail.com</t>
  </si>
  <si>
    <t xml:space="preserve">Priya Chandra </t>
  </si>
  <si>
    <t>nileshr.ug24.cs@nitp.ac.in</t>
  </si>
  <si>
    <t>Nilesh Raj</t>
  </si>
  <si>
    <t>vanshika.mca25@nitp.ac.in</t>
  </si>
  <si>
    <t xml:space="preserve">Vanshika </t>
  </si>
  <si>
    <t>NIT P</t>
  </si>
  <si>
    <t>Ml integrated projects with astronomy is what interested me the most .</t>
  </si>
  <si>
    <t>nikhils.ug23.ec@nitp.ac.in</t>
  </si>
  <si>
    <t>Nikhil Singh</t>
  </si>
  <si>
    <t>Gaining Knowledge</t>
  </si>
  <si>
    <t>abhinavr.ug24.mae@nitp.ac.in</t>
  </si>
  <si>
    <t>ABHINAV RAJ</t>
  </si>
  <si>
    <t>I want to explore the astronomy.</t>
  </si>
  <si>
    <t>pranavk.ug25.cs@nitp.ac.in</t>
  </si>
  <si>
    <t>Pranav Kumar</t>
  </si>
  <si>
    <t xml:space="preserve">To make me understand about astronomy and space </t>
  </si>
  <si>
    <t>mohammadyasirhameed12@gmail.com</t>
  </si>
  <si>
    <t xml:space="preserve">MOHAMMAD YASIR HAMEED </t>
  </si>
  <si>
    <t xml:space="preserve">NIT PATNA </t>
  </si>
  <si>
    <t>“I expect to gain a strong foundation in astronomy through theoretical concepts, computational tools, and practical observation techniques, while improving my Python and data analysis skills.”</t>
  </si>
  <si>
    <t>himanshusharmaattri082@gmail.com</t>
  </si>
  <si>
    <t xml:space="preserve">Himanshu Sharma </t>
  </si>
  <si>
    <t xml:space="preserve">National Institute of Technology, Patna </t>
  </si>
  <si>
    <t>Applying the teachings in my day to day life</t>
  </si>
  <si>
    <t>ankitr.ug24.me@nitp.ac.in</t>
  </si>
  <si>
    <t xml:space="preserve">Ankit Raj </t>
  </si>
  <si>
    <t xml:space="preserve">National institute of technology Patna </t>
  </si>
  <si>
    <t>I expect to learn this field of astronomy which is new to mee and I am very excited to do this.</t>
  </si>
  <si>
    <t>ayatisinha.1947@gmail.com</t>
  </si>
  <si>
    <t xml:space="preserve">Ayati Sinha </t>
  </si>
  <si>
    <t>To know how ML is integrated into astronomy</t>
  </si>
  <si>
    <t>vaibhav070805@gmail.com</t>
  </si>
  <si>
    <t xml:space="preserve">Vaibhav Vishal </t>
  </si>
  <si>
    <t>NIT PATNA</t>
  </si>
  <si>
    <t>Gain knowledge in astronomy</t>
  </si>
  <si>
    <t>ayushmaankumarverma@gmail.com</t>
  </si>
  <si>
    <t>Ayushmaan Kumar Verma</t>
  </si>
  <si>
    <t>faljanali45u@gmsil.com</t>
  </si>
  <si>
    <t>Md Faijan Ali</t>
  </si>
  <si>
    <t>Maulana Azad College of Engineering and Technology, Patna</t>
  </si>
  <si>
    <t xml:space="preserve">Building new skills </t>
  </si>
  <si>
    <t>harshg.dd25.ec@nitp.ac.in</t>
  </si>
  <si>
    <t>Harsh Raj Gupta</t>
  </si>
  <si>
    <t>To learn insightful things about Astrophysics.</t>
  </si>
  <si>
    <t>adityas.ug24.cs@nitp.ac.in</t>
  </si>
  <si>
    <t xml:space="preserve">Aditya Kumar Singh </t>
  </si>
  <si>
    <t xml:space="preserve">Deep diving into wonders of astronomy </t>
  </si>
  <si>
    <t>krishs.ug25.ee@nitp.ac.in</t>
  </si>
  <si>
    <t xml:space="preserve">Krish Kumar Sinha </t>
  </si>
  <si>
    <t>Nit Patna</t>
  </si>
  <si>
    <t>akanksha620k@gmail.com</t>
  </si>
  <si>
    <t xml:space="preserve">Akanksha Prakash </t>
  </si>
  <si>
    <t>06203202682</t>
  </si>
  <si>
    <t>kartikeyt.mca25@nitp.ac.in</t>
  </si>
  <si>
    <t xml:space="preserve">Kartikey Tiwari </t>
  </si>
  <si>
    <t xml:space="preserve">LEARNING real life implementation by computation module </t>
  </si>
  <si>
    <t>ayushrajconnect@gmail.com</t>
  </si>
  <si>
    <t>Ayush</t>
  </si>
  <si>
    <t>National Institute of Technology , Kurukshetra</t>
  </si>
  <si>
    <t>Very excited to learn new things and spend my summer vacations in a bit productive way</t>
  </si>
  <si>
    <t>bhavyaarya42@gmail.com</t>
  </si>
  <si>
    <t>Bhavya Arya</t>
  </si>
  <si>
    <t xml:space="preserve">National Institute of Technology, Kurukshetra </t>
  </si>
  <si>
    <t>yuvikajain1912@gmail.com</t>
  </si>
  <si>
    <t>Yuvika Jain</t>
  </si>
  <si>
    <t>The LNM Institute of Information Technology</t>
  </si>
  <si>
    <t>raunaktiwari1729@gmail.com</t>
  </si>
  <si>
    <t xml:space="preserve">Raunak Tiwari </t>
  </si>
  <si>
    <t xml:space="preserve">NIT Kurukshetra </t>
  </si>
  <si>
    <t xml:space="preserve">I have hand on experience over ML and DL and is interested in Astronomy since childhood but since last few years I have not been able to pursue this interest of mine so I wanna explore that further </t>
  </si>
  <si>
    <t>rupavaths.ug19.cs@nitp.ac.in</t>
  </si>
  <si>
    <t>Akhil Sai</t>
  </si>
  <si>
    <t>Stargazing and night sky ,deep space observations fascinates me. That's the takeaway from this course</t>
  </si>
  <si>
    <t>aanchalk.ug23.me@nitp.ac.in</t>
  </si>
  <si>
    <t>Aanchal Kumari</t>
  </si>
  <si>
    <t>to gain knowledge and explore this field to enhance my learning</t>
  </si>
  <si>
    <t>nitinkash2104@gmail.com</t>
  </si>
  <si>
    <t xml:space="preserve">Nitin Choudhary </t>
  </si>
  <si>
    <t xml:space="preserve">87099 29371 </t>
  </si>
  <si>
    <t xml:space="preserve">Nice expectations </t>
  </si>
  <si>
    <t>ayushk.ug23.ec@nitp.ac.in</t>
  </si>
  <si>
    <t>Ayush Kumar</t>
  </si>
  <si>
    <t>To learn and explore more about astronomy</t>
  </si>
  <si>
    <t>Shreyak.ug25.mae@nitp.ac.in</t>
  </si>
  <si>
    <t xml:space="preserve">Shreya kumari </t>
  </si>
  <si>
    <t xml:space="preserve">I will build my foundation of computation in an structured manner. </t>
  </si>
  <si>
    <t>gautampareek1717@gmail.com</t>
  </si>
  <si>
    <t xml:space="preserve">Gautam </t>
  </si>
  <si>
    <t xml:space="preserve">National institute of technology kurukshetra </t>
  </si>
  <si>
    <t>It would be a great opportunity to formally learn about something that I genuinely love and also a nice way to utilise Summer #spacesummer</t>
  </si>
  <si>
    <t>shivamj.ug23.ee@nitp.ac.in</t>
  </si>
  <si>
    <t xml:space="preserve">Shivam kumar jha </t>
  </si>
  <si>
    <t>I want to explore universe through data analytics and how really all stuff works</t>
  </si>
  <si>
    <t>aditis.ug25.ee@nitp.ac.in</t>
  </si>
  <si>
    <t xml:space="preserve">Aditi Sharma </t>
  </si>
  <si>
    <t>nishant999908@gmail.com</t>
  </si>
  <si>
    <t xml:space="preserve">Nishant Kumar </t>
  </si>
  <si>
    <t>I expect to gain a solid understanding of astronomy and astrophysics, develop practical skills in computational astronomy using Python and data analysis tools, and learn observational techniques such as telescope handling and astrophotography. I also hope to explore how modern technology and machine learning are applied in astronomy while connecting with like-minded enthusiasts and expanding my scientific curiosity.</t>
  </si>
  <si>
    <t>pragyam.ug24.me@nitp.ac.in</t>
  </si>
  <si>
    <t xml:space="preserve">Pragya Medhatiya </t>
  </si>
  <si>
    <t>As the first President of NIT Patna's Astronomy Club (newly established), I want to learn more about how Astronomy clubs function in other colleges, so that we, too, can organise such grand events in our college, taking our club to great heights, in the very coming future.</t>
  </si>
  <si>
    <t>parmarsneh111@gmail.com</t>
  </si>
  <si>
    <t xml:space="preserve">Parmar Sneh Apoorv </t>
  </si>
  <si>
    <t>+91 9274841395</t>
  </si>
  <si>
    <t xml:space="preserve">Ahmedabad Institute of Technology </t>
  </si>
  <si>
    <t xml:space="preserve">saptarshid.mca24@nitp.ac.in </t>
  </si>
  <si>
    <t xml:space="preserve">Saptarshi Das </t>
  </si>
  <si>
    <t>As a passionate night sky observer, I have always been fascinated by how the universe works. My curiosity about stars, planets, and the mysteries of space continuously motivates me to learn more. I believe this course will help me deepen my understanding and develop practical knowledge in both observational and computational astronomy, allowing me to pursue my passion more seriously.</t>
  </si>
  <si>
    <t>karrak.ug20.ece@nitp.ac.in</t>
  </si>
  <si>
    <t xml:space="preserve">Vinay Kumar </t>
  </si>
  <si>
    <t>I am willing to learn the astronomical events and its impacts. How to emulate and observe the cosmological and celestial events</t>
  </si>
  <si>
    <t>akankshakora27@gmail.com</t>
  </si>
  <si>
    <t xml:space="preserve">Akanksha Kora </t>
  </si>
  <si>
    <t>9102736945, 8051895015</t>
  </si>
  <si>
    <t>princekb.ug25.me@nitp.ac.in</t>
  </si>
  <si>
    <t xml:space="preserve">Prince kumar </t>
  </si>
  <si>
    <t>pranavpriyanshu66@gmail.com</t>
  </si>
  <si>
    <t xml:space="preserve">Pranav Priyanshu </t>
  </si>
  <si>
    <t>aditya.sahu6510@gmail.com</t>
  </si>
  <si>
    <t xml:space="preserve">Aditya Sahu </t>
  </si>
  <si>
    <t>I expect to gain new knowledge and skills in astronomy while working on interesting and engaging projects. I am eager to learn from experienced mentors, explore practical applications of astronomy, and enhance my problem-solving and technical abilities. I also look forward to being part of a collaborative environment where learning is enjoyable and intellectually rewarding.</t>
  </si>
  <si>
    <t>Kratika.gupta@iitg.ac.in</t>
  </si>
  <si>
    <t>Kratika Gupta</t>
  </si>
  <si>
    <t xml:space="preserve">To explore more about astronomy </t>
  </si>
  <si>
    <t xml:space="preserve">Satvikr.ug25.me@nitp.ac.in </t>
  </si>
  <si>
    <t>Satvik Raj</t>
  </si>
  <si>
    <t xml:space="preserve">91556 57326 </t>
  </si>
  <si>
    <t>I have a keen interest in Astrophysics and Astronomy, along with Coding and Computer Science. I aspire to deepen my understanding of space and its constituents through the study of these fields. Combining my fascination for the universe with my passion for Computer Science motivates me to explore this domain more comprehensively and gain hands-on experience in its various aspects.</t>
  </si>
  <si>
    <t>vikashkk.ug25.cs@nitp.ac.in</t>
  </si>
  <si>
    <t xml:space="preserve">Vikash Kumar </t>
  </si>
  <si>
    <t>Learning</t>
  </si>
  <si>
    <t>aadityaacharya2002@gmail.com</t>
  </si>
  <si>
    <t xml:space="preserve">Aaditya Acharya </t>
  </si>
  <si>
    <t>High</t>
  </si>
  <si>
    <t>muskank.ug24.ce@nitp.ac.in</t>
  </si>
  <si>
    <t xml:space="preserve">Muskan Kumari </t>
  </si>
  <si>
    <t>surajk.mca25@nitp.ac.in</t>
  </si>
  <si>
    <t>SURAJ KUMAR</t>
  </si>
  <si>
    <t>vijaypald.mca25@nitp.ac.in</t>
  </si>
  <si>
    <t xml:space="preserve">Vijaypal Singh Dodiya </t>
  </si>
  <si>
    <t>Deep diwe in the world of astronomy.
To gain practical knowledge.</t>
  </si>
  <si>
    <t>adityar.dd22.ma@nitp.ac.in</t>
  </si>
  <si>
    <t xml:space="preserve">Aditya Raj </t>
  </si>
  <si>
    <t>To learn more in Astronomy field.</t>
  </si>
  <si>
    <t>tanyas.ug23.ec@nitp.ac.in</t>
  </si>
  <si>
    <t xml:space="preserve">Tanya Singh </t>
  </si>
  <si>
    <t xml:space="preserve">Learning astro science </t>
  </si>
  <si>
    <t>architay.ug25.me@nitp.ac.in</t>
  </si>
  <si>
    <t xml:space="preserve">Archita yadav </t>
  </si>
  <si>
    <t xml:space="preserve">To get to know about universe </t>
  </si>
  <si>
    <t>arnav.vds2006@gmail.com</t>
  </si>
  <si>
    <t xml:space="preserve">Arnav Jain </t>
  </si>
  <si>
    <t xml:space="preserve">National Institute of Technology Bhopal </t>
  </si>
  <si>
    <t>To learn applications of Machine Learning in the domain of astronomy and astrophysics.</t>
  </si>
  <si>
    <t>sakship.ug25.ec@nitp.ac.in</t>
  </si>
  <si>
    <t xml:space="preserve">Sakshi Priya </t>
  </si>
  <si>
    <t>I have been fascinated by the world beyond since primary school. I am considering a career in this field if possible. By this course, I would like to dive into this intersect of mine and gain some useful information for my future.</t>
  </si>
  <si>
    <t>ashishk.mca24@nitp.ac.in</t>
  </si>
  <si>
    <t>ASHISH KUMAR</t>
  </si>
  <si>
    <t>I expect to gain foundational knowledge in astronomy along with practical and computational skills used in modern space science</t>
  </si>
  <si>
    <t>aindrilac.ug25.ec@nitp.ac.in</t>
  </si>
  <si>
    <t>Aindrila Chakrabarty</t>
  </si>
  <si>
    <t xml:space="preserve">National Institute of Technology, Patna. </t>
  </si>
  <si>
    <t xml:space="preserve">Get to learn about new things about the universe and astronomy field. </t>
  </si>
  <si>
    <t>bhargodeepak344@gmail.com</t>
  </si>
  <si>
    <t>Kirti</t>
  </si>
  <si>
    <t>NIT Kurukshetra</t>
  </si>
  <si>
    <t>I am really excited to join Astronomy 101 because I want to bridge the gap between just looking at the night sky and actually understanding the science behind it. I’m eager to learn the fundamentals of how the universe works and gain practical skills in using telescopes and astrophotography. Additionally, I’m looking forward to exploring how Python can be used as a tool to analyze astronomical data. My goal for this course is to move from a basic interest in space to having the technical and observational foundation to explore the cosmos more deeply.</t>
  </si>
  <si>
    <t>ramashishk.ug25.ec@nitp.ac.in</t>
  </si>
  <si>
    <t xml:space="preserve">Ramashish kumar Kazi </t>
  </si>
  <si>
    <t xml:space="preserve">Nit Patna </t>
  </si>
  <si>
    <t>To gain extra knowlege</t>
  </si>
  <si>
    <t>rdxrudransh124@gmail.com</t>
  </si>
  <si>
    <t>Rudransh</t>
  </si>
  <si>
    <t xml:space="preserve">NIT kkr </t>
  </si>
  <si>
    <t>aayushi.ug25.ec@nitp.ac.in</t>
  </si>
  <si>
    <t xml:space="preserve">Aayushi </t>
  </si>
  <si>
    <t xml:space="preserve">To learn new things </t>
  </si>
  <si>
    <t>vv2880560@gmail.com</t>
  </si>
  <si>
    <t>Vinod kumar</t>
  </si>
  <si>
    <t>I want to know what use of python in astronomy</t>
  </si>
  <si>
    <t>aditya.mishra@iitg.ac.in</t>
  </si>
  <si>
    <t xml:space="preserve">Aditya Mishra </t>
  </si>
  <si>
    <t>Mahim.ug25.me@nitp.ac.in</t>
  </si>
  <si>
    <t xml:space="preserve">Mahi Mittal </t>
  </si>
  <si>
    <t>arnavs.ug25.ee@nitp.ac.in</t>
  </si>
  <si>
    <t>Arnav Sharma</t>
  </si>
  <si>
    <t>charchilm.dd25.ee@nitp.ac.in</t>
  </si>
  <si>
    <t xml:space="preserve">Charchil Mehta </t>
  </si>
  <si>
    <t>My expectation from this course is to learn astronomy in both theoretical and practical ways. I want to understand concepts like stars, galaxies, black holes, and the universe in a simple and deep manner. I also want to learn how Python and data analysis are used in astronomy, along with practical skills like telescope handling and astrophotography. I hope this course will improve my knowledge, curiosity, and research skills in space science.</t>
  </si>
  <si>
    <t>adityakrshivam24@gmail.com</t>
  </si>
  <si>
    <t>Aditya Kumar Shivam</t>
  </si>
  <si>
    <t xml:space="preserve">Get to learn about basics of astronomy </t>
  </si>
  <si>
    <t>satyavratg.ug25.cs@nitp.ac.in</t>
  </si>
  <si>
    <t xml:space="preserve">Satyavrat Govind </t>
  </si>
  <si>
    <t>09155697571</t>
  </si>
  <si>
    <t>I expect to learn a lot more than I know in the field of astronomy. I would love to know about different aspects like theoretical, computational and observational modes of astronomy and work on/with then given my knowledge and coursework in Data Science. Excited to learn from you...</t>
  </si>
  <si>
    <t>aayu.36455@gmail.com</t>
  </si>
  <si>
    <t xml:space="preserve">Aayushi kumari </t>
  </si>
  <si>
    <t xml:space="preserve">Galgotias University </t>
  </si>
  <si>
    <t>“I want to gain practical knowledge of astronomy, improve my computational and data analysis skills, and learn how modern technologies like Python and machine learning are used in astrophysics and space research</t>
  </si>
  <si>
    <t>avashroy968@gmail.com</t>
  </si>
  <si>
    <t xml:space="preserve">Avash Kumar roy </t>
  </si>
  <si>
    <t xml:space="preserve">Galgotias university </t>
  </si>
  <si>
    <t xml:space="preserve">Computer </t>
  </si>
  <si>
    <t>adityas.ug23.me@nitp.ac.in</t>
  </si>
  <si>
    <t>Aditya Narayan Singh</t>
  </si>
  <si>
    <t>rajat.30.raj@gmail.com</t>
  </si>
  <si>
    <t>Rajat</t>
  </si>
  <si>
    <t>Learnings about astronomy, and gaining knowledge how software related to astronomy..... Too much excited 😊</t>
  </si>
  <si>
    <t>pranav_b240271ep@nitc.ac.in</t>
  </si>
  <si>
    <t>Pranav S J</t>
  </si>
  <si>
    <t>National Institute of Technology Calicut</t>
  </si>
  <si>
    <t>Fun</t>
  </si>
  <si>
    <t>lavanya.l.phd24.ec@nitp.ac.in</t>
  </si>
  <si>
    <t>LAVANYA L</t>
  </si>
  <si>
    <t>NITP</t>
  </si>
  <si>
    <t xml:space="preserve">Knowledge on astronomy </t>
  </si>
  <si>
    <t>atul.singh103025@iitg.ac.in</t>
  </si>
  <si>
    <t xml:space="preserve">Atul Singh </t>
  </si>
  <si>
    <t xml:space="preserve">Nothing, no expectation </t>
  </si>
  <si>
    <t>am24ms017@iiserkol.ac.in</t>
  </si>
  <si>
    <t>Aman Mahnoori</t>
  </si>
  <si>
    <t xml:space="preserve">IISER KOLKATA </t>
  </si>
  <si>
    <t>rishavhazra09.2005@gmail.com</t>
  </si>
  <si>
    <t>Rishav Hazra</t>
  </si>
  <si>
    <t>IISER Kolkata</t>
  </si>
  <si>
    <t>varadmp26@gmail.com</t>
  </si>
  <si>
    <t>Varad Paithane</t>
  </si>
  <si>
    <t>IISER KOLKATA</t>
  </si>
  <si>
    <t>I expect that after completing this course, I would be able to understand basic theoretical background of astrophysics such as celestial mechanics, galaxies,black holes etc in depth. Also I expect to master my computational skills which are very important to master the data analysis process required for astrophysics.</t>
  </si>
  <si>
    <t>bhukhariyaashoka9647@gmail.com</t>
  </si>
  <si>
    <t>Ashok Bhukhariya</t>
  </si>
  <si>
    <t>Banaras Hindu University</t>
  </si>
  <si>
    <t xml:space="preserve">For better understanding about cosmos which will help me during my PhD in Astrophysics. </t>
  </si>
  <si>
    <t>krapalid.mca25@nitp.ac.in</t>
  </si>
  <si>
    <t>Krapali Dwivedi</t>
  </si>
  <si>
    <t xml:space="preserve">National Institute of technology Patna </t>
  </si>
  <si>
    <t xml:space="preserve">It can be amazing...may be I will be able to connect with iit students </t>
  </si>
  <si>
    <t>Palakmirok06@gmail.com</t>
  </si>
  <si>
    <t xml:space="preserve">Palak </t>
  </si>
  <si>
    <t>I want to learn everything from scratch and gain knowledge in my selected field</t>
  </si>
  <si>
    <t>ab25ms073@iiserkol.ac.in</t>
  </si>
  <si>
    <t xml:space="preserve">Aditi Bhuyan </t>
  </si>
  <si>
    <t xml:space="preserve">IISER kolkata </t>
  </si>
  <si>
    <t>An exploration program that helps me discover whether I enjoy astronomy scientifically, computationally or observationally</t>
  </si>
  <si>
    <t>pkub23ms061@iiserkol.ac.in</t>
  </si>
  <si>
    <t>Praveen Krishnan U B</t>
  </si>
  <si>
    <t>Learning basics of Astronomy and astrophysics</t>
  </si>
  <si>
    <t>vikaskundu00008@gmail.com</t>
  </si>
  <si>
    <t>Vikas kundu</t>
  </si>
  <si>
    <t xml:space="preserve">Chandigarh University </t>
  </si>
  <si>
    <t>I'm interested in computational module and iwant to build my knowledge in this specific field</t>
  </si>
  <si>
    <t>sm25ms091@iiserkol.ac.in</t>
  </si>
  <si>
    <t xml:space="preserve">Swapnil Majumder </t>
  </si>
  <si>
    <t xml:space="preserve">Indian Institute of Science Education and Research, Kolkata </t>
  </si>
  <si>
    <t>I want to explore the theoretical aspects and mathematical aspects clearly to Python Library and enhance my ability to learn something new application based.</t>
  </si>
  <si>
    <t>ms25ms094@iiserkol.ac.in</t>
  </si>
  <si>
    <t xml:space="preserve">Mohammad Saif </t>
  </si>
  <si>
    <t xml:space="preserve">IISER Kolkata </t>
  </si>
  <si>
    <t>To explore the cosmos with you, I am eagerly waiting to know more about cosmos and astrophysics in my institute , but due to our course structure I am unable to do it.
So I hope from this course ,I will be able to dive a bit deeper into the cosmos</t>
  </si>
  <si>
    <t>satwikrath07exaam@gmail.com</t>
  </si>
  <si>
    <t>Satwik Rath</t>
  </si>
  <si>
    <t>Kirori Mal College, University of Delhi</t>
  </si>
  <si>
    <t>manasmanu2201@gmail.com</t>
  </si>
  <si>
    <t>Manas Kumar</t>
  </si>
  <si>
    <t>KIRORI MAL COLLEGE</t>
  </si>
  <si>
    <t>To learn about the subject, simultaneously working on my knowledge and skills through the resources given. Also to interact with the fellow mates.</t>
  </si>
  <si>
    <t>sm25ms290@iiserkol.ac.in</t>
  </si>
  <si>
    <t>Sougata Majee</t>
  </si>
  <si>
    <t>Indian Institute of Science Education and Research (IISER) Kolkata</t>
  </si>
  <si>
    <t>I expect this course to give me a strong foundation in astronomy through a balanced exposure to theoretical, computational and observational aspects of the subject. I am particularly interested in understanding astrophysical concepts or space phenomena and how computational methods are used to analyze astronomical data. Apart from technical knowledge, I expect the course to improve my scientific thinking, problem solving skills and ability to work collaboratively who share an interest in astronomy and space science.</t>
  </si>
  <si>
    <t>tkumari783@gmail.com</t>
  </si>
  <si>
    <t>Nitish Kumar</t>
  </si>
  <si>
    <t xml:space="preserve">Learn about Astronomy and implementation of data science in this field
</t>
  </si>
  <si>
    <t>shreyalisa333@gmail.com</t>
  </si>
  <si>
    <t xml:space="preserve">Shreya Sarkar </t>
  </si>
  <si>
    <t>Kirori Mal College, University of Delhi.</t>
  </si>
  <si>
    <t xml:space="preserve">I expect this course to strengthen my understanding of astronomy, especially in the observational and computational fields that I’m very interested in. Being from Guwahati and seeing IIT Guwahati conduct this course makes it even more special for me, and I look forward to exploring and understanding the night sky from my own city in a more scientific way. Also excited to work with tools like python! </t>
  </si>
  <si>
    <t>rishabhyadav.dev@gmail.com</t>
  </si>
  <si>
    <t>Rishabh Yadav</t>
  </si>
  <si>
    <t>IISER - K(Indian Institute of Science Education and Research, Kolkata)</t>
  </si>
  <si>
    <t>My expectations from this course are to build a strong foundation in astronomy and astrophysics while also gaining practical and computational skills used in modern astronomical research. I am particularly interested in learning how Python and data analysis are applied in astronomy, as well as understanding observational techniques such as telescope handling and astrophotography.</t>
  </si>
  <si>
    <t>dv25ms042@iiserkol.ac.in</t>
  </si>
  <si>
    <t>Devanathan V</t>
  </si>
  <si>
    <t>+918341352498</t>
  </si>
  <si>
    <t>tomeshmandle@gmail.com</t>
  </si>
  <si>
    <t xml:space="preserve">Tomesh Mandle </t>
  </si>
  <si>
    <t xml:space="preserve">Kirorimal College, University of Delhi </t>
  </si>
  <si>
    <t>As a beginner, I expect to learn the basics of astrophysics that can help me in my further research career. Learning how programming can be used in astronomy. And upscaling me with relevant skills and knowledge that can benifit me in future.</t>
  </si>
  <si>
    <t>priyanshu21rathore@gmail.com</t>
  </si>
  <si>
    <t xml:space="preserve">Priyanshu Rathore </t>
  </si>
  <si>
    <t xml:space="preserve">Kirori Mal College Delhi University </t>
  </si>
  <si>
    <t>lakshmiunnikrishnan0@gmail.com</t>
  </si>
  <si>
    <t xml:space="preserve">Lakshmi Unnikrishnan </t>
  </si>
  <si>
    <t>ERROR</t>
  </si>
  <si>
    <t xml:space="preserve">Exception: Invalid email: Unnikrishnan </t>
  </si>
  <si>
    <t>sr25ms053@iiserkol.ac.in</t>
  </si>
  <si>
    <t>Sayon Roy</t>
  </si>
  <si>
    <t>adityadasadi2006@gmail.com</t>
  </si>
  <si>
    <t xml:space="preserve">Aditya Das </t>
  </si>
  <si>
    <t>shatakshisadhukhan28@gmail.com</t>
  </si>
  <si>
    <t xml:space="preserve">Shatakshi Sadhukhan </t>
  </si>
  <si>
    <t xml:space="preserve">Indian Institute of Science Education and Research Kolkata </t>
  </si>
  <si>
    <t xml:space="preserve">I want to attend the Equinox school by IIT Guwahati to improve my programming and machine learning skills. I want to move from writing basic scripts to building reliable software for data analysis. I have used Python tools like Astropy and Photutils to analyze sources in the HST Deep Field, but I need to learn how to properly organize, visualize, and share my cosmic data. From this school, I expect to learn fundamental tools starting from Python scratch, NumPy, and Pandas, alongside core machine learning techniques ranging from Linear Regression and Gradient Descent to Decision Trees, Neural Networks, and LLMs.
In the future, I want to research high-energy physics, star formation, and gravitational waves. These topics involve massive amounts of data and complicated models. To work with them, I need to process complex datasets and write good code for big simulations. Learning how to apply advanced machine learning algorithms and handle computational tasks will help me contribute to open-source astronomy projects. It will also make my research easy for other scientists to check and replicate. This school will give me the tools I need to build solid computational programs for my astronomy research, allowing me to analyze large datasets and complex models much more efficiently.
</t>
  </si>
  <si>
    <t>24123@iiserbpr.ac.in</t>
  </si>
  <si>
    <t>Soumitra</t>
  </si>
  <si>
    <t>IISER BPR</t>
  </si>
  <si>
    <t>srajangupta48@gmail.com</t>
  </si>
  <si>
    <t>Srajan Gupta</t>
  </si>
  <si>
    <t xml:space="preserve">IIT Kharagpur </t>
  </si>
  <si>
    <t>harshs.mca25@nitp.ac.in</t>
  </si>
  <si>
    <t>harsh vardhan singh</t>
  </si>
  <si>
    <t>shividhurve750@gmail.com</t>
  </si>
  <si>
    <t>Shivi</t>
  </si>
  <si>
    <t xml:space="preserve"> I expect this course to help me build a strong foundation in astronomy and astrophysics while improving my practical and analytical skills. I hope to learn how computational tools like Python are used in astronomy, gain hands-on experience with telescopes and observations, and develop a deeper understanding of celestial objects and the universe.</t>
  </si>
  <si>
    <t>balashanmugam_20241060@students.iisertirupati.ac.in</t>
  </si>
  <si>
    <t xml:space="preserve">Balashanmugam R </t>
  </si>
  <si>
    <t xml:space="preserve">Indian Institute of Science Education and Research (IISER), Tirupati </t>
  </si>
  <si>
    <t>To gain hands-on experience with observational techniques, telescopes, astrophotography, and astronomical data analysis.
I also hope to improve my computational skills using Python, Jupyter Notebook, and visualization tools for astronomy-related projects.
Most importantly, I want this course to help me explore astronomy more deeply and prepare me for future research opportunities in astrophysics.</t>
  </si>
  <si>
    <t>jeevansravanthi.29@gmail.com</t>
  </si>
  <si>
    <t>Behara Jeevan Sravanthi Kusuma</t>
  </si>
  <si>
    <t>Would like to explore and gain knowledge on the things in outer space</t>
  </si>
  <si>
    <t>aadesh.an4@gmail.com</t>
  </si>
  <si>
    <t>Aditya Deshpande</t>
  </si>
  <si>
    <t>PVG's College of Engineering and Technology</t>
  </si>
  <si>
    <t>surasmitabehera2212@gmail.com</t>
  </si>
  <si>
    <t>Surasmita Behera</t>
  </si>
  <si>
    <t>Central University of Rajasthan</t>
  </si>
  <si>
    <t>To gain an introductory level knowledge and working on observational data. I have been working on astroid detection champaign and to my belief this course will introduce a broader knowledge of astrophysics and would be beneficial in future studies as well.</t>
  </si>
  <si>
    <t>chandanjyotikonwar604@gmail.com</t>
  </si>
  <si>
    <t>Chandanjyoti Konwar</t>
  </si>
  <si>
    <t>Debraj Roy College, Golaghat</t>
  </si>
  <si>
    <t>I expect this course to enhance my knowledge, develop practical skills, and support meaningful public outreach in the field.</t>
  </si>
  <si>
    <t>akshadjain46@gmail.com</t>
  </si>
  <si>
    <t>Akshad Jain</t>
  </si>
  <si>
    <t>PVGCOET pune</t>
  </si>
  <si>
    <t xml:space="preserve">Satisfaction to my curiosity </t>
  </si>
  <si>
    <t>23110009@pvgcoet.ac.in</t>
  </si>
  <si>
    <t>Aryan Patade</t>
  </si>
  <si>
    <t>PVGCOET</t>
  </si>
  <si>
    <t xml:space="preserve">I want to see how i combine space tech and software tech to develop wonderful projects for the betterment of mankind. </t>
  </si>
  <si>
    <t>hdr25ms231@iiserkol.ac.in</t>
  </si>
  <si>
    <t>H.D.Rinsangzela</t>
  </si>
  <si>
    <t>Indian Institute of Science Education Research Kolkata</t>
  </si>
  <si>
    <t>Get me the necessary knowledge for astronomy as a hobby and as a discipline</t>
  </si>
  <si>
    <t>srushtisovani15@gmail.com</t>
  </si>
  <si>
    <t xml:space="preserve">Srushti Sovani </t>
  </si>
  <si>
    <t>PVG COET</t>
  </si>
  <si>
    <t xml:space="preserve">To land a job in similar field </t>
  </si>
  <si>
    <t>triptik.ug25.ce@nitp.ac.in</t>
  </si>
  <si>
    <t>Tripti Kumari</t>
  </si>
  <si>
    <t>I would have an experience about the module and would learn and motivate about various activities around us</t>
  </si>
  <si>
    <t>opp24ms128@iiserkol.ac.in</t>
  </si>
  <si>
    <t xml:space="preserve">Om Prakash Parida </t>
  </si>
  <si>
    <t>I am studying the theoretical parts by my self so I want to gain some experience in instrumentation handling and data fitting skills.</t>
  </si>
  <si>
    <t>deeps01122006@gmail.com</t>
  </si>
  <si>
    <t>Deep Shah</t>
  </si>
  <si>
    <t>Amity University Noida</t>
  </si>
  <si>
    <t>I aim to develop a strong foundation in computational and observational astronomy, with a focus on applying Python and data analysis to real-world datasets. Given my background in Applied Physics and my interest in pursuing Ph.D in astrophysics and further research, I am particularly keen on bridging theoretical understanding with practical implementation. I expect this course to help me build the skills and exposure necessary for future research and advanced studies in the field.</t>
  </si>
  <si>
    <t>satdeven.ug24.ee@nitp.ac.in</t>
  </si>
  <si>
    <t xml:space="preserve">Ayush Satdeve </t>
  </si>
  <si>
    <t>Explore more about it</t>
  </si>
  <si>
    <t>25uec158@lnmiit.ac.in</t>
  </si>
  <si>
    <t>Yagya Lila</t>
  </si>
  <si>
    <t>LNM Institute of Information Technology</t>
  </si>
  <si>
    <t xml:space="preserve">To have a deeper understanding of our universe.
</t>
  </si>
  <si>
    <t>karthikmunjeti49@gmail.com</t>
  </si>
  <si>
    <t>MUNJETI KARTHIK</t>
  </si>
  <si>
    <t xml:space="preserve">NATIONAL INSTITUTE OF TECHNOLOGY PATNA </t>
  </si>
  <si>
    <t>To learn more about the planets,stars,galaxies.
Also to learn the way through which coding,data analytics and machine learning is used in these fields.Learn python,machine learning from basics.</t>
  </si>
  <si>
    <t>jh23ms025@iiserkol.ac.in</t>
  </si>
  <si>
    <t xml:space="preserve">Jhalodwala Hatim </t>
  </si>
  <si>
    <t>rohitpku.mca24@nitp.ac.in</t>
  </si>
  <si>
    <t>Rohit kumar prasad</t>
  </si>
  <si>
    <t>NATIONAL INSTITUTE OF TECHNOLOGY, PATNA</t>
  </si>
  <si>
    <t>I will expecting enrichnment of knowledge ,learning new things regarding astronomy ,getting resume like projects and more content.</t>
  </si>
  <si>
    <t>bhumika.tiwari@iitg.ac.in</t>
  </si>
  <si>
    <t>Bhumika Tiwari</t>
  </si>
  <si>
    <t>stooteebaruah102@gmail.com</t>
  </si>
  <si>
    <t>Stootee Baruah</t>
  </si>
  <si>
    <t>To have fun while learning</t>
  </si>
  <si>
    <t>s.gautham@iitg.ac.in</t>
  </si>
  <si>
    <t>Gautham Suresh</t>
  </si>
  <si>
    <t>dhairya1101@iitg.ac.in</t>
  </si>
  <si>
    <t>Dhairya</t>
  </si>
  <si>
    <t>prakash.giri@iitg.ac.in</t>
  </si>
  <si>
    <t>Prakash Giri</t>
  </si>
  <si>
    <t>d.shuvam@iitg.ac.in</t>
  </si>
  <si>
    <t>Shuvam Deb</t>
  </si>
  <si>
    <t>Theoretical discussion</t>
  </si>
  <si>
    <t>Joyshmit Das</t>
  </si>
  <si>
    <t>To learn how we can implement ML in astronomy</t>
  </si>
  <si>
    <t>pallavi.iyer@iitg.ac.in</t>
  </si>
  <si>
    <t xml:space="preserve">Pallavi </t>
  </si>
  <si>
    <t>09263109704</t>
  </si>
  <si>
    <t xml:space="preserve">To gain experience and explore the domain as much as possible </t>
  </si>
  <si>
    <t>a.jowhry@iitg.ac.in</t>
  </si>
  <si>
    <t xml:space="preserve">Aishwary Datt jowhry </t>
  </si>
  <si>
    <t>v.kalbende@iitg.ac.in</t>
  </si>
  <si>
    <t xml:space="preserve">Vedant Kalbende </t>
  </si>
  <si>
    <t>r.sonker@iitg.ac.in</t>
  </si>
  <si>
    <t>Rahul Kumar Sonker</t>
  </si>
  <si>
    <t>To understand the existence of celestial bodies and their effect and opportunities to future civilization in another planets and  galaxies.</t>
  </si>
  <si>
    <t>p.bhanu@iitg.ac.in</t>
  </si>
  <si>
    <t>Bhanu Prakash</t>
  </si>
  <si>
    <t>ashish.ranjan@iitg.ac.in</t>
  </si>
  <si>
    <t>Ashish ranjan</t>
  </si>
  <si>
    <t>abharadwaj@iitg.ac.in</t>
  </si>
  <si>
    <t>Anupam Bharadwaj</t>
  </si>
  <si>
    <t>IIT GUWAHATI</t>
  </si>
  <si>
    <t>rohilarnav@gmail.com</t>
  </si>
  <si>
    <t xml:space="preserve">Arnav Rohil </t>
  </si>
  <si>
    <t>Learn new and interesting topics</t>
  </si>
  <si>
    <t>raghavs.mca25@nitp.ac.in</t>
  </si>
  <si>
    <t>Raghav Singh</t>
  </si>
  <si>
    <t>rahul.dev@iitg.ac.in</t>
  </si>
  <si>
    <t>RAHUL DEV</t>
  </si>
  <si>
    <t>nitish.ks@iitg.ac.in</t>
  </si>
  <si>
    <t>Nitish Kumar Singh</t>
  </si>
  <si>
    <t>Space Exploration</t>
  </si>
  <si>
    <t>I expect this course to help me understand how computational methods are applied in astronomy, especially through Python and data analysis. I am especially interested in the Computational Module because it combines coding and machine learning with real astronomical applications.</t>
  </si>
  <si>
    <t>c.anuska@iitg.ac.in</t>
  </si>
  <si>
    <t xml:space="preserve">Anuska Chatterjee </t>
  </si>
  <si>
    <t>rajkumar.saha@iitg.ac.in</t>
  </si>
  <si>
    <t>RAJKUMAR SAHA</t>
  </si>
  <si>
    <t>Basic understanding of the astronomy</t>
  </si>
  <si>
    <t>eyeball1217@gmail.com</t>
  </si>
  <si>
    <t>Kanmani.M</t>
  </si>
  <si>
    <t>To learn something new about the night sky and feed my interest for the stars.</t>
  </si>
  <si>
    <t>ashishk2002@iitg.ac.in</t>
  </si>
  <si>
    <t xml:space="preserve">Ashish Kumar </t>
  </si>
  <si>
    <t>To Gain some authentic knowledge about space</t>
  </si>
  <si>
    <t>s.jakkan@iitg.ac.in</t>
  </si>
  <si>
    <t>Swati Jakkan</t>
  </si>
  <si>
    <t>ngangbamsiddhartha7@gmail.com</t>
  </si>
  <si>
    <t xml:space="preserve">Ngangbam Siddhartha Singh </t>
  </si>
  <si>
    <t xml:space="preserve">DHANAMANJURI UNIVERSITY </t>
  </si>
  <si>
    <t>My expectation from Astronomy 101 is not just to learn astronomy as a subject but to deepen something that has already become a major part of my life. My interest in space science began years ago when I became fascinated by ideas like parallel universes, higher dimensions, and cosmology after watching discussions by Michio Kaku. Since then, astronomy has slowly turned from curiosity into something I genuinely want to pursue academically and personally.
As a Physics Honours student and an astrophysics enthusiast, I want this course to help me connect the mathematics and physics I study in university with real observational astronomy. I am especially interested in cosmology, stellar evolution, and how theoretical physics translates into actual observations of the universe.
I am also very excited about the practical side of the course because observational astronomy is something I actively engage in already. I use my Celestron telescope for sky observation and astrophotography, and I have worked on astronomy-related projects including astrophotography and asteroid search activities. Through this course, I hope to improve my understanding of telescope techniques, astronomical imaging, and scientific data analysis rather than just capturing images aesthetically.
Another thing I look forward to is learning Python and computational tools for astronomy. Since I currently work mostly through my phone and limited resources, I want to learn efficient ways of doing analysis and astronomy related computation so I can slowly move toward more research-oriented work in the future.
Beyond academics, astronomy has also shaped the way I think. I enjoy understanding not only the equations behind physics, but also the larger philosophical and human side of science the kind of curiosity and storytelling seen in people like Richard Feynman and Carl Sagan. As an executive member of the Manipur Astronomical Society, I hope the knowledge from this course will also help me contribute more meaningfully to astronomy outreach and inspire others to look at the night sky with curiosity.
Overall, I expect Astronomy 101 to help me bridge passion, observation, computation and physics into a stronger foundation for my future journey in astrophysics and space science.</t>
  </si>
  <si>
    <t>b.vishwa@iitg.ac.in</t>
  </si>
  <si>
    <t xml:space="preserve">VISHWA PRANAV REDDY BOBBALA </t>
  </si>
  <si>
    <t>b.dhrubajit@iitg.ac.in</t>
  </si>
  <si>
    <t xml:space="preserve">Dhrubajit Baishya </t>
  </si>
  <si>
    <t>naitik.gupta@iitg.ac.in</t>
  </si>
  <si>
    <t>naitik gupta</t>
  </si>
  <si>
    <t>aishwarya.rao@iitg.ac.in</t>
  </si>
  <si>
    <t xml:space="preserve">Aishwarya Rao </t>
  </si>
  <si>
    <t>lmanikonba@gmail.com</t>
  </si>
  <si>
    <t>Laishram Manikonba</t>
  </si>
  <si>
    <t>Manipur Technical University(MTU)</t>
  </si>
  <si>
    <t xml:space="preserve">Something valuable </t>
  </si>
  <si>
    <t>n.basak@iitg.ac.in</t>
  </si>
  <si>
    <t>Narendranath Basak</t>
  </si>
  <si>
    <t>Mangshatabamdebina@gmail.com</t>
  </si>
  <si>
    <t xml:space="preserve">Mangshatabam Debina Devi </t>
  </si>
  <si>
    <t>s.prithwiraj@iitg.ac.in</t>
  </si>
  <si>
    <t>Prithwiraj Sarkar</t>
  </si>
  <si>
    <t>I would like to have a good understanding of the theoretical framework of different celestial bodies and overall cosmos through this course.</t>
  </si>
  <si>
    <t>allenluwang680@gmail.com</t>
  </si>
  <si>
    <t xml:space="preserve">ALLEN LUWANGSHANGBAM </t>
  </si>
  <si>
    <t xml:space="preserve">D.M.COLLEGE OF SCIENCE </t>
  </si>
  <si>
    <t>My expectations from this course are:-
First of all I expect after this course I will have ample knowledge on theoretical, computational and observational skill.
I will get a chance to meet and engage in an Astronomical environment.
I love to participate and it will surely help me in my latter career.</t>
  </si>
  <si>
    <t>luwishy007@gmail.com</t>
  </si>
  <si>
    <t>Luwish Yumnam</t>
  </si>
  <si>
    <t>Manipur University</t>
  </si>
  <si>
    <t>I expect this course to strengthen my understanding of astronomy and astrophysics from the basics to advanced concepts. I am especially interested in learning how computational tools like Python and data analysis are applied in modern astronomy. I also look forward to gaining practical observational experience through telescope handling, astrophotography, and night sky observation. Overall, I hope this course will help me build a strong foundation for further studies and research in astronomy and related fields.</t>
  </si>
  <si>
    <t>m.prithwish@iitg.ac.in</t>
  </si>
  <si>
    <t xml:space="preserve">Prithwish Manna </t>
  </si>
  <si>
    <t>25je1082@iitism.ac.in</t>
  </si>
  <si>
    <t xml:space="preserve">Pranjal Pansari </t>
  </si>
  <si>
    <t xml:space="preserve">IIT (ISM) Dhanbad </t>
  </si>
  <si>
    <t>Something interactive that holds to the IIT standard</t>
  </si>
  <si>
    <t>waytosrijansaha@gmail.com</t>
  </si>
  <si>
    <t xml:space="preserve">SRIJAN SAHA </t>
  </si>
  <si>
    <t>dibiyachandkanghujam@gmail.com</t>
  </si>
  <si>
    <t>Dibiyachand</t>
  </si>
  <si>
    <t>MU</t>
  </si>
  <si>
    <t xml:space="preserve">Know more about astronomy </t>
  </si>
  <si>
    <t>s.kariyare@iitg.ac.in</t>
  </si>
  <si>
    <t>Sumeet Kumar Kariyare</t>
  </si>
  <si>
    <t xml:space="preserve">New learning new observation </t>
  </si>
  <si>
    <t>g.bivash@iitg.ac.in</t>
  </si>
  <si>
    <t xml:space="preserve">Bivash Ghosh </t>
  </si>
  <si>
    <t>shantanupawar149@gmail.com</t>
  </si>
  <si>
    <t>Shantanu Pawar</t>
  </si>
  <si>
    <t>PVG's College of Engineering, Technology and Management</t>
  </si>
  <si>
    <t>To learn and understand the technical concepts and various computational models.</t>
  </si>
  <si>
    <t>amolm801@gmail.com</t>
  </si>
  <si>
    <t>Lt Cdr Amol Mathur</t>
  </si>
  <si>
    <t xml:space="preserve">To learn more to get better deep space astrophotography photos </t>
  </si>
  <si>
    <t>bishorjitkhumanthem833@gmail.com</t>
  </si>
  <si>
    <t>Bishorjit Khumanthem</t>
  </si>
  <si>
    <t>m.surendra@iitg.ac.in</t>
  </si>
  <si>
    <t>Surendra Mund</t>
  </si>
  <si>
    <t xml:space="preserve">Go through the basics again. </t>
  </si>
  <si>
    <t>sapamswati.devi@niser.ac.in</t>
  </si>
  <si>
    <t>Sapam Swati Devi</t>
  </si>
  <si>
    <t xml:space="preserve">National Institute of Science Education and Research Bhubaneswar </t>
  </si>
  <si>
    <t>mili88966@gmail.com</t>
  </si>
  <si>
    <t>Bindiya Devi Aribam</t>
  </si>
  <si>
    <t xml:space="preserve">Dhanamanjuri University </t>
  </si>
  <si>
    <t xml:space="preserve">Expanding my knowledge on astronomy, astrophysics and cosmology </t>
  </si>
  <si>
    <t>aurorae4stars@gmail.com</t>
  </si>
  <si>
    <t xml:space="preserve">Archana Dash </t>
  </si>
  <si>
    <t xml:space="preserve">Working Professional </t>
  </si>
  <si>
    <t>Learn something new</t>
  </si>
  <si>
    <t>rajarajeshwari25971026@gmail.com</t>
  </si>
  <si>
    <t xml:space="preserve">Rajrajeshwari Deshmukh </t>
  </si>
  <si>
    <t>BVJNIOT, Pune</t>
  </si>
  <si>
    <t>sharvarissalunke@gmail.com</t>
  </si>
  <si>
    <t xml:space="preserve">Sharvari Salunke </t>
  </si>
  <si>
    <t>Fergusson College, Pune</t>
  </si>
  <si>
    <t xml:space="preserve">I am most interested in the computational course and want to learn the basics of using languages like python to code astronomical data. </t>
  </si>
  <si>
    <t>shubusha57@gmail.com</t>
  </si>
  <si>
    <t>Shubham Shah</t>
  </si>
  <si>
    <t>Service - IT (Ex - K J Somaiya Institute of Management, Mumbai)</t>
  </si>
  <si>
    <t>vadanya232@gmail.com</t>
  </si>
  <si>
    <t>Vadanya Sehgal</t>
  </si>
  <si>
    <t>07719611716</t>
  </si>
  <si>
    <t>Punjab Engineering College</t>
  </si>
  <si>
    <t>tanishkumarlalit@gmail.com</t>
  </si>
  <si>
    <t xml:space="preserve">Tanish </t>
  </si>
  <si>
    <t>PEC</t>
  </si>
  <si>
    <t xml:space="preserve">Knowledge </t>
  </si>
  <si>
    <t>aryansingla295@gmail.com</t>
  </si>
  <si>
    <t>Aryan Singla</t>
  </si>
  <si>
    <t xml:space="preserve">To get a more formal computational understanding on my observational and theoretical knowledge </t>
  </si>
  <si>
    <t>parthsailwal@gmail.com</t>
  </si>
  <si>
    <t>Parth Sailwal</t>
  </si>
  <si>
    <t>07710647453</t>
  </si>
  <si>
    <t>Learn something new and understanding things  better</t>
  </si>
  <si>
    <t>c.pramod@iitg.ac.in</t>
  </si>
  <si>
    <t>Pramod Choudhury</t>
  </si>
  <si>
    <t>As a beginner anything new will be interesting</t>
  </si>
  <si>
    <t>riteshp.pccassignments@gmail.com</t>
  </si>
  <si>
    <t xml:space="preserve">Ritesh Chittora </t>
  </si>
  <si>
    <t xml:space="preserve">COEP Technological University </t>
  </si>
  <si>
    <t>cosmicentityhelp@gmail.com</t>
  </si>
  <si>
    <t>Riturag Saikia</t>
  </si>
  <si>
    <t>Tezpur University</t>
  </si>
  <si>
    <t>I am a mechanical engineering student and I have a keen interest towards astronomy and astrophysics and moreover I want to know about how coding is used in modern astronomic observations</t>
  </si>
  <si>
    <t>aakarshsinghal2406@gmail.com</t>
  </si>
  <si>
    <t>Aakarsh Singhal</t>
  </si>
  <si>
    <t>karabi.goswami@iitg.ac.in</t>
  </si>
  <si>
    <t xml:space="preserve">Karabi Goswami </t>
  </si>
  <si>
    <t>I am curious to know about the astronomy including planets, stars, galaxies, black holes, cosmology, telescopes, and the physics behind the universe.</t>
  </si>
  <si>
    <t>balajig.vdr@gmail.com</t>
  </si>
  <si>
    <t>balaji G</t>
  </si>
  <si>
    <t>Not a student .</t>
  </si>
  <si>
    <t>Knowledge in Astronomy</t>
  </si>
  <si>
    <t>krishnabhutada09710@gmail.com</t>
  </si>
  <si>
    <t>Krishna Bhutada</t>
  </si>
  <si>
    <t>09834228004</t>
  </si>
  <si>
    <t>N/A</t>
  </si>
  <si>
    <t>bishal.das@iitg.ac.in</t>
  </si>
  <si>
    <t>Bishal Das</t>
  </si>
  <si>
    <t xml:space="preserve">Iit Guwahati </t>
  </si>
  <si>
    <t>suhanisahu273@gmail.com</t>
  </si>
  <si>
    <t>Suhani Sahu</t>
  </si>
  <si>
    <t>Manit</t>
  </si>
  <si>
    <t>s.asmit@iitg.ac.in</t>
  </si>
  <si>
    <t>Asmit Kumar Singh</t>
  </si>
  <si>
    <t>Shivamp3432@iitg.ac.in</t>
  </si>
  <si>
    <t>Shivam Patel</t>
  </si>
  <si>
    <t>That i would learn the basics of the computational aspects astronomy</t>
  </si>
  <si>
    <t>r.roushan@iitg.ac.in</t>
  </si>
  <si>
    <t>Ritik Roushan</t>
  </si>
  <si>
    <t>ashishsbansal@gmail.com</t>
  </si>
  <si>
    <t>Ashish Bansal</t>
  </si>
  <si>
    <t>09820012756</t>
  </si>
  <si>
    <t>Working in IT</t>
  </si>
  <si>
    <t>Improve my understanding of cosmic observation (how what when) thankyou IIT-G</t>
  </si>
  <si>
    <t>godbolerr@gmail.com</t>
  </si>
  <si>
    <t xml:space="preserve">Ravindra Godbole </t>
  </si>
  <si>
    <t>Self</t>
  </si>
  <si>
    <t xml:space="preserve">Learn more about computational aspects </t>
  </si>
  <si>
    <t>deepaknathe89@gmail.com</t>
  </si>
  <si>
    <t>DEEPAK Nathe</t>
  </si>
  <si>
    <t>KBTCOE</t>
  </si>
  <si>
    <t>krishnaabansal@gmail.com</t>
  </si>
  <si>
    <t xml:space="preserve">Krishna Bansal </t>
  </si>
  <si>
    <t xml:space="preserve">IIT Hyderabad </t>
  </si>
  <si>
    <t>24pph08jayapriya@gmail.com</t>
  </si>
  <si>
    <t>Jayapriya S</t>
  </si>
  <si>
    <t xml:space="preserve">Women’s Christian College, Chennai. </t>
  </si>
  <si>
    <t>c.malik@iitg.ac.in</t>
  </si>
  <si>
    <t>Chetan Malik</t>
  </si>
  <si>
    <t>rhythmbhetwal77@gmail.com</t>
  </si>
  <si>
    <t xml:space="preserve">Rhythm Bhetwal </t>
  </si>
  <si>
    <t xml:space="preserve">National Institute of Technology Meghalaya </t>
  </si>
  <si>
    <t xml:space="preserve">NIT MEGHALAYA </t>
  </si>
  <si>
    <t>25je0385@iitism.ac.in</t>
  </si>
  <si>
    <t xml:space="preserve">NIKHITHA ROSE BAIJU </t>
  </si>
  <si>
    <t xml:space="preserve">IIT ISM DHANBAD </t>
  </si>
  <si>
    <t xml:space="preserve">Will help me get a overall idea on everything related to astronomy </t>
  </si>
  <si>
    <t>zzx.tarun@gmail.com</t>
  </si>
  <si>
    <t>Tarun</t>
  </si>
  <si>
    <t xml:space="preserve">i don't have that much knowledge about the astronomy, but curious about it and wanna explore more with this course
</t>
  </si>
  <si>
    <t>vidhishk54@gmail.com</t>
  </si>
  <si>
    <t xml:space="preserve">Vidhish Khanchandani </t>
  </si>
  <si>
    <t xml:space="preserve">MG Science Institute </t>
  </si>
  <si>
    <t xml:space="preserve">To learn more and new things and get a good exposure to astronomy </t>
  </si>
  <si>
    <t>s.pallavi@iitg.ac.in</t>
  </si>
  <si>
    <t xml:space="preserve">Pallavi Sarkar </t>
  </si>
  <si>
    <t>Interest in astronomy, so would like to be more educated in the field.</t>
  </si>
  <si>
    <t>a.shivansh@iitg.ac.in</t>
  </si>
  <si>
    <t>Shivansh Anu</t>
  </si>
  <si>
    <t>qureshisaaib57@gmail.com</t>
  </si>
  <si>
    <t>Saaib Qureshi</t>
  </si>
  <si>
    <t xml:space="preserve">Sardar Vallabhbhai National Institute of Technology </t>
  </si>
  <si>
    <t>To learn the basics of astronomy and then use them for projects.</t>
  </si>
  <si>
    <t>Kallind.soni@research.iiit.ac.in</t>
  </si>
  <si>
    <t xml:space="preserve">Kallind Soni </t>
  </si>
  <si>
    <t xml:space="preserve">IIITH </t>
  </si>
  <si>
    <t>priyanshu.de@research.iiit.ac.in</t>
  </si>
  <si>
    <t xml:space="preserve">Priyanshu Sekhar De </t>
  </si>
  <si>
    <t xml:space="preserve">IIIT HYDERABAD </t>
  </si>
  <si>
    <t>Getting to know the cosmos at a level that goes well beyond the surface level enthusiasm and actually makes it possible to understand the deeper aspects of it</t>
  </si>
  <si>
    <t>rama9344kl@gmail.com</t>
  </si>
  <si>
    <t xml:space="preserve">Ramchandra Kumar </t>
  </si>
  <si>
    <t xml:space="preserve">St. Xavier's College </t>
  </si>
  <si>
    <t>neilanthony2006@gmail.com</t>
  </si>
  <si>
    <t>Neil Anthony</t>
  </si>
  <si>
    <t>IIITH</t>
  </si>
  <si>
    <t>To learn more about starss</t>
  </si>
  <si>
    <t>valamiyamaitri@gmail.com</t>
  </si>
  <si>
    <t xml:space="preserve">Valamiya Maitri </t>
  </si>
  <si>
    <t xml:space="preserve">M.G. Science Institute, Ahemdabad </t>
  </si>
  <si>
    <t>As my interest is mainly in Observational Astronomy, I want to understand the instrumentation, astophotography, and how to collect data for the data analysis.</t>
  </si>
  <si>
    <t>bhuvan.kapur@research.iiit.ac.in</t>
  </si>
  <si>
    <t>Bhuvan Kapur</t>
  </si>
  <si>
    <t>I get to learn more about how astronomy is performed in modern times, and how computational tools play a part in this field.</t>
  </si>
  <si>
    <t>muskan.ug22.ec@nitp.ac.in</t>
  </si>
  <si>
    <t xml:space="preserve">Muskan </t>
  </si>
  <si>
    <t xml:space="preserve">To gain some knowledge </t>
  </si>
  <si>
    <t>bhatesaimilind@gmail.com</t>
  </si>
  <si>
    <t>Sai Bhate</t>
  </si>
  <si>
    <t xml:space="preserve">M. G. SCIENCE INSTITUTE </t>
  </si>
  <si>
    <t>It would build up my base and strengthen my fundamentals!</t>
  </si>
  <si>
    <t>rsbhatt3838@gmail.com</t>
  </si>
  <si>
    <t xml:space="preserve">Bhatt Rudra Sudhirkumar </t>
  </si>
  <si>
    <t xml:space="preserve">IIIT Hyderabad </t>
  </si>
  <si>
    <t>rujalyagnik@gmail.com</t>
  </si>
  <si>
    <t xml:space="preserve">Rujal Yagnik </t>
  </si>
  <si>
    <t xml:space="preserve">M.G.Science Institute </t>
  </si>
  <si>
    <t xml:space="preserve">To learn astronomy </t>
  </si>
  <si>
    <t>swanandimoharil07@gmail.com</t>
  </si>
  <si>
    <t>Swanandi Moharil</t>
  </si>
  <si>
    <t xml:space="preserve">Learning more about hands on Astronomy </t>
  </si>
  <si>
    <t>sahildoshi400@yahoo.com</t>
  </si>
  <si>
    <t xml:space="preserve">Sahil Doshi </t>
  </si>
  <si>
    <t>COEP Technological University, Pune</t>
  </si>
  <si>
    <t>tanmayjoshi7906@gmail.com</t>
  </si>
  <si>
    <t xml:space="preserve">Tanmay Joshi </t>
  </si>
  <si>
    <t>Coep pune</t>
  </si>
  <si>
    <t>Laxmankamath2017@gmail.com</t>
  </si>
  <si>
    <t>Laxman kamath</t>
  </si>
  <si>
    <t>Coep technological university</t>
  </si>
  <si>
    <t>aadyanair1910@gmail.com</t>
  </si>
  <si>
    <t xml:space="preserve">Aadya Nair </t>
  </si>
  <si>
    <t>hirvapurohit1577@gmail.com</t>
  </si>
  <si>
    <t xml:space="preserve">Hirva Purohit </t>
  </si>
  <si>
    <t xml:space="preserve">St. Xavier's </t>
  </si>
  <si>
    <t>kulkaditii@gmail.com</t>
  </si>
  <si>
    <t>Aditi Kulkarni</t>
  </si>
  <si>
    <t>Cummins College of Engineering for Women, Pune</t>
  </si>
  <si>
    <t>Arya.pandey@students.iiit.ac.in</t>
  </si>
  <si>
    <t xml:space="preserve">Arya Pandey </t>
  </si>
  <si>
    <t xml:space="preserve">To learn basics of astronomy </t>
  </si>
  <si>
    <t>sahjos204@gmail.com</t>
  </si>
  <si>
    <t>Sahil Joshi</t>
  </si>
  <si>
    <t xml:space="preserve">To learn skills valuable to semi-professional astronomy </t>
  </si>
  <si>
    <t>rcaishi1@gmail.com</t>
  </si>
  <si>
    <t>Aishi Roy Choudhury</t>
  </si>
  <si>
    <t>COEP Technological University</t>
  </si>
  <si>
    <t>khedekar24@iiserb.ac.in</t>
  </si>
  <si>
    <t>Prajakta Khedekar</t>
  </si>
  <si>
    <t>IISER Bhopal</t>
  </si>
  <si>
    <t>great experience gain</t>
  </si>
  <si>
    <t>chinmayyadav6209@gmail.com</t>
  </si>
  <si>
    <t>Chinmay Yadav</t>
  </si>
  <si>
    <t xml:space="preserve">COEP Tech University </t>
  </si>
  <si>
    <t>prachirohilla29@gmail.com</t>
  </si>
  <si>
    <t>Prachi Rohilla</t>
  </si>
  <si>
    <t xml:space="preserve">St Xaviers, Ahmedabad </t>
  </si>
  <si>
    <t>Learning more about the ways of our universe and also the ways to study about it. 
Ive always been particularly interested in astrophysics so this would be my gateway to learn more about it.</t>
  </si>
  <si>
    <t>harshthakar2007@gmail.com</t>
  </si>
  <si>
    <t xml:space="preserve">Harsh Thakar </t>
  </si>
  <si>
    <t>abhaysharma01702@gmail.com</t>
  </si>
  <si>
    <t xml:space="preserve">Abhay Sharma </t>
  </si>
  <si>
    <t xml:space="preserve">International Institute of Information Technology Hyderabad </t>
  </si>
  <si>
    <t xml:space="preserve">Just for Fun and learn </t>
  </si>
  <si>
    <t>avishkarkadam2007@gmail.com</t>
  </si>
  <si>
    <t>Avishkar Kadam</t>
  </si>
  <si>
    <t>Wanted to kickoff my journey into Astro...hoping to learn from basic and enjoy this journey</t>
  </si>
  <si>
    <t>dinkisolanki2@gmail.com</t>
  </si>
  <si>
    <t xml:space="preserve">Dinki Solanki </t>
  </si>
  <si>
    <t>To understand astronomical terms with the computational analysis</t>
  </si>
  <si>
    <t>amannirmal009@gmail.com</t>
  </si>
  <si>
    <t>Aman</t>
  </si>
  <si>
    <t>COEP TECHNOLOGICAL UNIVERSITY</t>
  </si>
  <si>
    <t>namanpmodi15@gmail.com</t>
  </si>
  <si>
    <t>Naman Modi</t>
  </si>
  <si>
    <t>To learn as much as possible about space, please be clear about the timings</t>
  </si>
  <si>
    <t>aman.kt@iitg.ac.in</t>
  </si>
  <si>
    <t>Aman Kumar Tiwari</t>
  </si>
  <si>
    <t>I am interested in learning about the computational aspects of astronomy.</t>
  </si>
  <si>
    <t>devanshvaid07@gmail.com</t>
  </si>
  <si>
    <t xml:space="preserve">Devansh Vaid </t>
  </si>
  <si>
    <t>I am willing to gain more knowledge about astronomy and astronomical events, and to explore computational methods and observation skills.</t>
  </si>
  <si>
    <t>mandira.mm2024@gmail.com</t>
  </si>
  <si>
    <t>Mandira</t>
  </si>
  <si>
    <t>DIAT</t>
  </si>
  <si>
    <t>Explore things beyond what I already know.</t>
  </si>
  <si>
    <t>ashikaanil07@gmail.com</t>
  </si>
  <si>
    <t>Ashika Anil</t>
  </si>
  <si>
    <t xml:space="preserve">I wish to learn the basics of Cosmology and also wish to use coding and data science through it. I also wanna be able to make projects after this course and be able to understand basic thesis on cosmology </t>
  </si>
  <si>
    <t>anyaagarwal313@gmail.com</t>
  </si>
  <si>
    <t>Ananya Agarwal</t>
  </si>
  <si>
    <t>IIIT Hyderabad</t>
  </si>
  <si>
    <t>Just being able to get started with astronomy</t>
  </si>
  <si>
    <t>shreyashkadam103@gmail.com</t>
  </si>
  <si>
    <t>Shreyash Shailesh Kadam</t>
  </si>
  <si>
    <t xml:space="preserve">Learn more on use of computer in astronomy and understand concepts better than before </t>
  </si>
  <si>
    <t>kimaya.arora@research.iiit.ac.in</t>
  </si>
  <si>
    <t xml:space="preserve">Kimaya Arora </t>
  </si>
  <si>
    <t>I expect this course to help deepen my knowledge of astronomy and how computational methods can be used to study and understand the working of the universe. I find the intersection of astronomy, computation, and data analysis particularly exciting, and believe it would help me develop a stronger scientific mindset.</t>
  </si>
  <si>
    <t>goream24.plan@coeptech.ac.in</t>
  </si>
  <si>
    <t>Akshay Gore</t>
  </si>
  <si>
    <t>COEP Technological University Pune</t>
  </si>
  <si>
    <t>Eager to learn about astronomy and cosmos, The various modules will keep my knowledge updated.</t>
  </si>
  <si>
    <t>janhavi.chikorde@cumminscollege.in</t>
  </si>
  <si>
    <t xml:space="preserve">Janhavi Chikorde </t>
  </si>
  <si>
    <t>Beginner friendly and productive.</t>
  </si>
  <si>
    <t>akshujindal2@gmail.com</t>
  </si>
  <si>
    <t>Akshay Jindal</t>
  </si>
  <si>
    <t xml:space="preserve">Hansraj College </t>
  </si>
  <si>
    <t xml:space="preserve">I expect from this course to provide insights into different branches of Astronomy like RadioAstronomy, Gravitational wave astronomy etc. The course should give an idea of applications and significance of each with the real time data analysis. And it must tell about the career pathways and opportunities in Astronomy and in each branch if possible. </t>
  </si>
  <si>
    <t>zonunt7@gmail.com</t>
  </si>
  <si>
    <t xml:space="preserve">Zonuntluanga </t>
  </si>
  <si>
    <t xml:space="preserve">Royal Global University </t>
  </si>
  <si>
    <t xml:space="preserve">To lear more about computational astrophysics </t>
  </si>
  <si>
    <t>macwaheng@gmail.com</t>
  </si>
  <si>
    <t>Macmillan Wahengbam</t>
  </si>
  <si>
    <t xml:space="preserve">Learning new things about Astronomy </t>
  </si>
  <si>
    <t>mayanky.dd25.ce@nitp.ac.in</t>
  </si>
  <si>
    <t xml:space="preserve">Mayank Yadav </t>
  </si>
  <si>
    <t xml:space="preserve">I will get to know more about how astronomical research works. Get to experience telescopes and learn about astrophotography. </t>
  </si>
  <si>
    <t>Narkishen@gmail.com</t>
  </si>
  <si>
    <t>Kishen Narikimilli</t>
  </si>
  <si>
    <t>Learning more about space  understanding what astronomers do</t>
  </si>
  <si>
    <t>1krishnanjansil1@gmail.com</t>
  </si>
  <si>
    <t xml:space="preserve">Krishnanjan Sil </t>
  </si>
  <si>
    <t xml:space="preserve">Ramakrishna Mission Vivekananda Centenary College </t>
  </si>
  <si>
    <t>I would be able to learn hands-on skills.</t>
  </si>
  <si>
    <t>asish.bharadwaj@zohomail.in</t>
  </si>
  <si>
    <t>Asish Bharadwaj</t>
  </si>
  <si>
    <t>IIIT-H</t>
  </si>
  <si>
    <t>Looking forward to learn anything and everything about astronomy and cosmology.</t>
  </si>
  <si>
    <t>likhith.kanigolla@research.iiit.ac.in</t>
  </si>
  <si>
    <t>Likhith Kanigolla</t>
  </si>
  <si>
    <t>malini.aravindan@gmail.com</t>
  </si>
  <si>
    <t>Malini</t>
  </si>
  <si>
    <t>IIIT H</t>
  </si>
  <si>
    <t>New knowledge</t>
  </si>
  <si>
    <t>niralivala31@gmail.com</t>
  </si>
  <si>
    <t xml:space="preserve">Nirali Manishbhai vala </t>
  </si>
  <si>
    <t xml:space="preserve">M.G Science institute </t>
  </si>
  <si>
    <t xml:space="preserve">​l want to explore observational concepts more deeply
</t>
  </si>
  <si>
    <t>aryanbhishmadubey@gmail.com</t>
  </si>
  <si>
    <t xml:space="preserve">Aryan Dubey </t>
  </si>
  <si>
    <t>tanvimehendale250@gmail.com</t>
  </si>
  <si>
    <t>Tanvi mehendale</t>
  </si>
  <si>
    <t xml:space="preserve">Coep technological University </t>
  </si>
  <si>
    <t>apteyashodhan1@gmail.com</t>
  </si>
  <si>
    <t xml:space="preserve">Yashodhan Apte </t>
  </si>
  <si>
    <t xml:space="preserve">COEP TECHNOLOGICAL UNIVERSITY </t>
  </si>
  <si>
    <t>a.satyajeet@iitg.ac.in</t>
  </si>
  <si>
    <t>Satyajeet Anand</t>
  </si>
  <si>
    <t>Want to learn basics of Machine learning, python etc. for my research application.</t>
  </si>
  <si>
    <t>satkar.juneja@research.iiit.ac.in</t>
  </si>
  <si>
    <t>Satkar Juneja</t>
  </si>
  <si>
    <t>Learning cool stuff</t>
  </si>
  <si>
    <t>taanishap@gmail.com</t>
  </si>
  <si>
    <t>Tanisha</t>
  </si>
  <si>
    <t>madhvipatel1805@gmail.com</t>
  </si>
  <si>
    <t>Madhvi</t>
  </si>
  <si>
    <t xml:space="preserve">St. Xavier's Ahmedabad </t>
  </si>
  <si>
    <t>Being able to see and understand universe from a scientific perspective.</t>
  </si>
  <si>
    <t>nairshreyag@gmail.com</t>
  </si>
  <si>
    <t xml:space="preserve">Shreya Nair </t>
  </si>
  <si>
    <t xml:space="preserve">M.G science institute </t>
  </si>
  <si>
    <t>25ph0310@sxca.edu.in</t>
  </si>
  <si>
    <t>Sneha Minsariya Shaileshbhai</t>
  </si>
  <si>
    <t xml:space="preserve">St.Xavier's College </t>
  </si>
  <si>
    <t xml:space="preserve">Wanted learn more about astrophysics in deep  detail with good teaching and different style , excited for this </t>
  </si>
  <si>
    <t>s25ph004@nitm.ac.in</t>
  </si>
  <si>
    <t xml:space="preserve">Tonmoy Goswami </t>
  </si>
  <si>
    <t xml:space="preserve">National Institute of Technology, Meghalaya </t>
  </si>
  <si>
    <t>prashishsharma@gmail.com</t>
  </si>
  <si>
    <t xml:space="preserve">Prashish Sharma </t>
  </si>
  <si>
    <t>Ryan international school, bavdhan</t>
  </si>
  <si>
    <t>I jope to strengthen my computational astronomy skills</t>
  </si>
  <si>
    <t>s25ph006@nitm.ac.in</t>
  </si>
  <si>
    <t xml:space="preserve">Krishnaprakash P </t>
  </si>
  <si>
    <t>vijay1patil@gmail.com</t>
  </si>
  <si>
    <t>Vijay Patil</t>
  </si>
  <si>
    <t>Honeywell</t>
  </si>
  <si>
    <t>Gain knowledge</t>
  </si>
  <si>
    <t>S25ph011@nitm.ac.in</t>
  </si>
  <si>
    <t>Amit kumar verma</t>
  </si>
  <si>
    <t xml:space="preserve">To learn something about astrophysics </t>
  </si>
  <si>
    <t>s25ph007@nitm.ac.in</t>
  </si>
  <si>
    <t xml:space="preserve">Shoriful Islam Chowdhury </t>
  </si>
  <si>
    <t xml:space="preserve">NIT, Meghalaya </t>
  </si>
  <si>
    <t>To learn something about astronomy</t>
  </si>
  <si>
    <t>gyanankur2418@gmail.com</t>
  </si>
  <si>
    <t xml:space="preserve">Gyanankur J Bora </t>
  </si>
  <si>
    <t xml:space="preserve">Mizoram University </t>
  </si>
  <si>
    <t>I hope this is an informative and interesting course. Also I hope that this will be an online course since I am having my end semester exams at the moment. It would be nice to have recorded videos to understand the concepts of the course.</t>
  </si>
  <si>
    <t>banerjee.shivam19@gmail.com</t>
  </si>
  <si>
    <t xml:space="preserve">Shivam Banerjee </t>
  </si>
  <si>
    <t xml:space="preserve">Savitribai Phule Pune University </t>
  </si>
  <si>
    <t>To have a Great and clear Knowledge base for Astronomy and being able to apply the skills I learn here</t>
  </si>
  <si>
    <t>aleenaann1104@gmail.com</t>
  </si>
  <si>
    <t xml:space="preserve">Aleena Ann Alexander </t>
  </si>
  <si>
    <t xml:space="preserve">Manipal Institute of Technology, Bengaluru </t>
  </si>
  <si>
    <t>I would like to be able to do projects on my own after this course.</t>
  </si>
  <si>
    <t>sudhanshub@iitg.ac.in</t>
  </si>
  <si>
    <t xml:space="preserve">Sudhanshu Bhaskar </t>
  </si>
  <si>
    <t xml:space="preserve">learn &amp; explore the astronomy </t>
  </si>
  <si>
    <t>a.deka@iitg.ac.in</t>
  </si>
  <si>
    <t>Arup Deka</t>
  </si>
  <si>
    <t>08154084044</t>
  </si>
  <si>
    <t>heta8283@gmail.com</t>
  </si>
  <si>
    <t>Heta Patel</t>
  </si>
  <si>
    <t>Interdisciplinary School of Science, SPPU</t>
  </si>
  <si>
    <t>I hope to get an holistic idea about the foundations for astronomical research</t>
  </si>
  <si>
    <t>Rishab Kabara</t>
  </si>
  <si>
    <t>Exception: Invalid email: Kabara</t>
  </si>
  <si>
    <t xml:space="preserve">MIT-WPU </t>
  </si>
  <si>
    <t xml:space="preserve">Learn more </t>
  </si>
  <si>
    <t>d.sambhare@iitg.ac.in</t>
  </si>
  <si>
    <t>Daksh</t>
  </si>
  <si>
    <t>IITg</t>
  </si>
  <si>
    <t>harshvardhangondkar@gmail.com</t>
  </si>
  <si>
    <t xml:space="preserve">Harshvardhan Gondkar </t>
  </si>
  <si>
    <t xml:space="preserve">AISSMS College of Engineering </t>
  </si>
  <si>
    <t>Learning New Stuff and Skills regarding Space and Cosmos</t>
  </si>
  <si>
    <t>shruti.sundaram@students.iiit.ac.in</t>
  </si>
  <si>
    <t>Shruti Sundaram</t>
  </si>
  <si>
    <t>aditya.shah3833@gmail.com</t>
  </si>
  <si>
    <t>Aditya Shah</t>
  </si>
  <si>
    <t>AISSMS College Of Engineering</t>
  </si>
  <si>
    <t>24ph0322@sxca.edu.in</t>
  </si>
  <si>
    <t>AASTHA SONVANE</t>
  </si>
  <si>
    <t xml:space="preserve">St. Xavier’s College, Ahmedabad </t>
  </si>
  <si>
    <t xml:space="preserve">To learn more about how coding is used in astronomy </t>
  </si>
  <si>
    <t>ayushkr.251007@gmail.com,   kumar.ayush@students.iiserpune.ac.in( Student ID)</t>
  </si>
  <si>
    <t xml:space="preserve">AYUSH KUMAR </t>
  </si>
  <si>
    <t>Indian Institute of Science Education and Research,  Pune</t>
  </si>
  <si>
    <t xml:space="preserve">To learn a lot abt python in astronomy  and analysis, exoplanets and stellar evolution studies </t>
  </si>
  <si>
    <t>devashishgupta342@gmail.com</t>
  </si>
  <si>
    <t xml:space="preserve">Devashish Gupta </t>
  </si>
  <si>
    <t xml:space="preserve">Alliance University </t>
  </si>
  <si>
    <t xml:space="preserve">Since I am an Aerospace Student with immense interest in Astronomy and Space Science things, this course might help me in gaining the knowledge that I will be using in my future. I am curious to learn the fundamentals and computational methods as well. 
Thank you </t>
  </si>
  <si>
    <t>meet.parikh@iitgn.ac.in</t>
  </si>
  <si>
    <t>Meet Aniketbhai Parikh</t>
  </si>
  <si>
    <t>IIT Gandhinagar</t>
  </si>
  <si>
    <t>aumdesai09@gmail.com</t>
  </si>
  <si>
    <t>Aum Desai</t>
  </si>
  <si>
    <t xml:space="preserve">Interdisciplinary School of Sciences, Savitribai Phule Pune University </t>
  </si>
  <si>
    <t>I am a first year student interested in Computational Astrophysics and Exoplanets. I want to build my basics so that I gain skills in computational module and also due to my interest in exoplanets I want to build skills in detection of exoplanets which is possible in observational module</t>
  </si>
  <si>
    <t>sejalyadav759@gmail.com</t>
  </si>
  <si>
    <t xml:space="preserve">Sejal Yadav </t>
  </si>
  <si>
    <t>09552412798</t>
  </si>
  <si>
    <t xml:space="preserve">HPT Arts and RYK Science College Nashik </t>
  </si>
  <si>
    <t>I want to gain a strong understanding of astronomy concepts along with practical skills in coding, data analysis, telescope observation, and astrophotography. I hope this course helps me prepare for future studies and research in astrophysics.</t>
  </si>
  <si>
    <t>maildans44@gmail.com</t>
  </si>
  <si>
    <t xml:space="preserve">Daniel Ashish Abraham </t>
  </si>
  <si>
    <t>mondalsuchismita621@gmail.com</t>
  </si>
  <si>
    <t xml:space="preserve">Suchismita Mondal </t>
  </si>
  <si>
    <t xml:space="preserve">St. XAVIER'S COLLEGE (AUTONOMOUS) KOLKATA </t>
  </si>
  <si>
    <t xml:space="preserve">As a physics major student and as astronomy enthusiast,  I expect from the computational course that I can gain in depth knowledge about how coding works in the astronomy and  build practical skills using python, Jupyter notebook applied to the astronomy field.I am also excited to know about data visualization and machine learning. My main goal is to leave with a functional computational workflow I can confidently apply in future research and projects. </t>
  </si>
  <si>
    <t>pavithra.nair005@gmail.com</t>
  </si>
  <si>
    <t>Pavithra R Nair</t>
  </si>
  <si>
    <t>Pondicherry University</t>
  </si>
  <si>
    <t>I have always been interested in space but have not been able to deep dive into it. I expect to get a lot of learning from this course and strengthen my passion for astronomy as a whole.</t>
  </si>
  <si>
    <t>ph25ms010@iitdh.ac.in</t>
  </si>
  <si>
    <t xml:space="preserve">Sachin Verma </t>
  </si>
  <si>
    <t xml:space="preserve">IIT Dharwad </t>
  </si>
  <si>
    <t xml:space="preserve">I want to gain new experience in observation field which is useful in my phd program in future </t>
  </si>
  <si>
    <t>senroshni799@gmail.com</t>
  </si>
  <si>
    <t xml:space="preserve">Roshni Sen </t>
  </si>
  <si>
    <t>IISER Mohali</t>
  </si>
  <si>
    <t>Purely fun</t>
  </si>
  <si>
    <t>ratnadipshaw2006@gmail.com</t>
  </si>
  <si>
    <t xml:space="preserve">Ratnadip Shaw </t>
  </si>
  <si>
    <t>Ramakrishna Mission Vivekanand Centenary College</t>
  </si>
  <si>
    <t>harshita1974j@gmail.com</t>
  </si>
  <si>
    <t>Harshita</t>
  </si>
  <si>
    <t>IISER MOHALI</t>
  </si>
  <si>
    <t>I have always been fascinated with outer space and would love to know more about it.</t>
  </si>
  <si>
    <t>Bheed.spoorti@gmail.com</t>
  </si>
  <si>
    <t>Khushi Inamdar</t>
  </si>
  <si>
    <t>The orchid school</t>
  </si>
  <si>
    <t>dhruvryan49@gmail.com (personal) b25452@students.iitmandi.ac.in (college)</t>
  </si>
  <si>
    <t>Dhruv Ryan Singh</t>
  </si>
  <si>
    <t>Exception: Invalid email: dhruvryan49@gmail.com (personal) b25452@students.iitmandi.ac.in (college)</t>
  </si>
  <si>
    <t>+918450906421</t>
  </si>
  <si>
    <t>IIT Mandi</t>
  </si>
  <si>
    <t>To be able to learn how data analysis works and what concepts are involved in it and the basics of how to build an ML model.</t>
  </si>
  <si>
    <t>im25029@students.iitmandi.ac.in</t>
  </si>
  <si>
    <t xml:space="preserve">Aashima Kalra </t>
  </si>
  <si>
    <t xml:space="preserve">To explore the tools used for astronomy, understand the concepts behind, and overall learn something new and apply it in practical life. </t>
  </si>
  <si>
    <t>jeganpriya0077@gmail.com</t>
  </si>
  <si>
    <t>Priyadharshini J</t>
  </si>
  <si>
    <t xml:space="preserve">Indian Institute of Technology (ISM) Dhanbad </t>
  </si>
  <si>
    <t>I want to learn the basics of astronomy in an interesting and practical way. I’m excited to explore topics like cosmology, Python in astronomy, and telescope observation. I also hope this course helps me improve my knowledge, gain hands-on experience, and connect with people who are interested in astronomy like me.</t>
  </si>
  <si>
    <t>samantashan7@gmail.com</t>
  </si>
  <si>
    <t xml:space="preserve">Soumyajit Samanta </t>
  </si>
  <si>
    <t xml:space="preserve">University of Hyderabad </t>
  </si>
  <si>
    <t>Basic understanding of cosmology and preparation for career in astrophysics.</t>
  </si>
  <si>
    <t>helloerico0001@gmail.com</t>
  </si>
  <si>
    <t>Erico N Marak</t>
  </si>
  <si>
    <t xml:space="preserve">NIT Meghalaya </t>
  </si>
  <si>
    <t>I don’t know yet</t>
  </si>
  <si>
    <t>arg4568.agr1@gmail.com</t>
  </si>
  <si>
    <t>Aarav Agrawal</t>
  </si>
  <si>
    <t>Very high</t>
  </si>
  <si>
    <t>mukesh.cp@iitg.ac.in</t>
  </si>
  <si>
    <t>MUKESH CP</t>
  </si>
  <si>
    <t>To learn the Basics</t>
  </si>
  <si>
    <t>B25340@students.iitmandi.ac.in</t>
  </si>
  <si>
    <t xml:space="preserve">Yug mistry </t>
  </si>
  <si>
    <t>Iit mandi</t>
  </si>
  <si>
    <t xml:space="preserve">Really good content </t>
  </si>
  <si>
    <t>ashutosharya.study@gmail.com</t>
  </si>
  <si>
    <t>Ashutosh arya</t>
  </si>
  <si>
    <t xml:space="preserve">University of Lucknow </t>
  </si>
  <si>
    <t>To Know the universe better.</t>
  </si>
  <si>
    <t>nehasinha1807@gmail.com</t>
  </si>
  <si>
    <t>Neha Sinha</t>
  </si>
  <si>
    <t>VIT</t>
  </si>
  <si>
    <t>Expand my knowledge of cosmo</t>
  </si>
  <si>
    <t>zishan07gazi@gmail.com</t>
  </si>
  <si>
    <t xml:space="preserve">ZISHANUDDIN GAZI </t>
  </si>
  <si>
    <t xml:space="preserve">INDIAN INSTITUTE OF SCIENCE EDUCATION AND RESEARCH (IISER ),BERHAMPUR </t>
  </si>
  <si>
    <t xml:space="preserve">I hope this course will introduce me to the modern tools and methodologies used in astronomy research and help me interact with like-minded astronomy enthusiasts. Overall, I expect this course to strengthen my knowledge, improve my practical skills, and inspire me further to explore astronomy and space science in greater depth.I have already written two articles on 1. FROM COSMIC EXPANSION TO MARTIAN LIFE 
2. LABORATORY ASTROCHEMISTRY . 
I hope this course will help you enhance and improve my knowledge about Astronomy more . </t>
  </si>
  <si>
    <t>ashokehazra.physics@gmail.com</t>
  </si>
  <si>
    <t>Ashoke Hazra</t>
  </si>
  <si>
    <t>IISER</t>
  </si>
  <si>
    <t>prasannajitrabha@gmail.com</t>
  </si>
  <si>
    <t xml:space="preserve">Prasannajit Rabha </t>
  </si>
  <si>
    <t xml:space="preserve">Indian Institute of Science Education and Research,Kolkata </t>
  </si>
  <si>
    <t xml:space="preserve">Learning new things in field of Astronomy </t>
  </si>
  <si>
    <t>atharvahanuman@gmail.com</t>
  </si>
  <si>
    <t xml:space="preserve">Atharva Sharma </t>
  </si>
  <si>
    <t>aashukallyani2005@gmail.com</t>
  </si>
  <si>
    <t xml:space="preserve">Aashutosh </t>
  </si>
  <si>
    <t xml:space="preserve">Deshbandhu College </t>
  </si>
  <si>
    <t xml:space="preserve">I aim to expand my knowledge in the field of astronomy and astrophysics </t>
  </si>
  <si>
    <t>bansodevv23.comp@coeptech.ac.in</t>
  </si>
  <si>
    <t>Vedika Bansode</t>
  </si>
  <si>
    <t>tulpuleas25.elec@coeptech.ac.in</t>
  </si>
  <si>
    <t xml:space="preserve">Anvay Tulpule </t>
  </si>
  <si>
    <t>karanjotsingh179b@gmail.com</t>
  </si>
  <si>
    <t>Karanjot Singh</t>
  </si>
  <si>
    <t xml:space="preserve">Indian institute of space science and technology </t>
  </si>
  <si>
    <t>To learn something more and better about astronomy particularly the computational part.</t>
  </si>
  <si>
    <t>nandinitayade2006@gmail.com</t>
  </si>
  <si>
    <t xml:space="preserve">Nandini Santosh Tayade </t>
  </si>
  <si>
    <t xml:space="preserve">COEP technological University </t>
  </si>
  <si>
    <t>To able get a deep dive in the astronomy more</t>
  </si>
  <si>
    <t>kuldeep45.kd@gmail.com</t>
  </si>
  <si>
    <t xml:space="preserve">Kuldeep Chaudhary </t>
  </si>
  <si>
    <t xml:space="preserve">Nit Meghalaya </t>
  </si>
  <si>
    <t>Excited to learn something new</t>
  </si>
  <si>
    <t>mail.abhinavknair@gmail.com</t>
  </si>
  <si>
    <t>Abhinav K. Nair</t>
  </si>
  <si>
    <t xml:space="preserve">Deshbandhu college, University of Delhi </t>
  </si>
  <si>
    <t>To get a clear, structured understanding of astrophysical concepts with a robust focus on the participant's understanding.</t>
  </si>
  <si>
    <t>dpm25ms319@iiserkol.ac.in</t>
  </si>
  <si>
    <t xml:space="preserve">Devanandhan P M </t>
  </si>
  <si>
    <t xml:space="preserve">Beginner friendly lectures that every undergraduate student can understand . A project  which will give  more knowledge about Astronomy </t>
  </si>
  <si>
    <t>panwar.shri003@gmail.com</t>
  </si>
  <si>
    <t>Shrivansh Panwar</t>
  </si>
  <si>
    <t xml:space="preserve">Sanatan Dharam College, Muzaffarnagar, Uttar Pradesh </t>
  </si>
  <si>
    <t>prabhatpandey7126@gmail.com</t>
  </si>
  <si>
    <t>prabhat pandey</t>
  </si>
  <si>
    <t xml:space="preserve">To increase clear understanding about the topic </t>
  </si>
  <si>
    <t>ghawalidurvesh@gmail.com</t>
  </si>
  <si>
    <t xml:space="preserve">Durvesh Ghawali </t>
  </si>
  <si>
    <t xml:space="preserve">DJ Sanghvi College of Engineering </t>
  </si>
  <si>
    <t>To learn more about astronomy. And using data science in it</t>
  </si>
  <si>
    <t>16aryan1tiwari08@gmail.com</t>
  </si>
  <si>
    <t xml:space="preserve">Aryan Tiwari </t>
  </si>
  <si>
    <t>COEP TECHNOLOGICAL UNIVERSITY PUNE</t>
  </si>
  <si>
    <t>To dive deep into the concepts..
Enhance the concept i knew and increase my knowledge of what actually happens in cosmos...</t>
  </si>
  <si>
    <t>amritanshu.shandilya@students.iiserpune.ac.in</t>
  </si>
  <si>
    <t>amritanshu shandilya</t>
  </si>
  <si>
    <t>07004264027</t>
  </si>
  <si>
    <t>iiser pune</t>
  </si>
  <si>
    <t xml:space="preserve">learning about astronomy </t>
  </si>
  <si>
    <t>bhoiteanuja28@gmail.com</t>
  </si>
  <si>
    <t xml:space="preserve">Anuja Bhoite </t>
  </si>
  <si>
    <t>AISSMS COE, Pune</t>
  </si>
  <si>
    <t>Sc25ms067@iiserkol.ac.in</t>
  </si>
  <si>
    <t xml:space="preserve">Sagnik Chakraborty </t>
  </si>
  <si>
    <t>To Learn about astronomy. I love exploring different aspects of physics especially the theoritical part</t>
  </si>
  <si>
    <t>nw22ms165@iiserkol.ac.in</t>
  </si>
  <si>
    <t>Nathan Wesley</t>
  </si>
  <si>
    <t>To learn about space</t>
  </si>
  <si>
    <t>rastogikrishnavaibhav@gmail.com</t>
  </si>
  <si>
    <t>Krishna</t>
  </si>
  <si>
    <t>Expecting to learn new exciting thing and how I calibrate my coding skills on astronomical data available</t>
  </si>
  <si>
    <t>ekta91798@gmail.com</t>
  </si>
  <si>
    <t xml:space="preserve">Ekta Yadav </t>
  </si>
  <si>
    <t>To expand my knowledge about the space,above the things which i can see from my home rooftop</t>
  </si>
  <si>
    <t>Schanderveer95@gmail.com</t>
  </si>
  <si>
    <t>Chanderveer Singh</t>
  </si>
  <si>
    <t xml:space="preserve">87089 96629 </t>
  </si>
  <si>
    <t>Deshbandhu college</t>
  </si>
  <si>
    <t xml:space="preserve">To get a great knowledge about astronomy 101 and to apply that for my future studies </t>
  </si>
  <si>
    <t>vedbute21@gmail.com</t>
  </si>
  <si>
    <t xml:space="preserve">Ved Bute </t>
  </si>
  <si>
    <t>Indian Institute of Science Education and Research (IISER), Berhampur</t>
  </si>
  <si>
    <t>arushdesai11@gmail.com</t>
  </si>
  <si>
    <t>Arush Desai</t>
  </si>
  <si>
    <t>mahidarji3769@gmail.com</t>
  </si>
  <si>
    <t xml:space="preserve">Mahendra </t>
  </si>
  <si>
    <t>gayatri.manke@cumminscollege.in</t>
  </si>
  <si>
    <t>Gayatri Manke</t>
  </si>
  <si>
    <t>MKSSS’S Cummins College of Engineering,Pune</t>
  </si>
  <si>
    <t>aadineve47@gmail.com</t>
  </si>
  <si>
    <t xml:space="preserve">Aaditi Neve </t>
  </si>
  <si>
    <t>Coep</t>
  </si>
  <si>
    <t xml:space="preserve">To learn and gain more information about astronomy </t>
  </si>
  <si>
    <t>ranitsen7264@gmail.com</t>
  </si>
  <si>
    <t>Ranit Sen</t>
  </si>
  <si>
    <t>Ramakrishna Mission Vivekananda Centanary College (RKMVCC) Rahara</t>
  </si>
  <si>
    <t>As a Physics student with a deep interest in astrophysics and cosmology, my primary expectation from Astronomy 101 is to build a well-rounded foundation across all aspects of the field. While I have some background in theoretical physics and basic Python, I am very eager to solidify my understanding of stellar evolution, black holes, and the early universe through the Theoretical Module.
​Furthermore, I am looking forward to the Computational Module to learn how to apply programming and introductory machine learning specifically to astronomical datasets. Finally, the Observational Module is what excites me the most, as I currently lack hands-on experience with telescope handling, celestial navigation, and FITS data processing. Overall, I hope this course will help bridge the gap between my academic coursework and practical, real-world astronomical observation.</t>
  </si>
  <si>
    <t>dattadebarun4@gmail.com</t>
  </si>
  <si>
    <t>Debarun y</t>
  </si>
  <si>
    <t>p.mrunal@gmail.com</t>
  </si>
  <si>
    <t>Mrunal Nerpawar</t>
  </si>
  <si>
    <t>09423570216</t>
  </si>
  <si>
    <t>Working</t>
  </si>
  <si>
    <t>Learn new aspects about how to interpret the sky</t>
  </si>
  <si>
    <t>mr24ms010@iiserkol.ac.in</t>
  </si>
  <si>
    <t xml:space="preserve">Mustafijur Rahaman </t>
  </si>
  <si>
    <t xml:space="preserve">shreyashkadam2021@gmail.com </t>
  </si>
  <si>
    <t xml:space="preserve">Shreyash Santosh Kadam </t>
  </si>
  <si>
    <t>aarush.singh.2704@gmail.com</t>
  </si>
  <si>
    <t>Aarush Singh</t>
  </si>
  <si>
    <t>Indian institute of technology Mandi</t>
  </si>
  <si>
    <t>upadhyayichchha6@gmail.com</t>
  </si>
  <si>
    <t>Ichchha Upadhyay</t>
  </si>
  <si>
    <t>RK University, Rajkot</t>
  </si>
  <si>
    <t>Get to know more coding centric approach in astronomy and more aspects to explore in astronomy like how the data is used for analysis and how conclusions are drawn.</t>
  </si>
  <si>
    <t>ad25ms027@iiserkol.ac.in</t>
  </si>
  <si>
    <t xml:space="preserve">Arunabha Dutta </t>
  </si>
  <si>
    <t>To learn detailed astronomy.</t>
  </si>
  <si>
    <t>simran.prajapati@cumminscollege.in</t>
  </si>
  <si>
    <t xml:space="preserve">Simran Prajapati </t>
  </si>
  <si>
    <t xml:space="preserve">Cummins College of engineering, Pune </t>
  </si>
  <si>
    <t>samikshabhosale67@gmail.com</t>
  </si>
  <si>
    <t xml:space="preserve">Samiksha Anil Bhosale </t>
  </si>
  <si>
    <t xml:space="preserve">AISSMS COE </t>
  </si>
  <si>
    <t>Get know about space from basic from scratch like basic terminologies how it created how they till exist about astrophysics there calculation there concepts why space is too mysterious and how can we solve by using maths physics in short about space expect knowledge from basic scratch.</t>
  </si>
  <si>
    <t>soumyashreeholikatti7@gmail.com</t>
  </si>
  <si>
    <t xml:space="preserve">Soumyashree Holikatti </t>
  </si>
  <si>
    <t>Learn the fundamentals of astronomy and astrophysics, including planets, stars, galaxies, black holes, cosmology, telescopes,
Explore how coding and data science are used in astronomy
Gain hands-on experience with night sky observation, telescope handling, celestial navigation, astrophotography</t>
  </si>
  <si>
    <t>astro.joshiaditya@gmail.com</t>
  </si>
  <si>
    <t>Aditya Joshi</t>
  </si>
  <si>
    <t>Understanding more about hands on computational and practical astronomy.</t>
  </si>
  <si>
    <t xml:space="preserve">Get know about space from basic from scratch like basic terminologies how it created how they till exist about astrophysics there calculation there concepts why space is too mysterious and how can we solve by using maths physics in short about space expect knowledge from basic scratch if possible also provide recording of lectures because when course is starting on same day our exams also going to starts </t>
  </si>
  <si>
    <t>nasinasukesh@gmail.com</t>
  </si>
  <si>
    <t xml:space="preserve">Sukesh </t>
  </si>
  <si>
    <t>IIST</t>
  </si>
  <si>
    <t>sg25ms050@iiserkol.ac.in</t>
  </si>
  <si>
    <t xml:space="preserve">Shrijita Ghorai </t>
  </si>
  <si>
    <t>swatiramnani15@gmail.com</t>
  </si>
  <si>
    <t>Swati Ramnani</t>
  </si>
  <si>
    <t>St. Xavier's College, Ahmedabad</t>
  </si>
  <si>
    <t xml:space="preserve">to learn more about astronomy in a structured way
</t>
  </si>
  <si>
    <t>g.vishnu@iitg.ac.in</t>
  </si>
  <si>
    <t xml:space="preserve">Vishnu G </t>
  </si>
  <si>
    <t xml:space="preserve">Basic understanding of astronomy </t>
  </si>
  <si>
    <t>an25ms169@iiserkol.ac.in</t>
  </si>
  <si>
    <t>Abhishek Nayak</t>
  </si>
  <si>
    <t xml:space="preserve">To know more beyond childhood fantasies and learn about the real field which can help me think whether to consider this as my career or keep it as a learning experience. Also a bit of computational tools that can help me grow skills. </t>
  </si>
  <si>
    <t>sangleshashank2508@gmail.com</t>
  </si>
  <si>
    <t>Shashank Rajendra Sangle</t>
  </si>
  <si>
    <t>I expect that this course will be really beginner-friendly and I will get enough chances to level up by learning from the contents in this course.</t>
  </si>
  <si>
    <t>pandeyabhra@gmail.com</t>
  </si>
  <si>
    <t>Abhra Pandey</t>
  </si>
  <si>
    <t>ishamaravi328@gmail.com</t>
  </si>
  <si>
    <t xml:space="preserve">Isha Maravi </t>
  </si>
  <si>
    <t xml:space="preserve">Maulana Azad National institute of technology bhopal </t>
  </si>
  <si>
    <t xml:space="preserve">Intresting and Fun to learn. </t>
  </si>
  <si>
    <t>khushigupd71@gmail.com</t>
  </si>
  <si>
    <t>Khushi Gupta</t>
  </si>
  <si>
    <t>To learn machine learning and astronomy</t>
  </si>
  <si>
    <t>metta.murthy@students.iiit.ac.in</t>
  </si>
  <si>
    <t>Metta Venkata Ramana Murthy</t>
  </si>
  <si>
    <t>I expect to gain hands-on experience in applying computational techniques to astronomy. Specifically, I hope to learn data analysis, basic machine learning concepts, and the use of astronomy-related software and datasets. I am interested in understanding how computational tools are used to process astronomical data, identify patterns, and solve real-world problems in astronomy. I also hope the course will help me build practical skills that can be applied to future projects and research.</t>
  </si>
  <si>
    <t>rinnungirokhum28@gmail.com</t>
  </si>
  <si>
    <t>Lalrinnungi</t>
  </si>
  <si>
    <t>09862434199</t>
  </si>
  <si>
    <t>Mizoram Science Centre</t>
  </si>
  <si>
    <t>To increase knowledge in astronomy and to better understand its various related subjects</t>
  </si>
  <si>
    <t>anilmengade80@gmail.com</t>
  </si>
  <si>
    <t xml:space="preserve">Anil Mengade </t>
  </si>
  <si>
    <t>Institute of Science, Mumbai</t>
  </si>
  <si>
    <t>Detail information with recording</t>
  </si>
  <si>
    <t>meetumehta113@gmail.com</t>
  </si>
  <si>
    <t>Meet Mehta</t>
  </si>
  <si>
    <t xml:space="preserve">M G Science Institute </t>
  </si>
  <si>
    <t>It would clear many things that a beginner should know and looking forward to it.</t>
  </si>
  <si>
    <t>dishathavrani308@gmail.com</t>
  </si>
  <si>
    <t xml:space="preserve">Thavrani Disha </t>
  </si>
  <si>
    <t xml:space="preserve">M.G Science Institute </t>
  </si>
  <si>
    <t>To learn about astronomy as much as I can and to interact with new people</t>
  </si>
  <si>
    <t>chinmayw@iisc.ac.in</t>
  </si>
  <si>
    <t>Chinmay Wasnik</t>
  </si>
  <si>
    <t xml:space="preserve">IISc, Bangalore </t>
  </si>
  <si>
    <t>Gaining some formal knowledge on astronomy, learning some data analysis</t>
  </si>
  <si>
    <t xml:space="preserve">Jayapriya S </t>
  </si>
  <si>
    <t xml:space="preserve">Women’s Christian College, Chennai </t>
  </si>
  <si>
    <t>y.stalin@iitg.ac.in</t>
  </si>
  <si>
    <t>Yarlagadda Stalin</t>
  </si>
  <si>
    <t>Planetsssssssss</t>
  </si>
  <si>
    <t>makarma627@gmail.com</t>
  </si>
  <si>
    <t>Kartik</t>
  </si>
  <si>
    <t>Savitribai Phule Pune University</t>
  </si>
  <si>
    <t>diddigisrivatsa2006@gmail.com</t>
  </si>
  <si>
    <t>D Srivatsa</t>
  </si>
  <si>
    <t>lasyakaradkar@gmail.com</t>
  </si>
  <si>
    <t xml:space="preserve">Lasya Karadkar </t>
  </si>
  <si>
    <t xml:space="preserve">Millennium National School </t>
  </si>
  <si>
    <t xml:space="preserve">My expectations would be that it is fun, interactive and easy to understand. </t>
  </si>
  <si>
    <t>aakanksha.ug24.ar@nitp.ac.in</t>
  </si>
  <si>
    <t xml:space="preserve">Aakanksha </t>
  </si>
  <si>
    <t xml:space="preserve">adityastroweb@gmail.com </t>
  </si>
  <si>
    <t>Vanya Gupta</t>
  </si>
  <si>
    <t>UP Kirana Seva Samiti</t>
  </si>
  <si>
    <t>neshsangay@gmail.com</t>
  </si>
  <si>
    <t xml:space="preserve">Nesh Patel </t>
  </si>
  <si>
    <t xml:space="preserve">IIT Mandi </t>
  </si>
  <si>
    <t>raghavstar13@outlook.com</t>
  </si>
  <si>
    <t>Raghav Aggarwal</t>
  </si>
  <si>
    <t>International Institute of information Technology, Hyderabad</t>
  </si>
  <si>
    <t>learn more about machine learning and data science in the context of astronomy</t>
  </si>
  <si>
    <t>s25ph010@nitm.ac.in</t>
  </si>
  <si>
    <t>Sanju Barik</t>
  </si>
  <si>
    <t>NIT meghalaya</t>
  </si>
  <si>
    <t xml:space="preserve">Learning new skills </t>
  </si>
  <si>
    <t>sanketvshanbhag@gmail.com</t>
  </si>
  <si>
    <t>Sanket Vishwanath Shanbhag</t>
  </si>
  <si>
    <t>National Institute of Technology, Surathkal</t>
  </si>
  <si>
    <t xml:space="preserve"> to explore the field and what current research is about</t>
  </si>
  <si>
    <t>pallavichandekar@gmail.com</t>
  </si>
  <si>
    <t xml:space="preserve">Ved Purohit </t>
  </si>
  <si>
    <t xml:space="preserve">Tree House High School </t>
  </si>
  <si>
    <t xml:space="preserve">Gain knowledge </t>
  </si>
  <si>
    <t>birukumar0352@gmail.com</t>
  </si>
  <si>
    <t>Biru kumar</t>
  </si>
  <si>
    <t>Government Engineering College Buxar</t>
  </si>
  <si>
    <t>Learn new thing</t>
  </si>
  <si>
    <t>Ramakrishna Mission Vivekananda Centenary College (RKMVCC) Rahara</t>
  </si>
  <si>
    <t>As a Bachelor Physics student with a deep interest in astrophysics and cosmology, my primary expectation from Astronomy 101 is to build a well-rounded foundation across all aspects of the field. While I have some background in theoretical physics and basic Python, I am very eager to solidify my understanding of stellar evolution, black holes, and the early universe through the Theoretical Module.
​Furthermore, I am looking forward to the Computational Module to learn how to apply programming and introductory machine learning specifically to astronomical datasets. Finally, the Observational Module is what excites me the most, as I currently lack hands-on experience with telescope handling, celestial navigation, and FITS data processing. Overall, I hope this course will help bridge the gap between my academic coursework and practical, real-world astronomical observation.</t>
  </si>
  <si>
    <t>armanr.ug25.me@nitp.ac.in</t>
  </si>
  <si>
    <t xml:space="preserve">Arman Raza </t>
  </si>
  <si>
    <t>National institute of technology patna</t>
  </si>
  <si>
    <t xml:space="preserve">To get to know about how celestial bodies and other galactic object interact </t>
  </si>
  <si>
    <t>suneethra.s-29@scds.saiuniversity.edu.in</t>
  </si>
  <si>
    <t xml:space="preserve">S T Suneethra </t>
  </si>
  <si>
    <t>+91 74182 28351</t>
  </si>
  <si>
    <t xml:space="preserve">Sai University </t>
  </si>
  <si>
    <t>latesh437@gmail.com</t>
  </si>
  <si>
    <t>Latesh Patil</t>
  </si>
  <si>
    <t>I hope to gain a good foundation in astronomy, understand celestial objects and phenomena, learn basic computational tools such as Python for astronomical data analysis, and develop practical observational skills using telescopes. I am also interested in exploring astrophotography and learning how astronomers collect and interpret data from observations.</t>
  </si>
  <si>
    <t>b24cs030@nitm.ac.in</t>
  </si>
  <si>
    <t>B Dharun</t>
  </si>
  <si>
    <t>National Institute of Technology Meghalaya</t>
  </si>
  <si>
    <t>Explore interdisciplinary domains that could influence my future interests.</t>
  </si>
  <si>
    <t>chandraprakashp.mca25@nitp.ac.in</t>
  </si>
  <si>
    <t xml:space="preserve">Chandraprakash Patidar </t>
  </si>
  <si>
    <t>marngarjefferson@gmail.com</t>
  </si>
  <si>
    <t>Jefferson Marngar</t>
  </si>
  <si>
    <t>MIZORAM UNIVERSITY</t>
  </si>
  <si>
    <t>chinglembiheikrujam7@gmail.com</t>
  </si>
  <si>
    <t>Kristina Heikrujam</t>
  </si>
  <si>
    <t>Women's Christian College</t>
  </si>
  <si>
    <t>Gain experience in computation</t>
  </si>
  <si>
    <t>aditisalunkhe2021@gmail.com</t>
  </si>
  <si>
    <t xml:space="preserve">Aditi Salunkhe </t>
  </si>
  <si>
    <t xml:space="preserve">All India Shri shivaji memorial society College of engineering pune </t>
  </si>
  <si>
    <t xml:space="preserve">Recorded lectures </t>
  </si>
  <si>
    <t>nidhik.ug24.ar@nitp.ac.in</t>
  </si>
  <si>
    <t xml:space="preserve">NIDHI KUMARI </t>
  </si>
  <si>
    <t>To learn something new and to explore new subject.</t>
  </si>
  <si>
    <t>nitin.raghorte@gmail.com</t>
  </si>
  <si>
    <t xml:space="preserve">Nitin Raghorte </t>
  </si>
  <si>
    <t>Software Engineer</t>
  </si>
  <si>
    <t xml:space="preserve">Studying and becoming proficient in Astronomy </t>
  </si>
  <si>
    <t>jyotirmoybharali105@gmail.com</t>
  </si>
  <si>
    <t>Jyotirmoy Bharali</t>
  </si>
  <si>
    <t xml:space="preserve">I expect that I can get a better understanding of astronomy, astrophysics and all cosmological bodies theoretically and practically. </t>
  </si>
  <si>
    <t>rahateaayush50@gmail.com</t>
  </si>
  <si>
    <t xml:space="preserve">Aayush Rahate </t>
  </si>
  <si>
    <t>Vishwakarma Institute of Technology, Pune</t>
  </si>
  <si>
    <t xml:space="preserve">Learn how to implement tech knowledge into astronomy. </t>
  </si>
  <si>
    <t>versha2809@gmail.com</t>
  </si>
  <si>
    <t>Versha</t>
  </si>
  <si>
    <t>hardik.23.jain@gmail.com</t>
  </si>
  <si>
    <t xml:space="preserve">Hardik Jain </t>
  </si>
  <si>
    <t>8318980881(Wtsp)</t>
  </si>
  <si>
    <t>patiltanishka1827@gmail.com</t>
  </si>
  <si>
    <t xml:space="preserve">Tanishka </t>
  </si>
  <si>
    <t xml:space="preserve">AISSMS college of engineering </t>
  </si>
  <si>
    <t>To gain more theoretical insights and be more attentive in night sky observations.</t>
  </si>
  <si>
    <t>tleipuii36@gmail.com</t>
  </si>
  <si>
    <t xml:space="preserve">C Vanlaltleipuii </t>
  </si>
  <si>
    <t>To extend my knowledge and to know more</t>
  </si>
  <si>
    <t>2urvish4.mehta@gmail.com</t>
  </si>
  <si>
    <t xml:space="preserve">Urvish Mehta </t>
  </si>
  <si>
    <t xml:space="preserve">M.G. Science Institute </t>
  </si>
  <si>
    <t xml:space="preserve">To gain experience in Python and Machine learning </t>
  </si>
  <si>
    <t>ayushghadi2004@gmail.com</t>
  </si>
  <si>
    <t>Ayush Ghadi</t>
  </si>
  <si>
    <t>University department of physics, kalina, santacruz, Mumbai</t>
  </si>
  <si>
    <t>I just want to learn the beginner level astronomy concepts. I had interest in in astrophysics from the beginning of my academics. I'm hoping I'll learn all the surface level things and computational work in this course.</t>
  </si>
  <si>
    <t>rishitar.ug25.me@nitp.ac.in</t>
  </si>
  <si>
    <t xml:space="preserve">Rishita Ranjan </t>
  </si>
  <si>
    <t xml:space="preserve">National Institute of Technology , Patna </t>
  </si>
  <si>
    <t>veena.ramadas@research.iiit.ac.in</t>
  </si>
  <si>
    <t>Veena Ramadas</t>
  </si>
  <si>
    <t>International Institute of Information Technology Hyderabad</t>
  </si>
  <si>
    <t>shouryasarkar2005@gmail.com</t>
  </si>
  <si>
    <t xml:space="preserve">Shourya Sarkar </t>
  </si>
  <si>
    <t>shraddha.dash.9001@gmail.com</t>
  </si>
  <si>
    <t xml:space="preserve">Shraddha Dash </t>
  </si>
  <si>
    <t>IIT MANDI</t>
  </si>
  <si>
    <t>Explore deep into the field of astronomy and enhance my skills</t>
  </si>
  <si>
    <t>varunvaswani2006@gmail.com</t>
  </si>
  <si>
    <t>Varun Vaswani</t>
  </si>
  <si>
    <t>+916263356486</t>
  </si>
  <si>
    <t>School of Studies in Physics, Samrat Vikramaditya University</t>
  </si>
  <si>
    <t>As an aspiring Astrophysicist, having laid a firm groundwork for the field, I am extremely eager &amp; hungry to expand my knowledge base as much as possible, and learn from the masters of the trade.</t>
  </si>
  <si>
    <t>ds25ms111@iiserkol.ac.in</t>
  </si>
  <si>
    <t>Debanjan Sen</t>
  </si>
  <si>
    <t>Just to learn something new.</t>
  </si>
  <si>
    <t>Just want to learn something cool</t>
  </si>
  <si>
    <t>25dec018@nith.ac.in</t>
  </si>
  <si>
    <t>Nishank</t>
  </si>
  <si>
    <t>vishesh.khemka@students.iiit.ac.in</t>
  </si>
  <si>
    <t>Vishesh khemka</t>
  </si>
  <si>
    <t xml:space="preserve">Iiit Hyderabad </t>
  </si>
  <si>
    <t>Exception: Invalid email: Rajat</t>
  </si>
  <si>
    <t xml:space="preserve">Curious about learning new things how astronomy and software is connected. </t>
  </si>
  <si>
    <t>aritrar1@gmail.com</t>
  </si>
  <si>
    <t>Aritra Roy</t>
  </si>
  <si>
    <t>The Maharaja Sayajirao University of Baroda</t>
  </si>
  <si>
    <t>msfmsfmf.gmail.com</t>
  </si>
  <si>
    <t>kfkfk</t>
  </si>
  <si>
    <t>Exception: Invalid email: msfmsfmf.gmail.com</t>
  </si>
  <si>
    <t>memdjmdmd</t>
  </si>
  <si>
    <t>ss23ip008@iiserkol.ac.in</t>
  </si>
  <si>
    <t xml:space="preserve">Soumyadeep Sarkar </t>
  </si>
  <si>
    <t>Iiser k</t>
  </si>
  <si>
    <t>A path to know how to analyze astronomical data</t>
  </si>
  <si>
    <t>netrasondharwa2796@gmail.com</t>
  </si>
  <si>
    <t xml:space="preserve">Netra Sondharwa </t>
  </si>
  <si>
    <t xml:space="preserve">M.G.SCIENCE INSTITUTE </t>
  </si>
  <si>
    <t xml:space="preserve">May it will cover tips and tricks that can simplify physics more easily </t>
  </si>
  <si>
    <t>sarankarthikeyan7227@gmail.com</t>
  </si>
  <si>
    <t xml:space="preserve">Saran Karthikeyan SM </t>
  </si>
  <si>
    <t xml:space="preserve">Manipal institute of technology </t>
  </si>
  <si>
    <t>himanshipoddar2006@gmail.com</t>
  </si>
  <si>
    <t>Himanshi Poddar</t>
  </si>
  <si>
    <t xml:space="preserve">Indian Institute of Space Science and Technology </t>
  </si>
  <si>
    <t>sk27nj12@gmail.com</t>
  </si>
  <si>
    <t>prathameshingle298@gmail.com</t>
  </si>
  <si>
    <t>Prathamesh Ingle</t>
  </si>
  <si>
    <t>09921695198</t>
  </si>
  <si>
    <t>Indian Institute Of Space Science and Technology, Thiruvananthapuram</t>
  </si>
  <si>
    <t>Building strong fundamentals in Astrophysics and Astronomy. Learning amazing knowledge which is not known , something new and fascinating, deep diving in the space.</t>
  </si>
  <si>
    <t>mpurvith334@gmail.com</t>
  </si>
  <si>
    <t xml:space="preserve">Purvith </t>
  </si>
  <si>
    <t xml:space="preserve">MVJCE </t>
  </si>
  <si>
    <t>suyogsoman7@gmail.com</t>
  </si>
  <si>
    <t>Suyog Madhav Soman</t>
  </si>
  <si>
    <t>Indian Institute of Space Science and Technology, Thiruvananthapuram</t>
  </si>
  <si>
    <t>ashikark2006@gmail.com</t>
  </si>
  <si>
    <t>Ashika</t>
  </si>
  <si>
    <t xml:space="preserve">St Joseph's University </t>
  </si>
  <si>
    <t>shriya.s.reshmi@gmail.com</t>
  </si>
  <si>
    <t>Shriya Reshmi</t>
  </si>
  <si>
    <t>ranjitk.ph22.cs@nitp.ac.in</t>
  </si>
  <si>
    <t>Ranjit Kumar</t>
  </si>
  <si>
    <t>As a PhD scholar, I am eager to explore the intersections of computational tools and observational data in astronomy. I hope to gain a solid foundational understanding of astrophysics while learning how Python and machine learning are practically applied to celestial data analysis</t>
  </si>
  <si>
    <t>dharshikclt@gmail.com</t>
  </si>
  <si>
    <t>Dharshik C K</t>
  </si>
  <si>
    <t>IUCAA</t>
  </si>
  <si>
    <t>I think and take this as a prerequisite for my course on astrophysics Iam expecting advanced level topics taught in a simpler way so that we can easily grasp</t>
  </si>
  <si>
    <t>divyanshik.mca24@nitp.ac.in</t>
  </si>
  <si>
    <t xml:space="preserve">Divyanshi Kushwaha </t>
  </si>
  <si>
    <t xml:space="preserve">To learn something new about coding and get help to prepare for my it placement from yrr course </t>
  </si>
  <si>
    <t>dibendud70@gmail.com</t>
  </si>
  <si>
    <t>Dibendu Das</t>
  </si>
  <si>
    <t>University of Hyderabad</t>
  </si>
  <si>
    <t>Understanding fundamentals of Astronomy.</t>
  </si>
  <si>
    <t>abdul456minhaj@gmail.com</t>
  </si>
  <si>
    <t xml:space="preserve">Abdul Minhaj </t>
  </si>
  <si>
    <t xml:space="preserve">Kirori Mal College, University of Delhi </t>
  </si>
  <si>
    <t>I have completed one semester studying Astrophysics and Astronomy. I developed some basis about this excellent discipline of Physics. I want to learn more about Astrophysics. Also want to discover some useful tools and interactive way to learn. 
I am expecting computational Module would teach me some useful analytical skills.</t>
  </si>
  <si>
    <t>AtulYadav.Btech@Gmail.Com</t>
  </si>
  <si>
    <t>Atul</t>
  </si>
  <si>
    <t>Mait</t>
  </si>
  <si>
    <t>srujankulkarni.ae23@rvce.edu.in</t>
  </si>
  <si>
    <t>Srujan Kulkarni</t>
  </si>
  <si>
    <t>RV College of Engineering</t>
  </si>
  <si>
    <t>Basics</t>
  </si>
  <si>
    <t>etoppo25@gmail.com</t>
  </si>
  <si>
    <t>Marc Reuben Toppo</t>
  </si>
  <si>
    <t>Podar International School, Bhopal</t>
  </si>
  <si>
    <t xml:space="preserve">Learn Interesting things about space and planets. </t>
  </si>
  <si>
    <t>itsmedivya712@gmail.com</t>
  </si>
  <si>
    <t>Divya Singh</t>
  </si>
  <si>
    <t xml:space="preserve">St Xavier's College </t>
  </si>
  <si>
    <t xml:space="preserve">Just excited about how would you use tools for stargazing </t>
  </si>
  <si>
    <t>bsnl007@gmail.com</t>
  </si>
  <si>
    <t xml:space="preserve">Ashaman Singh </t>
  </si>
  <si>
    <t xml:space="preserve">Delhi Public school international, Saket, Delhi </t>
  </si>
  <si>
    <t xml:space="preserve">Fundamental Foundation knowledge </t>
  </si>
  <si>
    <t>gehlotdinesh642@gmail.com</t>
  </si>
  <si>
    <t xml:space="preserve">Dinesh Gehlot </t>
  </si>
  <si>
    <t xml:space="preserve">Indian Institute of Engineering Science and Technology, Shibpur </t>
  </si>
  <si>
    <t>dhiruk.ug25.me@nitp.ac.in</t>
  </si>
  <si>
    <t xml:space="preserve">Dhiru Kumar </t>
  </si>
  <si>
    <t>ss24ms079@iiserkol.ac.in</t>
  </si>
  <si>
    <t xml:space="preserve">Swapnaneel Sengupta </t>
  </si>
  <si>
    <t xml:space="preserve">To learn more about astronomical observation techniques and their computational techniques </t>
  </si>
  <si>
    <t>spandana.sp.kulkarni@gmail.com</t>
  </si>
  <si>
    <t xml:space="preserve">Spandana Kulkarni </t>
  </si>
  <si>
    <t xml:space="preserve">St. Joseph's University Bangalore </t>
  </si>
  <si>
    <t xml:space="preserve">To learn something new and get up to date with the current astronomy techniques </t>
  </si>
  <si>
    <t>ullaschandrashekar02@gmail.com</t>
  </si>
  <si>
    <t>Ullas</t>
  </si>
  <si>
    <t>IISc</t>
  </si>
  <si>
    <t>Hope to learn enough astronomy that I can understand current research in it.</t>
  </si>
  <si>
    <t>dspanchami7@gmail.com</t>
  </si>
  <si>
    <t>Panchami DS</t>
  </si>
  <si>
    <t xml:space="preserve">Siddaganga institute of technology tumkur </t>
  </si>
  <si>
    <t>I want to learn the basics of astronomy and cosmology in a simple and practical way. I am also interested in learning how Python and data analysis are used in astronomy. Through this course, I hope to improve my knowledge about stars, planets, telescopes, and space observation.</t>
  </si>
  <si>
    <t>vivekmatade212@gmail.com</t>
  </si>
  <si>
    <t xml:space="preserve">Vivek Matade </t>
  </si>
  <si>
    <t xml:space="preserve">Siddaganga Institute of Technology Tumkur </t>
  </si>
  <si>
    <t xml:space="preserve">To learn new things deeply and increase the knowledge of cosmos </t>
  </si>
  <si>
    <t>sharmashreyansh001@gmail.com</t>
  </si>
  <si>
    <t>Shreyansh Sharma</t>
  </si>
  <si>
    <t>Ramjas College, University of Delhi</t>
  </si>
  <si>
    <t xml:space="preserve">A detailed course covering all major topics of astronomy and astrophysics, to fair up concepts. </t>
  </si>
  <si>
    <t>tejoram365@gmail.com</t>
  </si>
  <si>
    <t xml:space="preserve">PUPPALA TEJORAM </t>
  </si>
  <si>
    <t>Srm ap</t>
  </si>
  <si>
    <t xml:space="preserve">Knowledge and concepts and practicality </t>
  </si>
  <si>
    <t>saurabhpatil4583@gmail.com</t>
  </si>
  <si>
    <t>SAURABH PRAVIN PATIL</t>
  </si>
  <si>
    <t>Exploring the mystery of space ,to enrich the knowledge about space , unexplained theories ,etc</t>
  </si>
  <si>
    <t>sarkarkoustubh@gmail.com</t>
  </si>
  <si>
    <t>Koustubh Sarkar</t>
  </si>
  <si>
    <t>cliffordmogera@gmail.com</t>
  </si>
  <si>
    <t xml:space="preserve">CLIFFORD MOGERA </t>
  </si>
  <si>
    <t xml:space="preserve">St. Xavier's College Ahmedabad </t>
  </si>
  <si>
    <t>I'm an enthusiast about Astronomy and I want to learn more about it.</t>
  </si>
  <si>
    <t>ramashrays.sahu@students.iiserpune.ac.in</t>
  </si>
  <si>
    <t>Ramashray Sahu</t>
  </si>
  <si>
    <t>IISER Pune</t>
  </si>
  <si>
    <t>To learn new interesting concepts and expand my current knowledge of astronomy</t>
  </si>
  <si>
    <t>avanee.sangam@students.iiit.ac.in</t>
  </si>
  <si>
    <t>Avanee Vilas Sangam</t>
  </si>
  <si>
    <t>International institute of information technology, Hyderabad</t>
  </si>
  <si>
    <t xml:space="preserve">Hoping the course helps me understand Astronomy better. </t>
  </si>
  <si>
    <t>awadhdbg@gmail.com</t>
  </si>
  <si>
    <t xml:space="preserve">Awadh Agrawal </t>
  </si>
  <si>
    <t>St Xavier's kolkata</t>
  </si>
  <si>
    <t xml:space="preserve">Learn basics </t>
  </si>
  <si>
    <t>vishaljain.aim@gmail.com</t>
  </si>
  <si>
    <t>Ria Jain</t>
  </si>
  <si>
    <t>Homeschool</t>
  </si>
  <si>
    <t>saksenakshita@gmail.com</t>
  </si>
  <si>
    <t>Akshita Saxena</t>
  </si>
  <si>
    <t xml:space="preserve">IIT Jammu </t>
  </si>
  <si>
    <t>I wish that at the end of this course i would be able to use jupyter notebook and coding related to astronomy. I am also excited to learn more about astronomy.</t>
  </si>
  <si>
    <t>subhamofficial.du@gmail.com</t>
  </si>
  <si>
    <t>Subham Nayak</t>
  </si>
  <si>
    <t xml:space="preserve">University of Delhi </t>
  </si>
  <si>
    <t>My expectation is to bridge the gap between theoretical physics and observational astronomy. I hope to learn about modern data analysis techniques used in the industry and understand the physics behind the instrumentation used to study the universe.</t>
  </si>
  <si>
    <t>petronumincepto@gmail.com</t>
  </si>
  <si>
    <t xml:space="preserve">Saksham </t>
  </si>
  <si>
    <t xml:space="preserve">Indian institute of technology jammu </t>
  </si>
  <si>
    <t xml:space="preserve">Learning basics of astronomy </t>
  </si>
  <si>
    <t>2025uep0175@iitjammu.ac.in</t>
  </si>
  <si>
    <t>Vedant Lakade</t>
  </si>
  <si>
    <t>IIT Jammu</t>
  </si>
  <si>
    <t>2025ume0268@iitjammu.ac.in</t>
  </si>
  <si>
    <t>Navya Gupta</t>
  </si>
  <si>
    <t xml:space="preserve">To get a good footing in computation module and learn with ease </t>
  </si>
  <si>
    <t>yugantchelak@iisc.ac.in</t>
  </si>
  <si>
    <t>Yugant Chelak</t>
  </si>
  <si>
    <t xml:space="preserve">Indian Institute Of Science, Bangalore </t>
  </si>
  <si>
    <t>E</t>
  </si>
  <si>
    <t>hitaxs2211@gmail.com</t>
  </si>
  <si>
    <t xml:space="preserve">Solanki Hitaksh Amit Kumar </t>
  </si>
  <si>
    <t xml:space="preserve">St. Xavier's College, Ahmedabad </t>
  </si>
  <si>
    <t>I'm passed out my bachelor degree with physics department but I don't know anything about astronomy and astrophysics related so I would think that atleast I'll know 10-20% of whole astronomy from this course.</t>
  </si>
  <si>
    <t>yagnasaradava@gmail.com</t>
  </si>
  <si>
    <t>Yagna Saradava</t>
  </si>
  <si>
    <t>shruti932000@gmail.com</t>
  </si>
  <si>
    <t xml:space="preserve">Shruti jaiswal </t>
  </si>
  <si>
    <t xml:space="preserve">Techno India University </t>
  </si>
  <si>
    <t>u.mourya@iitg.ac.in</t>
  </si>
  <si>
    <t xml:space="preserve">Udit Dev Mourya </t>
  </si>
  <si>
    <t xml:space="preserve">Learning new things about astronomy </t>
  </si>
  <si>
    <t>princekumarchoudhary22@gmail.com</t>
  </si>
  <si>
    <t>Prince Kumar Choudhary</t>
  </si>
  <si>
    <t>I want to learn the fundamentals of astronomy, explore its applications using Python and data analysis, and gain hands-on experience with astronomical observations and astrophotography.</t>
  </si>
  <si>
    <t>kashishkumari36473@gmail.com</t>
  </si>
  <si>
    <t>Kashish kumari</t>
  </si>
  <si>
    <t xml:space="preserve">St. Xavier's College, Ranchi </t>
  </si>
  <si>
    <t>astronomy course usually builds your understanding of the universe step by step — from basic sky observations to modern ideas about galaxies, black holes, and cosmology. Here’s what you can generally expect:</t>
  </si>
  <si>
    <t>amanmina322230@gmail.com</t>
  </si>
  <si>
    <t xml:space="preserve">Aman </t>
  </si>
  <si>
    <t>I want to learn about astronomical observations, understand how telescopes are used, and gain practical knowledge about observing celestial objects.</t>
  </si>
  <si>
    <t>raj981singh@gmail.com</t>
  </si>
  <si>
    <t>Saurav Singh</t>
  </si>
  <si>
    <t>Jyotirvidya Parisanstha</t>
  </si>
  <si>
    <t>singhmahi5989@gmail.com</t>
  </si>
  <si>
    <t>Mahi</t>
  </si>
  <si>
    <t>vyasshashank300@gmail.com</t>
  </si>
  <si>
    <t xml:space="preserve">Shashank Vyas </t>
  </si>
  <si>
    <t xml:space="preserve">IIIT BANGLORE </t>
  </si>
  <si>
    <t>daksh.bansal@iiitb.ac.in</t>
  </si>
  <si>
    <t>Daksh bansal</t>
  </si>
  <si>
    <t xml:space="preserve">IIIT Bangalore </t>
  </si>
  <si>
    <t>ksanket7109@gmail.com</t>
  </si>
  <si>
    <t xml:space="preserve">Kumar Sanket </t>
  </si>
  <si>
    <t>To expand my domain and do something productive this summer</t>
  </si>
  <si>
    <t>ayan.ryan11@gmail.com</t>
  </si>
  <si>
    <t>Ryan Mittal</t>
  </si>
  <si>
    <t xml:space="preserve">IIIT BANGALORE </t>
  </si>
  <si>
    <t>I will learn something new and it will be really interesting nd helpful overall 
Very excited to join it</t>
  </si>
  <si>
    <t>fmai25ms237@iiserkol.ac.in</t>
  </si>
  <si>
    <t>Fazil Muhammed Asif Inamdar</t>
  </si>
  <si>
    <t>As the Office Bearer of Singularity the Astronomy club at IISER Kolkata I would want to know and learn not just the course but how it was taken care of and managed</t>
  </si>
  <si>
    <t>sagan.gupta@students.iiit.ac.in</t>
  </si>
  <si>
    <t xml:space="preserve">Sagan Krishna Gupta </t>
  </si>
  <si>
    <t>Excited to learn the intresting and fun phenomenon of cosmos with proper explanations using physics and looking forward to the computation module.</t>
  </si>
  <si>
    <t>arpankotha@gmail.com</t>
  </si>
  <si>
    <t xml:space="preserve">Sudipto Saha </t>
  </si>
  <si>
    <t xml:space="preserve">Swami Vivekananda University </t>
  </si>
  <si>
    <t xml:space="preserve">Learn something new </t>
  </si>
  <si>
    <t>aakshhdeepsaini@gmail.com</t>
  </si>
  <si>
    <t>Aakshhdeep Saini</t>
  </si>
  <si>
    <t xml:space="preserve">Dept. Of physics, Panjab University Chandigarh </t>
  </si>
  <si>
    <t>Learning some thing new</t>
  </si>
  <si>
    <t>nipano1979@gmail.com</t>
  </si>
  <si>
    <t xml:space="preserve">Om Kiran Nipane </t>
  </si>
  <si>
    <t xml:space="preserve">Indian Institute of Space Science and Technology, Thiruvananthapuram </t>
  </si>
  <si>
    <t xml:space="preserve">I expect to learn a lot about astronomy and burn my thurst to gain knowledge about astronomy </t>
  </si>
  <si>
    <t>2025rlr.me@gmail.com</t>
  </si>
  <si>
    <t>Vijay</t>
  </si>
  <si>
    <t>IIIT-Bangalore</t>
  </si>
  <si>
    <t>devansh.dhoka@iiitb.ac.in</t>
  </si>
  <si>
    <t xml:space="preserve">Devansh Dhoka </t>
  </si>
  <si>
    <t xml:space="preserve">International Institute of Information Technology Bangalore </t>
  </si>
  <si>
    <t>At the end of the course, I should be able to process the raw pictures taken through telescope, and spot different objects through my telescopes</t>
  </si>
  <si>
    <t>aniruddhachaudhuri11@gmail.com</t>
  </si>
  <si>
    <t xml:space="preserve">Aniruddha Chaudhuri </t>
  </si>
  <si>
    <t xml:space="preserve">Jadavpur University </t>
  </si>
  <si>
    <t>Just want to explore astronomy</t>
  </si>
  <si>
    <t>shreya2003banerjee@gmail.com</t>
  </si>
  <si>
    <t>Shreya Banerjee</t>
  </si>
  <si>
    <t>Acharyya Prafulla Chandra Ray polytechnic college</t>
  </si>
  <si>
    <t>To get to learn as much as possible as an absolute beginner</t>
  </si>
  <si>
    <t>bs1003217@gmail.com</t>
  </si>
  <si>
    <t xml:space="preserve">Shahid Ahmad </t>
  </si>
  <si>
    <t>I will learn about astronomy and develop interest about it</t>
  </si>
  <si>
    <t>Gokul.Patil@iiitb.ac.in</t>
  </si>
  <si>
    <t xml:space="preserve">Pratik Patil </t>
  </si>
  <si>
    <t xml:space="preserve">International Institute of Technology Bangalore </t>
  </si>
  <si>
    <t xml:space="preserve">To learn the basic as well as the important concepts related to Astronomy and Data Analysis. I love studies related to cosmos, but never dwelled into it too much,as I didn't have much guidance. But through this course, I believe, I will be able to explore my favourite field of all time, in depth. </t>
  </si>
  <si>
    <t>r.anilkumar@iitg.ac.in</t>
  </si>
  <si>
    <t>Ritu</t>
  </si>
  <si>
    <t>I was hoping for a fun beginner friendly introduction to the subject. Excited to learn!</t>
  </si>
  <si>
    <t>satinathadhikari2018@gmail.com</t>
  </si>
  <si>
    <t xml:space="preserve">Subhradip Adhikari </t>
  </si>
  <si>
    <t>aschattaraj06@gmail.com</t>
  </si>
  <si>
    <t xml:space="preserve">Anindya Sundar Chattaraj </t>
  </si>
  <si>
    <t>2025ume0259@iitjammu.ac.in</t>
  </si>
  <si>
    <t xml:space="preserve">Arnavchoubey </t>
  </si>
  <si>
    <t xml:space="preserve">IIT JAMMU </t>
  </si>
  <si>
    <t>19thjf@gmail.com</t>
  </si>
  <si>
    <t>ANIL PATEL</t>
  </si>
  <si>
    <t>09820335042</t>
  </si>
  <si>
    <t>L S Raheja</t>
  </si>
  <si>
    <t>basavasuryakiran66@gmail.com</t>
  </si>
  <si>
    <t xml:space="preserve">Surya Kiran Basava </t>
  </si>
  <si>
    <t>IIIT-B</t>
  </si>
  <si>
    <t>russelgandhi@gmail.com</t>
  </si>
  <si>
    <t>Russel</t>
  </si>
  <si>
    <t>Iiitb</t>
  </si>
  <si>
    <t>roy023194@gmail.com</t>
  </si>
  <si>
    <t>Anindya Roy</t>
  </si>
  <si>
    <t>Jadavpur University</t>
  </si>
  <si>
    <t>I am a BSc Physics student at JU looking to move beyond the limitations of amateur internet astronomy. I expect this course to provide the mathematical and observational stepping stones necessary for high-level astronomical research</t>
  </si>
  <si>
    <t>ghoshsuparnananda@gmail.com</t>
  </si>
  <si>
    <t>Suparna Nanda Ghosh</t>
  </si>
  <si>
    <t>rajvansh.ju@gmail.com</t>
  </si>
  <si>
    <t xml:space="preserve">Banshraj Singh </t>
  </si>
  <si>
    <t xml:space="preserve">Learn tools related to Astronomy </t>
  </si>
  <si>
    <t>Hiteshahuja629@gmail.com</t>
  </si>
  <si>
    <t>Hitesh Ahuja</t>
  </si>
  <si>
    <t>International Institute of Information Technology</t>
  </si>
  <si>
    <t>To learn more about astronomy</t>
  </si>
  <si>
    <t>pritammondal11m@gmail.com</t>
  </si>
  <si>
    <t xml:space="preserve">Pritam Mondal </t>
  </si>
  <si>
    <t xml:space="preserve">More about astronomy </t>
  </si>
  <si>
    <t>soham.majhi2007@gmail.com</t>
  </si>
  <si>
    <t>Soham Majhi</t>
  </si>
  <si>
    <t>Nothing much, just exploring.</t>
  </si>
  <si>
    <t>rishith.suni@research.iiit.ac.in</t>
  </si>
  <si>
    <t>Rishith Sunil</t>
  </si>
  <si>
    <t>cosmosgirl09@gmail.com</t>
  </si>
  <si>
    <t xml:space="preserve">Shravani Ajay Gaikwad </t>
  </si>
  <si>
    <t>Interdisciplinary School Of Sciences, SPPU</t>
  </si>
  <si>
    <t xml:space="preserve">To explore various modules learn and enhance my understanding. </t>
  </si>
  <si>
    <t>gargirrathod@gmail.com</t>
  </si>
  <si>
    <t xml:space="preserve">Gargi Rathod </t>
  </si>
  <si>
    <t>real.ryanbose@gmail.com</t>
  </si>
  <si>
    <t>Ryan Bose</t>
  </si>
  <si>
    <t>Basil woods international School</t>
  </si>
  <si>
    <t>borshadutta03@gmail.com</t>
  </si>
  <si>
    <t xml:space="preserve">BORSHA DUTTA </t>
  </si>
  <si>
    <t xml:space="preserve">National Institute Of Technology Silchar </t>
  </si>
  <si>
    <t>To learn about universe</t>
  </si>
  <si>
    <t>fathima_m251155ph@nitc.ac.in</t>
  </si>
  <si>
    <t>FATHIMA RISHA M</t>
  </si>
  <si>
    <t>prithvikook@gmail.com</t>
  </si>
  <si>
    <t xml:space="preserve">Prithvi Vishwakarma </t>
  </si>
  <si>
    <t xml:space="preserve">Maulana Azad National Institute of Technology </t>
  </si>
  <si>
    <t>sumandey2328@gmail.com</t>
  </si>
  <si>
    <t>Suman Kanti Dey</t>
  </si>
  <si>
    <t>To gain conceptual knowledge and explore astronomy</t>
  </si>
  <si>
    <t>aswashivale@gmail.com</t>
  </si>
  <si>
    <t>Anvit Washivale</t>
  </si>
  <si>
    <t>Jyotirvidya Pratishthan</t>
  </si>
  <si>
    <t>Learning more about astrophysics and Data science for astronomy</t>
  </si>
  <si>
    <t>sarmaapabritaa@gmail.com</t>
  </si>
  <si>
    <t>Apabritaa Sarma</t>
  </si>
  <si>
    <t xml:space="preserve">I am really super excited about this course. I have always been interested  in astronomy and astrophysics but never really got the opportunity to explore these fields in details. Hence, now I am super excited to learn fundamentals of astrophysics and astronomy and explore the universe beyond my vision. </t>
  </si>
  <si>
    <t>vaibhavtamrakar006@gmail.com</t>
  </si>
  <si>
    <t>Tamrakar Vaibhav</t>
  </si>
  <si>
    <t>priyahamsa95@gmail.com</t>
  </si>
  <si>
    <t xml:space="preserve">Hamsapriya H </t>
  </si>
  <si>
    <t>Jain School of Sciences ( Deemed-to-be-University ), Bangalore.</t>
  </si>
  <si>
    <t>_</t>
  </si>
  <si>
    <t>parmargirish545h@gmail.com</t>
  </si>
  <si>
    <t xml:space="preserve">Girish Parmar </t>
  </si>
  <si>
    <t xml:space="preserve">IIT ROPAR </t>
  </si>
  <si>
    <t>pranjal2804@gmail.com</t>
  </si>
  <si>
    <t xml:space="preserve">Pranjal Agarwal </t>
  </si>
  <si>
    <t>+91 9873866552</t>
  </si>
  <si>
    <t>Indian Institute of Technology Ropar, Punjab</t>
  </si>
  <si>
    <t>To be able to handle telescopes and night sky navigation and astronomical photography and its data accurately and efficiently through softwares.</t>
  </si>
  <si>
    <t>ss22ms089@iiserkol.ac.in</t>
  </si>
  <si>
    <t>Subham Saha</t>
  </si>
  <si>
    <t xml:space="preserve">More fascinating it would be compares to other courses </t>
  </si>
  <si>
    <t>sharmaminal81@gmail.com</t>
  </si>
  <si>
    <t xml:space="preserve">Minal Sharma </t>
  </si>
  <si>
    <t xml:space="preserve">DAV COLLEGE JALANDHAR </t>
  </si>
  <si>
    <t>To get closer to space as much as l can</t>
  </si>
  <si>
    <t>csahil1606@gmail.com</t>
  </si>
  <si>
    <t>sahil chauhan</t>
  </si>
  <si>
    <t>International institute of information technology, Bangalore</t>
  </si>
  <si>
    <t>prayashb503@gmail.com</t>
  </si>
  <si>
    <t>Prayash Protim Borthakur</t>
  </si>
  <si>
    <t xml:space="preserve">Hindu College, University of Delhi </t>
  </si>
  <si>
    <t>kumarpratik3030@gmail.com</t>
  </si>
  <si>
    <t xml:space="preserve">Pratik Kumar Sahoo </t>
  </si>
  <si>
    <t>Ajay Binay Institute of Technology (ABIT)</t>
  </si>
  <si>
    <t xml:space="preserve">To be able to understand the universe in a deeper level after completion of this course. 
Also to form a deeper level of connection with the night sky. 
I do some amature astronomy, click some shots of the star, identify constellations, watch meteor showers and observe jupiter a little through naked eye. 
I hope after this course i will have some depth to my observations.. 
I also hope to capture some beautiful shots of the Stars . 
</t>
  </si>
  <si>
    <t>himanshi0130@gmail.com</t>
  </si>
  <si>
    <t xml:space="preserve">Himanshi </t>
  </si>
  <si>
    <t xml:space="preserve">Motilal nehru college </t>
  </si>
  <si>
    <t>purelifeaspirant11@gmail.com</t>
  </si>
  <si>
    <t>SUBHAJIT MOULICK</t>
  </si>
  <si>
    <t>Presidency University, Kolkata</t>
  </si>
  <si>
    <t>to learn using coding in python for Astronomy</t>
  </si>
  <si>
    <t>Gazalsinghrathaur1209@gmail.com</t>
  </si>
  <si>
    <t xml:space="preserve">Gazal singh rathaur </t>
  </si>
  <si>
    <t xml:space="preserve">Maitreyi college </t>
  </si>
  <si>
    <t>My expectations are that i will be having great and useful knowledge on the basis of observational studies at least i would be able tell someone or explain something interested and to teach others about universe.</t>
  </si>
  <si>
    <t>abirmahalanabish268@gmail.com</t>
  </si>
  <si>
    <t xml:space="preserve">Abir Mahalanabish </t>
  </si>
  <si>
    <t>I should get a basic understanding of all the three modules listed in the course.</t>
  </si>
  <si>
    <t>anchalchaudhary0909@gmail.com</t>
  </si>
  <si>
    <t xml:space="preserve">Anchal Chaudhary </t>
  </si>
  <si>
    <t xml:space="preserve">IIEST , Shibpur </t>
  </si>
  <si>
    <t>I will learn the basics and know how to deal with computational data.</t>
  </si>
  <si>
    <t>da874899@gmail.com</t>
  </si>
  <si>
    <t>Mainak Adhikari</t>
  </si>
  <si>
    <t>It is to learn something I do not know</t>
  </si>
  <si>
    <t>veddsavjani@gmail.com</t>
  </si>
  <si>
    <t>Ved Savjani</t>
  </si>
  <si>
    <t>IIIT Bangalore</t>
  </si>
  <si>
    <t>To learn more about space and how topics like machine learning, computation, etc. can be applied here to understand it better.</t>
  </si>
  <si>
    <t>mayukhsahaqp2007@gmail.com</t>
  </si>
  <si>
    <t>Mayukh Saha</t>
  </si>
  <si>
    <t>2022uch0072@iitjammu.ac.in</t>
  </si>
  <si>
    <t>Vedika Aggarwal</t>
  </si>
  <si>
    <t>Indian Institute of Technology Jammu</t>
  </si>
  <si>
    <t>I would like to know how to read the night sky and what predications can be made about the universe from the current night sky. 
How can I capture the images of moon, stars, planets using a mobile phone?
Also, some history and context behind important constellations and stars and how to remember them</t>
  </si>
  <si>
    <t>dhanushnaren2107@gmail.com</t>
  </si>
  <si>
    <t>Dhanush N</t>
  </si>
  <si>
    <t xml:space="preserve">MVJ College of Engineering </t>
  </si>
  <si>
    <t>I expect to enhance my knowledge in Astronomy and Astrophysics through learning and utilising the resources of this course. It would provide me a clearer picture of the entire universe working behind the scenes, and teach me how to learn complex topics in a simpler manner through continuous revision, learning and understanding to implement for a change.</t>
  </si>
  <si>
    <t>2025uee0131@iitjammu.ac.in</t>
  </si>
  <si>
    <t>Kunal Jain</t>
  </si>
  <si>
    <t xml:space="preserve">Indian Institute of Technology Jammu </t>
  </si>
  <si>
    <t>luvyaprana@gmail.com</t>
  </si>
  <si>
    <t>Luvya Rana</t>
  </si>
  <si>
    <t xml:space="preserve">S-VYASA Deemed To Be University </t>
  </si>
  <si>
    <t xml:space="preserve">Dive deeper in the field of astronomy </t>
  </si>
  <si>
    <t>mittal.ryan01@gmail.com</t>
  </si>
  <si>
    <t>I am really excited to learn fundamentals of ML and data science overall</t>
  </si>
  <si>
    <t>np25ms174@iiserkol.ac.in</t>
  </si>
  <si>
    <t xml:space="preserve">Naman Prasad </t>
  </si>
  <si>
    <t>Indian Institute of Science Education and Research, Kolkata</t>
  </si>
  <si>
    <t>2025meb1595@iitrpr.ac.in</t>
  </si>
  <si>
    <t>Siddh Jain</t>
  </si>
  <si>
    <t>IIT Ropar</t>
  </si>
  <si>
    <t>I want to end up with a good base knowledge about the theoretical module. I'm afraid of the computational module, so I'm hoping that we'll be taught from the scratch so that I can finally tackle it.</t>
  </si>
  <si>
    <t>avikatiwari.ph.acad@gmail.com</t>
  </si>
  <si>
    <t>Avika Tiwari</t>
  </si>
  <si>
    <t>Fergusson College</t>
  </si>
  <si>
    <t>to work with real observational data.</t>
  </si>
  <si>
    <t>dushyant.kumar@research.iiit.ac.in</t>
  </si>
  <si>
    <t>Dushyant Kumar</t>
  </si>
  <si>
    <t xml:space="preserve">International Institute of Information Technology,  Hyderabad </t>
  </si>
  <si>
    <t>😶‍🌫️</t>
  </si>
  <si>
    <t>narayanideshpande9@gmail.com</t>
  </si>
  <si>
    <t xml:space="preserve">Narayani Milind Deshpande </t>
  </si>
  <si>
    <t>Dr. Vishwanath Karad MIT- World Peace University</t>
  </si>
  <si>
    <t xml:space="preserve">This Module Will give a deep understanding about computing Tools used in astronomy </t>
  </si>
  <si>
    <t>adipatil6362@gmail.com</t>
  </si>
  <si>
    <t>Aditya I Patil</t>
  </si>
  <si>
    <t>mauryam@iitg.ac.in</t>
  </si>
  <si>
    <t>Maurya Moharar</t>
  </si>
  <si>
    <t>To know more about the universe and our significance in it.</t>
  </si>
  <si>
    <t>vinayak1chakraborty@gmail.com</t>
  </si>
  <si>
    <t>Vinayak Chakraborty</t>
  </si>
  <si>
    <t>pratyusham66@gmail.com</t>
  </si>
  <si>
    <t>Pratyusha Mitra</t>
  </si>
  <si>
    <t xml:space="preserve">Just basic understanding of astronomy </t>
  </si>
  <si>
    <t>jhumadinda.1983@gmail.com</t>
  </si>
  <si>
    <t xml:space="preserve">Aakash Kumar Dinda </t>
  </si>
  <si>
    <t>mijanurhoque098@gmail.com</t>
  </si>
  <si>
    <t xml:space="preserve">MIJANUR HOQUE </t>
  </si>
  <si>
    <t xml:space="preserve">JADAVPUR UNIVERSITY </t>
  </si>
  <si>
    <t xml:space="preserve">I expect to be more aware of the space and cosmos through this course, for my future reference for higher studies in astronomy and astrophysics later. </t>
  </si>
  <si>
    <t>fathimafarzanama@gmail.com</t>
  </si>
  <si>
    <t>Fathima Farzana M A</t>
  </si>
  <si>
    <t>dakshg201212@gmail.com</t>
  </si>
  <si>
    <t>Daksh Gupta</t>
  </si>
  <si>
    <t>sankukumar0101@gmail.com</t>
  </si>
  <si>
    <t xml:space="preserve">Sanku Kumar </t>
  </si>
  <si>
    <t xml:space="preserve">University Institute of Technology, Burdwan </t>
  </si>
  <si>
    <t>I enjoy learning new things and continuously improving my knowledge. I have a keen interest in data analytics and would like to explore its applications in astronomy. I am excited to learn how data can be used to analyze space observations, identify patterns, and support astronomical research and discoveries.</t>
  </si>
  <si>
    <t>vkb25ms176@iiserkol.ac.in</t>
  </si>
  <si>
    <t xml:space="preserve">Vabesh Kumar Bardhan </t>
  </si>
  <si>
    <t>Explore the field and get to know more about it</t>
  </si>
  <si>
    <t>rooftopsastro@gmail.com</t>
  </si>
  <si>
    <t>Rooftop Astro</t>
  </si>
  <si>
    <t>IIM Raipur</t>
  </si>
  <si>
    <t>Open to learn</t>
  </si>
  <si>
    <t>s.vankudoth@iitg.ac.in</t>
  </si>
  <si>
    <t>Vankudoth Sathvik</t>
  </si>
  <si>
    <t>i want learn about space and how it works</t>
  </si>
  <si>
    <t>riddhibhatt089@gmail.com</t>
  </si>
  <si>
    <t xml:space="preserve">Riddhi Ashish Bhatt </t>
  </si>
  <si>
    <t xml:space="preserve">Hope to learn more about the field. </t>
  </si>
  <si>
    <t>RJVIMU305@GMAIL.COM</t>
  </si>
  <si>
    <t>Ravina</t>
  </si>
  <si>
    <t xml:space="preserve">Maitreyi college, University of Delhi </t>
  </si>
  <si>
    <t>To learn something new that how codings are useful in field of astronomy.</t>
  </si>
  <si>
    <t>ankitaray274@gmail.com</t>
  </si>
  <si>
    <t xml:space="preserve">Ankita Ray </t>
  </si>
  <si>
    <t>ruchira44@gmail.com</t>
  </si>
  <si>
    <t xml:space="preserve">Arsheit Dwivedi </t>
  </si>
  <si>
    <t>Inventure Academy, Bangalore</t>
  </si>
  <si>
    <t>Learn more about astronomy</t>
  </si>
  <si>
    <t>sangamsaraswat7@gmail.com</t>
  </si>
  <si>
    <t>Sangam</t>
  </si>
  <si>
    <t xml:space="preserve">To get more info about astronomy </t>
  </si>
  <si>
    <t>aadamaftab1126@gmail.com</t>
  </si>
  <si>
    <t>Aadam Aftab Tamboli</t>
  </si>
  <si>
    <t>International Institute of Information Technology, Bangalore</t>
  </si>
  <si>
    <t>Learning required programming for spatial tech</t>
  </si>
  <si>
    <t>prabhash.padhan@students.iiit.ac.in</t>
  </si>
  <si>
    <t>Prabhash Padhan</t>
  </si>
  <si>
    <t>After finishing the course I want to be able to learn more about the stars and our universe , how they work, how gravity affects terrestrial bodies and how light and gravity work .</t>
  </si>
  <si>
    <t>shreyashsinha73@gmail.com</t>
  </si>
  <si>
    <t xml:space="preserve">Shreyash Sinha </t>
  </si>
  <si>
    <t>vanshg0207@gmail.com</t>
  </si>
  <si>
    <t>Vansh Gupta</t>
  </si>
  <si>
    <t>Fravashi international academy</t>
  </si>
  <si>
    <t>Understanding the cosmos in depth.</t>
  </si>
  <si>
    <t>sabhishek5926@gmail.com</t>
  </si>
  <si>
    <t xml:space="preserve">Abhishek singh </t>
  </si>
  <si>
    <t xml:space="preserve">Deshbandhu college </t>
  </si>
  <si>
    <t>khristinalairenjam2021@gmail.com</t>
  </si>
  <si>
    <t>Khristina Lairenjam</t>
  </si>
  <si>
    <t>NERIST</t>
  </si>
  <si>
    <t>I want to learn Python, data analysis, and astronomy software tools, and understand how computational methods are used in modern astronomy and research.</t>
  </si>
  <si>
    <t>talib.mirza.mtb@gmail.com</t>
  </si>
  <si>
    <t>Mirza Talib Beg</t>
  </si>
  <si>
    <t>shrayaray123@gmail.com</t>
  </si>
  <si>
    <t>Shraya Ray</t>
  </si>
  <si>
    <t xml:space="preserve">Motilal Nehru College </t>
  </si>
  <si>
    <t xml:space="preserve">I'm keeping my expectations high
Cause someone like me who yearns about space and tech is going to get this  opportunity. It's something like working towards your dreams.
</t>
  </si>
  <si>
    <t>anjanaparnaab@gmail.com</t>
  </si>
  <si>
    <t xml:space="preserve">Anjan Aparna A B </t>
  </si>
  <si>
    <t xml:space="preserve">IIST, Thiruvananthapuram </t>
  </si>
  <si>
    <t>sadhanasuge@gmail.com</t>
  </si>
  <si>
    <t>Sadhana Srinivasan</t>
  </si>
  <si>
    <t>SAI University</t>
  </si>
  <si>
    <t>I look forward to learning astronomy through both theory and hands-on experience, including data analysis and observational activities.</t>
  </si>
  <si>
    <t>yashamitdawane@gmail.com</t>
  </si>
  <si>
    <t>Yashamit Dawane</t>
  </si>
  <si>
    <t>09518391048</t>
  </si>
  <si>
    <t xml:space="preserve">IIIT bangalore </t>
  </si>
  <si>
    <t>Learn some basic ML and python for ML</t>
  </si>
  <si>
    <t>dhruvsharma19792006@gmail.com</t>
  </si>
  <si>
    <t xml:space="preserve">Dhruv Sharma </t>
  </si>
  <si>
    <t xml:space="preserve">IIITB </t>
  </si>
  <si>
    <t>venkatasai230907@gmail.com</t>
  </si>
  <si>
    <t xml:space="preserve">C V Sai Jaswanth </t>
  </si>
  <si>
    <t>prestonalicedsouza@gmail.com</t>
  </si>
  <si>
    <t xml:space="preserve">PRESTON D SOUZA </t>
  </si>
  <si>
    <t>arushishukla2007mit@gmail.com</t>
  </si>
  <si>
    <t xml:space="preserve">Arushi Shukla </t>
  </si>
  <si>
    <t>Om.Tripathi@iiitb.ac.in</t>
  </si>
  <si>
    <t>Om Tripathi</t>
  </si>
  <si>
    <t>skm25ms251@iiserkol.ac.in</t>
  </si>
  <si>
    <t>Sanidhya Kumar Mohanta</t>
  </si>
  <si>
    <t>Indian Institute of Science Education and Research(IISER) Kolkata</t>
  </si>
  <si>
    <t xml:space="preserve">To learn something new. That how Coading and all are used in astronomy. </t>
  </si>
  <si>
    <t>bsujith34@gmail.com</t>
  </si>
  <si>
    <t xml:space="preserve">Sujith B </t>
  </si>
  <si>
    <t>JAIN SCHOOL OF SCIENCES</t>
  </si>
  <si>
    <t xml:space="preserve">Information about Astronomy </t>
  </si>
  <si>
    <t>md.ansari@iitg.ac.in</t>
  </si>
  <si>
    <t>Md Tabish Ansari</t>
  </si>
  <si>
    <t>hnjmlnc@gmail.com</t>
  </si>
  <si>
    <t>Harsh Nath Jha</t>
  </si>
  <si>
    <t>Motilal Nehru College</t>
  </si>
  <si>
    <t>learning</t>
  </si>
  <si>
    <t>cmchavan13064@gmail.com</t>
  </si>
  <si>
    <t xml:space="preserve">Chaitanya Chavan </t>
  </si>
  <si>
    <t>AISSMS COE</t>
  </si>
  <si>
    <t>It should be interactive, informative and exploratory</t>
  </si>
  <si>
    <t>akash04.vars@gmail.com</t>
  </si>
  <si>
    <t xml:space="preserve">Akash Sankar Vigneshwaran </t>
  </si>
  <si>
    <t>GOVERNMENT ARTS COLLEGE, UDHAMANDALAM</t>
  </si>
  <si>
    <t>siddharthgupta3008@yahoo.com</t>
  </si>
  <si>
    <t>Siddharth Gupta</t>
  </si>
  <si>
    <t>Sri Venkateswara College , University of Delhi</t>
  </si>
  <si>
    <t>To gain hands on experience on FITS file processing , coding and  data analysis .</t>
  </si>
  <si>
    <t>h.k.jakhar446@gmail.com</t>
  </si>
  <si>
    <t>Harikishan</t>
  </si>
  <si>
    <t>I expect this course to give me a strong theoretical understanding of astronomy and help me explore concepts related to the universe, stars, galaxies, and cosmology. I also hope to improve my analytical and scientific thinking skills through this course.</t>
  </si>
  <si>
    <t>saiujwal.cs24@bmsce.ac.in</t>
  </si>
  <si>
    <t>Sai Ujwal</t>
  </si>
  <si>
    <t>BMSCE</t>
  </si>
  <si>
    <t xml:space="preserve">Gain a little knowledge on astronomy </t>
  </si>
  <si>
    <t>gauravpriyerajbarnwal@gmail.com</t>
  </si>
  <si>
    <t>Gaurav Raj</t>
  </si>
  <si>
    <t>N.I.T.  Meghalaya</t>
  </si>
  <si>
    <t>navikak.ug25.ec@nitp.ac.in</t>
  </si>
  <si>
    <t>Navika Kushwaha</t>
  </si>
  <si>
    <t>sheetalgoyat193@gmail.com</t>
  </si>
  <si>
    <t>Sheetal</t>
  </si>
  <si>
    <t>I expect to gain a strong basic understanding of astronomy and astrophysics through this course. I am interested in learning about stars, galaxies, black holes, and cosmology. I also want to explore how Python and data analysis are used in astronomy and improve my computational skills. From the observational module, I hope to learn telescope handling, sky observation, and astrophotography. Overall, I expect this course to increase my knowledge and practical understanding of astronomy.</t>
  </si>
  <si>
    <t>s25ph015@nitm.ac.in</t>
  </si>
  <si>
    <t xml:space="preserve">AIBANDARI MARBANIANG </t>
  </si>
  <si>
    <t xml:space="preserve">Ii expect to learn data analysis and observation </t>
  </si>
  <si>
    <t>mahiagarwal1452@gmail.com</t>
  </si>
  <si>
    <t xml:space="preserve">Mahi Agarwal </t>
  </si>
  <si>
    <t>As a beginner, my expectation is to develop a holistic foundation in astronomy. I am highly interested in exploring how theoretical core concepts tie into modern computational tools like Python, while also gaining practical knowledge about hardware handling, celestial navigation, and astrophotography techniques.</t>
  </si>
  <si>
    <t>anshitagupta910@gmail.com</t>
  </si>
  <si>
    <t xml:space="preserve">Anshita gupta </t>
  </si>
  <si>
    <t xml:space="preserve">Symbiosis medical college for women </t>
  </si>
  <si>
    <t xml:space="preserve">To know about astrophysics </t>
  </si>
  <si>
    <t>sd25ms229@iiserkol.ac.in</t>
  </si>
  <si>
    <t xml:space="preserve">Sayan Das </t>
  </si>
  <si>
    <t>ghoshsagarika2011@gmail.com</t>
  </si>
  <si>
    <t>Sagarika Ghosh</t>
  </si>
  <si>
    <t>Saint Paul's School</t>
  </si>
  <si>
    <t>sanndhyaarya2005@gmail.com</t>
  </si>
  <si>
    <t xml:space="preserve">Sandhya </t>
  </si>
  <si>
    <t xml:space="preserve">Gargi College </t>
  </si>
  <si>
    <t>ashishpaul@iisc.ac.in</t>
  </si>
  <si>
    <t>Ashish Paul</t>
  </si>
  <si>
    <t>IISc Bangalore</t>
  </si>
  <si>
    <t>jenagoswami13@gmail.com</t>
  </si>
  <si>
    <t xml:space="preserve">Shrestha Goswami </t>
  </si>
  <si>
    <t xml:space="preserve">Saint Paul's School </t>
  </si>
  <si>
    <t xml:space="preserve">I want to learn something new </t>
  </si>
  <si>
    <t>nikitaghodmare2000@gmail.com</t>
  </si>
  <si>
    <t xml:space="preserve">Nikita Prakash Ghodmare </t>
  </si>
  <si>
    <t xml:space="preserve">Khalsa College </t>
  </si>
  <si>
    <t>aditisingh270806@gmail.com</t>
  </si>
  <si>
    <t>Aditi Singh</t>
  </si>
  <si>
    <t xml:space="preserve">I would be able to get some more knowledge about the vast extremeties of the universe. It's truely exciting what the universe holds for us and the cool physics that works in space. With this course I will be able to learn something more about something I love deeply that is astronomy. </t>
  </si>
  <si>
    <t>shauryasoni304@gmail.com</t>
  </si>
  <si>
    <t xml:space="preserve">Shaurya Soni </t>
  </si>
  <si>
    <t xml:space="preserve">Bhilai Nair Samajam College, Sector 8, Bhilai </t>
  </si>
  <si>
    <t>I want to gain my knowledge.</t>
  </si>
  <si>
    <t>kalpanaghoshlataguri@gmail.com</t>
  </si>
  <si>
    <t>Pratyush paul</t>
  </si>
  <si>
    <t>High School Student</t>
  </si>
  <si>
    <t>To get into the astrophysics world and explore the techs behind the magic!</t>
  </si>
  <si>
    <t>krtin.singhvi06@gmail.com</t>
  </si>
  <si>
    <t>Krtin Singhvi</t>
  </si>
  <si>
    <t>rubadas713@gmail.com</t>
  </si>
  <si>
    <t>Ruba</t>
  </si>
  <si>
    <t xml:space="preserve">Tezpur University, Assam </t>
  </si>
  <si>
    <t>Beginner friendly</t>
  </si>
  <si>
    <t>chetanbagaria.cd24@bmsce.ac.in</t>
  </si>
  <si>
    <t>Chetan Bagaria</t>
  </si>
  <si>
    <t>B.M.S College Of Engineering</t>
  </si>
  <si>
    <t>I think in this course I'll get to know astronomy on a deeper level while learning all the technical things about how to handle data , make something out of it ,etc by professionals in this field. felling very excited for this one.</t>
  </si>
  <si>
    <t>r.rabindra@iitg.ac.in</t>
  </si>
  <si>
    <t>RABINDRA RANA</t>
  </si>
  <si>
    <t>To explore something new....</t>
  </si>
  <si>
    <t>tapasiroy433@gmail.com</t>
  </si>
  <si>
    <t xml:space="preserve">Tiyasa Roy </t>
  </si>
  <si>
    <t xml:space="preserve">Techno India Group Public School, Jalpaiguri, West Bengal engal </t>
  </si>
  <si>
    <t>ghoshsrijayan66@gmail.com</t>
  </si>
  <si>
    <t xml:space="preserve">Srijayan Ghosh </t>
  </si>
  <si>
    <t xml:space="preserve">81589 44826 </t>
  </si>
  <si>
    <t xml:space="preserve">Saint pauls School </t>
  </si>
  <si>
    <t xml:space="preserve">My expectations include deep core learning in physics and maths , also I want to know more about the cosmos and so research on the topics so that i can discover something new in future. </t>
  </si>
  <si>
    <t>ddd25ms019@iiserkol.ac.in</t>
  </si>
  <si>
    <t>Devi Dutta Das</t>
  </si>
  <si>
    <t xml:space="preserve">Want to learn about coding, it's use in astronomy and thereby learn about various things happening in the universe </t>
  </si>
  <si>
    <t>rishika83889@gmail.com</t>
  </si>
  <si>
    <t xml:space="preserve">Rishika Agarwal </t>
  </si>
  <si>
    <t xml:space="preserve">Saint Paul's school </t>
  </si>
  <si>
    <t>That I will get optimum level knowledge from you all</t>
  </si>
  <si>
    <t>Tanvi Kotdiya</t>
  </si>
  <si>
    <t xml:space="preserve">St. Xavier's college, Navrangpura Ahmedabad </t>
  </si>
  <si>
    <t>tanusethi03111@gmail.com</t>
  </si>
  <si>
    <t>Tanushree sethi</t>
  </si>
  <si>
    <t>Lnmiit</t>
  </si>
  <si>
    <t xml:space="preserve">After completing this course I would be able to achieve knowledge about observational module </t>
  </si>
  <si>
    <t>prajwalhatagine@gmail.com</t>
  </si>
  <si>
    <t>Prajwal Hatagine</t>
  </si>
  <si>
    <t>Indian Institute of Space Science and Technology</t>
  </si>
  <si>
    <t>c.nandini@iitg.ac.in</t>
  </si>
  <si>
    <t>Nandini Chourasia</t>
  </si>
  <si>
    <t>Kusambh.Prasad@iiitb.ac.in</t>
  </si>
  <si>
    <t>Kusambh Prasad</t>
  </si>
  <si>
    <t xml:space="preserve">IIIT-BANGLORE </t>
  </si>
  <si>
    <t>I’d expect this course to give a strong beginner foundation in astronomy through theory, coding, and practical sky observation while building curiosity and analytical skills.</t>
  </si>
  <si>
    <t>emaad.hakeem@iitg.ac.in</t>
  </si>
  <si>
    <t>Emaad Hakeem</t>
  </si>
  <si>
    <t>prishabhatt1207@gmail.com</t>
  </si>
  <si>
    <t xml:space="preserve">Prisha </t>
  </si>
  <si>
    <t xml:space="preserve">St.Xavier's college (autonomous), ahmedabad </t>
  </si>
  <si>
    <t>krishnasujaan745@gmail.com</t>
  </si>
  <si>
    <t xml:space="preserve">SUJAN KRISHNA </t>
  </si>
  <si>
    <t>BHAGINI NIVEDITA COLLEGE</t>
  </si>
  <si>
    <t>Great expectations. Learning something new</t>
  </si>
  <si>
    <t>cbmol5002@gmail.com</t>
  </si>
  <si>
    <t>Sibimol VT</t>
  </si>
  <si>
    <t>NIT CALICUT</t>
  </si>
  <si>
    <t>ronitmarmat7@gmail.com</t>
  </si>
  <si>
    <t xml:space="preserve">Ronit Marmat </t>
  </si>
  <si>
    <t xml:space="preserve">IISER Bhopal </t>
  </si>
  <si>
    <t>riten25@iiserb.ac.in</t>
  </si>
  <si>
    <t xml:space="preserve">Riten kumar verma </t>
  </si>
  <si>
    <t xml:space="preserve">IISER BHOPAL </t>
  </si>
  <si>
    <t>kartikey23@iiserb.ac.in</t>
  </si>
  <si>
    <t>Kartikey Kushwaha</t>
  </si>
  <si>
    <t xml:space="preserve">Indian Institute of Science Education and Research Bhopal </t>
  </si>
  <si>
    <t>Hoping to get a deep dive into astrophysics and theoretical framework related to it</t>
  </si>
  <si>
    <t>poras24@iiserb.ac.in</t>
  </si>
  <si>
    <t>Poras</t>
  </si>
  <si>
    <t xml:space="preserve">Learn some basics and how things work in astronomy </t>
  </si>
  <si>
    <t>ajs25ms256@iiserkol.ac.in</t>
  </si>
  <si>
    <t xml:space="preserve">Aditya Shilwant </t>
  </si>
  <si>
    <t xml:space="preserve">IISER K </t>
  </si>
  <si>
    <t>navoneelbandyo@gmail.com</t>
  </si>
  <si>
    <t xml:space="preserve">Navoneel Bandyo </t>
  </si>
  <si>
    <t>Grab the basics of computational Astronomy and Telescope Handling.</t>
  </si>
  <si>
    <t>sahilp25@iiserb.ac.in</t>
  </si>
  <si>
    <t xml:space="preserve">Sahil Pradhan </t>
  </si>
  <si>
    <t>harshg25@iiserb.ac.in</t>
  </si>
  <si>
    <t>Harsh Gautam</t>
  </si>
  <si>
    <t>Indian Institute of Science Education and Research, Bhopal</t>
  </si>
  <si>
    <t>25ucc171@lnmiit.ac.in</t>
  </si>
  <si>
    <t xml:space="preserve">Nishita Khandelwal </t>
  </si>
  <si>
    <t xml:space="preserve">LNMIIT jaipur </t>
  </si>
  <si>
    <t>krishi25@iiserb.ac.in</t>
  </si>
  <si>
    <t>Krishi Jethwani</t>
  </si>
  <si>
    <t>mangalvansh06@gmail.com</t>
  </si>
  <si>
    <t>Vansh Mangal</t>
  </si>
  <si>
    <t>abhijeet25@iiserb.ac.in</t>
  </si>
  <si>
    <t>Abhijeet Kumar</t>
  </si>
  <si>
    <t>k9095541@gmail.com</t>
  </si>
  <si>
    <t>Harshita veerwal</t>
  </si>
  <si>
    <t xml:space="preserve">Iiserb </t>
  </si>
  <si>
    <t>Buralagan9@gmail.com</t>
  </si>
  <si>
    <t xml:space="preserve">Lagan Bura </t>
  </si>
  <si>
    <t>IIIT B</t>
  </si>
  <si>
    <t>arpita.sahoo@iitg.ac.in</t>
  </si>
  <si>
    <t xml:space="preserve">Arpita Sahoo </t>
  </si>
  <si>
    <t>To enhance observation power</t>
  </si>
  <si>
    <t>srishty25@iiserb.ac.in</t>
  </si>
  <si>
    <t xml:space="preserve">Srishty Kumar </t>
  </si>
  <si>
    <t>Indian Institute of Science Education and Research, Bhopal (IISER Bhopal)</t>
  </si>
  <si>
    <t>ronak25@iiserb.ac.in</t>
  </si>
  <si>
    <t xml:space="preserve">Ronak Pattnaik </t>
  </si>
  <si>
    <t>Indian Institute of Science Education and Research Bhopal ( IISER Bhopal )</t>
  </si>
  <si>
    <t>happyamey9@gmal.com</t>
  </si>
  <si>
    <t>Amey Bharatam</t>
  </si>
  <si>
    <t>BHIS</t>
  </si>
  <si>
    <t>Lagan Bura</t>
  </si>
  <si>
    <t>bhattanushka19@gmail.com</t>
  </si>
  <si>
    <t>Anushka Bhatt</t>
  </si>
  <si>
    <t xml:space="preserve">Bhagini Nivedita College </t>
  </si>
  <si>
    <t>To gain more knowledge about space, star maps and how it works.</t>
  </si>
  <si>
    <t>Maanyasankhla@gmail.com</t>
  </si>
  <si>
    <t xml:space="preserve">Maanya Sankhla </t>
  </si>
  <si>
    <t>pranavs23@iiserb.ac.in</t>
  </si>
  <si>
    <t xml:space="preserve">Pranav Sharma </t>
  </si>
  <si>
    <t xml:space="preserve">To learn as much as possible from it. And even if we are not physically present still we can learn whatever possible virtually. </t>
  </si>
  <si>
    <t>prathameshshende12@gmail.com</t>
  </si>
  <si>
    <t>Prathamesh Shende</t>
  </si>
  <si>
    <t>Indian Institute Of Science Education and Research, Bhopal</t>
  </si>
  <si>
    <t>vibhutijain99@gmail.com</t>
  </si>
  <si>
    <t xml:space="preserve">Vibhuti Jain </t>
  </si>
  <si>
    <t>To explore this field</t>
  </si>
  <si>
    <t>partyush25@iiserb.ac.in</t>
  </si>
  <si>
    <t xml:space="preserve">Partyush Dhanetia </t>
  </si>
  <si>
    <t>b25256@students.iitmandi.ac.in</t>
  </si>
  <si>
    <t>Atulya Singh</t>
  </si>
  <si>
    <t>Indian Institute Of Technology Mandi</t>
  </si>
  <si>
    <t>to be able to use numpy, pandas and other such tools to visualise and analyse astronomical data.</t>
  </si>
  <si>
    <t>nityasharma0206@gmail.com</t>
  </si>
  <si>
    <t xml:space="preserve">Nitya sharma </t>
  </si>
  <si>
    <t>giri.deeptanshu2163@gmail.com</t>
  </si>
  <si>
    <t xml:space="preserve">Deeptanshu </t>
  </si>
  <si>
    <t xml:space="preserve">Indian Institute of Science Education and Research, Bhopal </t>
  </si>
  <si>
    <t xml:space="preserve">Focus on hands-on training rather than just theoretical conduct.
Also, if we could be provided a written module, a pdf of the code and methods, it would be incredibly helpful </t>
  </si>
  <si>
    <t>o.arghya@iitg.ac.in</t>
  </si>
  <si>
    <t>Arghya Ojha</t>
  </si>
  <si>
    <t>verma.anushka2007@gmail.com</t>
  </si>
  <si>
    <t>Anushka Verma</t>
  </si>
  <si>
    <t>IIT Madras BS</t>
  </si>
  <si>
    <t>ss25ms098@iiserkol.ac.in</t>
  </si>
  <si>
    <t>Subhranshu subhrajit</t>
  </si>
  <si>
    <t>Indian Institute of Science Education and Research Kolkata (IISER Kolkata)</t>
  </si>
  <si>
    <t>swarnali25@iiserb.ac.in</t>
  </si>
  <si>
    <t>Swarnali Mazumder</t>
  </si>
  <si>
    <t>IISER BHOPAL</t>
  </si>
  <si>
    <t>Learn more about the universe and expand my knowledge and desire for space.</t>
  </si>
  <si>
    <t>anjalashirin509@gmail.com</t>
  </si>
  <si>
    <t xml:space="preserve">Anjala Shirin pc </t>
  </si>
  <si>
    <t>To learn theoretical concepts of astronomy in detail</t>
  </si>
  <si>
    <t>Moksha.20231148@students.iiserpune.ac.in</t>
  </si>
  <si>
    <t xml:space="preserve">Moksha Vasava </t>
  </si>
  <si>
    <t>IISER PUNE</t>
  </si>
  <si>
    <t>parulekar.siyagavinash@students.iiserpune.ac.in</t>
  </si>
  <si>
    <t xml:space="preserve">Siyag Parulekar </t>
  </si>
  <si>
    <t xml:space="preserve">IISER Pune </t>
  </si>
  <si>
    <t xml:space="preserve">Want to learn things which can help me in future </t>
  </si>
  <si>
    <t>astroankan@gmail.com</t>
  </si>
  <si>
    <t xml:space="preserve">Ankan Bose </t>
  </si>
  <si>
    <t xml:space="preserve">Gujarat University </t>
  </si>
  <si>
    <t>saptarshi.mukherjee@iitgn.ac.in</t>
  </si>
  <si>
    <t xml:space="preserve">Saptarshi Mukherjee </t>
  </si>
  <si>
    <t xml:space="preserve">IIT Gandhinagar </t>
  </si>
  <si>
    <t xml:space="preserve">To contribute to the astronomy club more and initiate my own astronomical research </t>
  </si>
  <si>
    <t>mohit.jhanjot@iitgn.ac.in</t>
  </si>
  <si>
    <t xml:space="preserve">Mohit Jhanjot </t>
  </si>
  <si>
    <t>arumuru.prasad@iitgn.ac.in</t>
  </si>
  <si>
    <t>Ram Vara Prasad</t>
  </si>
  <si>
    <t>Indian Institute of Technology Gandhinagar</t>
  </si>
  <si>
    <t>a.bharati1999@gmail.com</t>
  </si>
  <si>
    <t>Ankita Bharati</t>
  </si>
  <si>
    <t xml:space="preserve">Learning from scratch without getting bored, I guess. </t>
  </si>
  <si>
    <t>Avishka.jindal@caa.iitgn.ac.in</t>
  </si>
  <si>
    <t xml:space="preserve">Avishka Jindal </t>
  </si>
  <si>
    <t xml:space="preserve">Iit gandhinagar </t>
  </si>
  <si>
    <t>kunal123456789radhe@gmail.com</t>
  </si>
  <si>
    <t xml:space="preserve">Kunal Khandelwal </t>
  </si>
  <si>
    <t>09784391267</t>
  </si>
  <si>
    <t>gurparas.singh@iitgn.ac.in</t>
  </si>
  <si>
    <t>Gurparas Singh</t>
  </si>
  <si>
    <t>dhirajkumargupta109@gmail.com</t>
  </si>
  <si>
    <t xml:space="preserve">Dheeraj Kumar Gupta </t>
  </si>
  <si>
    <t>kumar.ashutosh@iitgn.ac.in</t>
  </si>
  <si>
    <t xml:space="preserve">Ashutosh Kumar </t>
  </si>
  <si>
    <t xml:space="preserve">To learn more about space. </t>
  </si>
  <si>
    <t>trishak.dd25.ec@nitp.ac.in</t>
  </si>
  <si>
    <t>Trisha Kumari</t>
  </si>
  <si>
    <t>s24ph001@nitm.ac.in</t>
  </si>
  <si>
    <t xml:space="preserve">Divyanshu Kumar </t>
  </si>
  <si>
    <t>07678679755</t>
  </si>
  <si>
    <t xml:space="preserve">To learn more about space and astronomy </t>
  </si>
  <si>
    <t>priya.malvi83@gmail.com</t>
  </si>
  <si>
    <t>Veer</t>
  </si>
  <si>
    <t>IIT Bombay</t>
  </si>
  <si>
    <t>patel.roshani@iitgn.ac.in</t>
  </si>
  <si>
    <t xml:space="preserve">Patel Roshani </t>
  </si>
  <si>
    <t xml:space="preserve">IIT gandhinagar </t>
  </si>
  <si>
    <t>praveeshg.dd25.ee@nitp.ac.in</t>
  </si>
  <si>
    <t>Praveesh Gautam</t>
  </si>
  <si>
    <t>I am excited to know about cosmos and learn how computation can be used in space exploration</t>
  </si>
  <si>
    <t>sneha.barudwale18@gmail.com</t>
  </si>
  <si>
    <t xml:space="preserve">Sneha Barudwale </t>
  </si>
  <si>
    <t xml:space="preserve">Looking forward to learning Astronomy with all new perspective.Diving deeperin concepts of astrophysics, optics and computational methods to analyse data to understand objects better.
Learning more facts about various Messiers objects and many more..
</t>
  </si>
  <si>
    <t>naikarchitra1508@gmail.com</t>
  </si>
  <si>
    <t>Chandrika Naikar</t>
  </si>
  <si>
    <t xml:space="preserve">University Department of Physics,kalina campus,Santacruz,Mumbai </t>
  </si>
  <si>
    <t xml:space="preserve">To gain some new experiences </t>
  </si>
  <si>
    <t>subhasanabaruah06@gmail.com</t>
  </si>
  <si>
    <t xml:space="preserve">Subhasana Baruah </t>
  </si>
  <si>
    <t xml:space="preserve">Assam Don Bosco University, Azara Guwahati </t>
  </si>
  <si>
    <t>S24ph007@nitm.ac.in</t>
  </si>
  <si>
    <t>Ananya Mondal</t>
  </si>
  <si>
    <t>akshitashikla2005@gmail.com</t>
  </si>
  <si>
    <t>Akshita Shukla</t>
  </si>
  <si>
    <t>University of Delhi</t>
  </si>
  <si>
    <t xml:space="preserve">I hope to gain a solid introduction to computational astrophysics by learning how Python and data analysis are applied to astronomy. I’m particularly interested in working with real astronomical data, improving my computational skills, and understanding how coding can help explore and analyze astrophysical phenomena. I’m also looking forward to applying these skills through the capstone project.
</t>
  </si>
  <si>
    <t>swarnadipdebnath279@gmail.com</t>
  </si>
  <si>
    <t xml:space="preserve">Swarnadip Debnath </t>
  </si>
  <si>
    <t xml:space="preserve">Assam Don Bosco University </t>
  </si>
  <si>
    <t>bikram.maurya@iitgn.ac.in</t>
  </si>
  <si>
    <t>Bikram Maurya</t>
  </si>
  <si>
    <t xml:space="preserve">Learn about space and explore. </t>
  </si>
  <si>
    <t>dharti.parmar@iitgn.ac.in</t>
  </si>
  <si>
    <t>Dharti Parmar</t>
  </si>
  <si>
    <t>98240 88128</t>
  </si>
  <si>
    <t>IIT Gandhinagar, Gujarat</t>
  </si>
  <si>
    <t>Get more knowledge about the space and planets.</t>
  </si>
  <si>
    <t>mehar.934@outlook.com</t>
  </si>
  <si>
    <t>Mehar Sharma</t>
  </si>
  <si>
    <t>Dept. of Physics, University of Delhi</t>
  </si>
  <si>
    <t xml:space="preserve">To be able to extend and work on my skill set. </t>
  </si>
  <si>
    <t>vasava.galidas@iitgn.ac.in</t>
  </si>
  <si>
    <t xml:space="preserve">Arti Vasava </t>
  </si>
  <si>
    <t>vinothiniamsarajan@gmail.com</t>
  </si>
  <si>
    <t xml:space="preserve">Vinothini S </t>
  </si>
  <si>
    <t xml:space="preserve">PSNA College of Engineering and Technology, Dindigul,Tamil Nadu </t>
  </si>
  <si>
    <t xml:space="preserve">Gain Computational knowledge and implement for future projects </t>
  </si>
  <si>
    <t>nasehamin798@gmail.com</t>
  </si>
  <si>
    <t xml:space="preserve">Naseh Amin Khan </t>
  </si>
  <si>
    <t xml:space="preserve">Assam Don Bosco University, Azara Campus </t>
  </si>
  <si>
    <t>Nil</t>
  </si>
  <si>
    <t>2024amb050.ayush@students.iiests.ac.in</t>
  </si>
  <si>
    <t>Ayush Yadav</t>
  </si>
  <si>
    <t>IIEST Shibpur</t>
  </si>
  <si>
    <t>I want to gain hands-on experience on how to use telescopes and connect stars to form various shapes, know more about the planets and about the missions taking place in India and by other various countries in space and what actually are there motives for this missions with gaining knowledge from the astronomical perspective.</t>
  </si>
  <si>
    <t>vs25ms292@iiserkol.ac.in</t>
  </si>
  <si>
    <t xml:space="preserve">VAIDEC SAHA </t>
  </si>
  <si>
    <t>I expect to learn more mathematical approach to astronomy.</t>
  </si>
  <si>
    <t>k.saraswathichandrabhushan@gmail.com</t>
  </si>
  <si>
    <t>K Saraswathi Chandra bhushan</t>
  </si>
  <si>
    <t>IARE, dundigal</t>
  </si>
  <si>
    <t>I'm just a space enthusiast, wanted to start something solid regarding it. So, excited to learn what exactly astronomy is about</t>
  </si>
  <si>
    <t>sana</t>
  </si>
  <si>
    <t>Sana</t>
  </si>
  <si>
    <t>Exception: Invalid email: sana</t>
  </si>
  <si>
    <t xml:space="preserve">Bhaskaracharya college of applied sciences </t>
  </si>
  <si>
    <t>I want to learn something and gain knowledge about space, astronomy. I'm interested.</t>
  </si>
  <si>
    <t>unknownboy12145@gmail.com</t>
  </si>
  <si>
    <t xml:space="preserve">Shivansh Thakur </t>
  </si>
  <si>
    <t>Bhaskaracharya college of applied sciences</t>
  </si>
  <si>
    <t>To see and learn new new things of universe</t>
  </si>
  <si>
    <t>vy5015568@gmail.com</t>
  </si>
  <si>
    <t xml:space="preserve">Vaishali Yadav </t>
  </si>
  <si>
    <t xml:space="preserve">To learn something new and interesting in a fun way. To know more about space in depth  </t>
  </si>
  <si>
    <t>vaibhav25@iiserb.ac.in</t>
  </si>
  <si>
    <t xml:space="preserve">Vaibhav Verma </t>
  </si>
  <si>
    <t>Iiserb</t>
  </si>
  <si>
    <t>Learn new things</t>
  </si>
  <si>
    <t xml:space="preserve">mangla.dolly0722@gmail.com </t>
  </si>
  <si>
    <t>Dolly Mangla</t>
  </si>
  <si>
    <t>National Institute of Technology , Patna</t>
  </si>
  <si>
    <t>As a student of AI&amp;DS, I want to learn and gain experience as well as knowledge that how Python programming is used in astronomical calculations, data analysis, visualizations. this course will provide me different and real world datasets which will improve many skills and not be available in any other course.</t>
  </si>
  <si>
    <t>s24ph010@nitm.ac.in</t>
  </si>
  <si>
    <t xml:space="preserve">Isha Shrivastava </t>
  </si>
  <si>
    <t>I would like to explore the other aspects of astronomy through this workshop apart from theoretical, which I've been working on lately. I have seen many topics in data processing and computational module as well, which seems very interesting. Hopefully, to get more hands on experience and exposure.</t>
  </si>
  <si>
    <t>niladriray25@gmail.com</t>
  </si>
  <si>
    <t>Niladri Ray</t>
  </si>
  <si>
    <t>Indian Institute of Science Education and Research (IISER Bhopal)</t>
  </si>
  <si>
    <t xml:space="preserve">Getting better </t>
  </si>
  <si>
    <t>dashshritilekha@iitgn.ac.in</t>
  </si>
  <si>
    <t xml:space="preserve">Shritilekha Dash </t>
  </si>
  <si>
    <t>To know more about cosmos</t>
  </si>
  <si>
    <t>nishanturmaliya0@gmail.com</t>
  </si>
  <si>
    <t xml:space="preserve">Nishant Urmaliya </t>
  </si>
  <si>
    <t xml:space="preserve">Bhaskaracharyaa college of applied science University of Delhi </t>
  </si>
  <si>
    <t>“I expect this course to strengthen my fundamentals in astronomy and astrophysics, improve my understanding of space science, and give me exposure to computational tools like Python and observational techniques. As a Physics student, I also want to explore how theoretical concepts connect with real astronomical observations and research.”</t>
  </si>
  <si>
    <t>anurag.24bcb7106@vitapstudent.ac.in</t>
  </si>
  <si>
    <t xml:space="preserve">Anurag Mishra </t>
  </si>
  <si>
    <t xml:space="preserve">VIT AP UNIVERSITY </t>
  </si>
  <si>
    <t>My only expection from this course is that I will learn to predict universe and get to know about our past on computer through codes and observations</t>
  </si>
  <si>
    <t>zunaidmohsin20@gmail.com</t>
  </si>
  <si>
    <t xml:space="preserve">Shaik Zunaid Mohsin </t>
  </si>
  <si>
    <t>VIT-AP</t>
  </si>
  <si>
    <t xml:space="preserve">To learn more about cosmos </t>
  </si>
  <si>
    <t xml:space="preserve">arunramyashree@gmail.com </t>
  </si>
  <si>
    <t>Ramyashree Arun</t>
  </si>
  <si>
    <t xml:space="preserve">VIT AP </t>
  </si>
  <si>
    <t xml:space="preserve">I expect this course to help me understand and apply it's concepts onto the real world </t>
  </si>
  <si>
    <t xml:space="preserve">srikar.24bce7904@vitapstudent.ac.in </t>
  </si>
  <si>
    <t>Vithal Raja Srikar Kotturu</t>
  </si>
  <si>
    <t>VIT-AP, Amaravati</t>
  </si>
  <si>
    <t>I expect to learn more about how Computation/technology like coding and ML are linked with astronomy. As a space enthusiast, I look forward and am willing to learn more about space and technology.</t>
  </si>
  <si>
    <t>liamg9863@gmail.com</t>
  </si>
  <si>
    <t>ajay kumar</t>
  </si>
  <si>
    <t>nit</t>
  </si>
  <si>
    <t>ml and related applications in astronomy</t>
  </si>
  <si>
    <t>a.prabir@gmail.com</t>
  </si>
  <si>
    <t xml:space="preserve">Prabir Adhikari </t>
  </si>
  <si>
    <t>91-7378668046</t>
  </si>
  <si>
    <t xml:space="preserve">(Ex) Jadavpur University </t>
  </si>
  <si>
    <t xml:space="preserve">Basics, and latest information on Astronomy </t>
  </si>
  <si>
    <t xml:space="preserve">shailja.paliwal@iitgn.ac.in </t>
  </si>
  <si>
    <t xml:space="preserve">Shailja Paliwal </t>
  </si>
  <si>
    <t>IIT GN</t>
  </si>
  <si>
    <t>krishtidhark07@gmail.com</t>
  </si>
  <si>
    <t xml:space="preserve">Vikramjit Kachari </t>
  </si>
  <si>
    <t>Wanna learn a lot about space and it's phenomenons.</t>
  </si>
  <si>
    <t>m.r.nandana.09@gmail.com</t>
  </si>
  <si>
    <t>M R Nandana</t>
  </si>
  <si>
    <t xml:space="preserve">College of Engineering Perumon </t>
  </si>
  <si>
    <t>To upgrow my passion</t>
  </si>
  <si>
    <t>himanshu.raj@iitgn.ac.in</t>
  </si>
  <si>
    <t xml:space="preserve">Himanshu Raj </t>
  </si>
  <si>
    <t>IITGN</t>
  </si>
  <si>
    <t>I will know about the space much better 😁.</t>
  </si>
  <si>
    <t>dnagasathvik@gmail.com</t>
  </si>
  <si>
    <t>D.Naga sathvik</t>
  </si>
  <si>
    <t>Vellore Institute of Technology, Amaravati, Andhra Pradesh</t>
  </si>
  <si>
    <t>I am deeply curious about astrophysics and fundamental physics, particularly topics such as black holes, stellar evolution, cosmology, dark matter, and the large-scale structure of the universe. As a computer science undergraduate, I am also interested in understanding how computational methods, data analysis, and AI are used to study astronomical phenomena. I hope to gain a stronger scientific foundation, develop practical analytical skills, and learn how modern research combines physics and computation to answer some of the most fundamental questions about the universe.</t>
  </si>
  <si>
    <t>Vandita.24bce7789@vitapstudent.ac.in</t>
  </si>
  <si>
    <t xml:space="preserve">Vandita Kumari </t>
  </si>
  <si>
    <t xml:space="preserve">Vellore Institute of Technology- Andhra Pradesh </t>
  </si>
  <si>
    <t>manan.parmar@iitgn.ac.in</t>
  </si>
  <si>
    <t>Manan Parmar</t>
  </si>
  <si>
    <t>raghvedrasharma62@gmail.com</t>
  </si>
  <si>
    <t>Raghvendra Sharma</t>
  </si>
  <si>
    <t>University of LU</t>
  </si>
  <si>
    <t>shivamsingh28699@gmail.com</t>
  </si>
  <si>
    <t xml:space="preserve">Shivam Singh </t>
  </si>
  <si>
    <t xml:space="preserve">Lucknow University </t>
  </si>
  <si>
    <t xml:space="preserve">A warm hole into the world of cosmos </t>
  </si>
  <si>
    <t>prakhyat.pandey@iitgn.ac.in</t>
  </si>
  <si>
    <t>Prakhyat</t>
  </si>
  <si>
    <t>Know more about extraterrestrial objects, how to identify them, and more about them in general. Not too much, just learning something new.</t>
  </si>
  <si>
    <t>supriya.24bce8137@vitapstudent.ac.in</t>
  </si>
  <si>
    <t xml:space="preserve">Gali Supriya </t>
  </si>
  <si>
    <t>VIT - AP</t>
  </si>
  <si>
    <t xml:space="preserve">Currently working on a space project, I got stuck, hope this course clarify my doubts </t>
  </si>
  <si>
    <t>patlanpankaj4@gmail.com</t>
  </si>
  <si>
    <t xml:space="preserve">Lokesh </t>
  </si>
  <si>
    <t>I expect that I learn about space and grow my knowledge.</t>
  </si>
  <si>
    <t>s24ph015@nitm.ac.in</t>
  </si>
  <si>
    <t xml:space="preserve">Mismita Datta </t>
  </si>
  <si>
    <t xml:space="preserve">NIT meghalaya </t>
  </si>
  <si>
    <t xml:space="preserve">I will learn something new </t>
  </si>
  <si>
    <t>shameelaf@iisc.ac.in</t>
  </si>
  <si>
    <t>Shameela S F</t>
  </si>
  <si>
    <t xml:space="preserve">Indian Institute of Science, Bengaluru </t>
  </si>
  <si>
    <t>pattabhiram.25bca7414@vitapstudent.ac.in</t>
  </si>
  <si>
    <t xml:space="preserve">Pattabhiram Pilladi </t>
  </si>
  <si>
    <t>Vit ap</t>
  </si>
  <si>
    <t>Waiting</t>
  </si>
  <si>
    <t>pranavp25@iiserb.ac.in</t>
  </si>
  <si>
    <t>Pranav Pandey</t>
  </si>
  <si>
    <t>IIISER Bhopal</t>
  </si>
  <si>
    <t>arshadali24files@gmail.com</t>
  </si>
  <si>
    <t>Syed arshad ali</t>
  </si>
  <si>
    <t>Saveetha university</t>
  </si>
  <si>
    <t xml:space="preserve">I expect that i am going to learn new things that I have no idea about space and astronomy regarding stuffs!! </t>
  </si>
  <si>
    <t>rajeevnethran.arun@gmail.com</t>
  </si>
  <si>
    <t>ARUN RAJEEV NETHRAN</t>
  </si>
  <si>
    <t>VIT Bhopal Campus</t>
  </si>
  <si>
    <t>To use python and Machine learning methods in astronomy and astrophysics to learn new and exciting concepts related to the cosmos</t>
  </si>
  <si>
    <t>chandan25@iiserb.ac.in</t>
  </si>
  <si>
    <t xml:space="preserve">Chandan Gupta </t>
  </si>
  <si>
    <t>lokeshkumarg4164@gmail.com</t>
  </si>
  <si>
    <t>G Lokesh kumar</t>
  </si>
  <si>
    <t xml:space="preserve">VITAP </t>
  </si>
  <si>
    <t xml:space="preserve">Meet my expectations </t>
  </si>
  <si>
    <t>Partyush25@iiserb.ac.in</t>
  </si>
  <si>
    <t>hpdeka1331@gmail.com</t>
  </si>
  <si>
    <t xml:space="preserve">Hridika Priyadarshini Deka </t>
  </si>
  <si>
    <t xml:space="preserve">Duliajan college </t>
  </si>
  <si>
    <t>Rushil.coder29@gmail.com</t>
  </si>
  <si>
    <t xml:space="preserve">Rushil Kulkarni </t>
  </si>
  <si>
    <t>Jnana Prabodhini Prashala</t>
  </si>
  <si>
    <t xml:space="preserve">An all round college level guide on astronomy </t>
  </si>
  <si>
    <t>joysanawahengbam@gmail.com</t>
  </si>
  <si>
    <t>Joysana wahengbam</t>
  </si>
  <si>
    <t>Pitambara English School</t>
  </si>
  <si>
    <t>My expectation is to understand the mysteries of the universe, explore how stars, planets, and galaxies work, and develop a deeper appreciation for the vast cosmos that surrounds us.</t>
  </si>
  <si>
    <t>subhashish25@iiserb.ac.in</t>
  </si>
  <si>
    <t>Subhashish Dash</t>
  </si>
  <si>
    <t>24110186@iitgn.ac.in</t>
  </si>
  <si>
    <t xml:space="preserve">Lingala Hasini </t>
  </si>
  <si>
    <t>I am interested in exploring the fundamentals of astronomy and cosmology and learn how  Python, data analysis, ML basics work for astronomy</t>
  </si>
  <si>
    <t>zeeshanahmad125114@gmail.com</t>
  </si>
  <si>
    <t>Zeeshan Ahmad</t>
  </si>
  <si>
    <t>kanan.chawla@iitgn.ac.in</t>
  </si>
  <si>
    <t>Kanan Chawla</t>
  </si>
  <si>
    <t>neerajarnath@gmail.com</t>
  </si>
  <si>
    <t xml:space="preserve">Neeraja R </t>
  </si>
  <si>
    <t xml:space="preserve">Government college chittur </t>
  </si>
  <si>
    <t>I am really looking forward to gain more knowledge about my favourite topic :)</t>
  </si>
  <si>
    <t>skmarufaktar94@gmail.com</t>
  </si>
  <si>
    <t xml:space="preserve">Sk Maruf Aktar </t>
  </si>
  <si>
    <t>saumya25@iiserb.ac.in</t>
  </si>
  <si>
    <t xml:space="preserve">Saumya Baskar </t>
  </si>
  <si>
    <t>niranjanvpmn@gmail.com</t>
  </si>
  <si>
    <t xml:space="preserve">NIRANJAN V </t>
  </si>
  <si>
    <t xml:space="preserve">Government College CHITTUR </t>
  </si>
  <si>
    <t>Really looking forward to know more about star gazing.  
Tracking how celestial bodies move, calculating stellar time, and navigating the celestial sphere.</t>
  </si>
  <si>
    <t>priyanuj452@gmail.com</t>
  </si>
  <si>
    <t>Priyanuj Bordoloi</t>
  </si>
  <si>
    <t>Kirori Mal College</t>
  </si>
  <si>
    <t xml:space="preserve">Learning Astronomy in depth and actual sense and deep diving in computational Astronomy </t>
  </si>
  <si>
    <t>Kumarpanchjanya@gmail.com</t>
  </si>
  <si>
    <t xml:space="preserve">Kumar panchjanya </t>
  </si>
  <si>
    <t>IIT KGP</t>
  </si>
  <si>
    <t>M</t>
  </si>
  <si>
    <t>Exception: Invalid email: M</t>
  </si>
  <si>
    <t>dhairyadubey567@gmail.com</t>
  </si>
  <si>
    <t xml:space="preserve">Dhairya Dubey </t>
  </si>
  <si>
    <t xml:space="preserve">IIT KHARAGPUR </t>
  </si>
  <si>
    <t>r25.harshit@gmail.com</t>
  </si>
  <si>
    <t>Harshit Ray</t>
  </si>
  <si>
    <t>IIT Kharagpur</t>
  </si>
  <si>
    <t xml:space="preserve">To learn about various things and connect with people who are interested in the same </t>
  </si>
  <si>
    <t>rass250fg@gmail.com</t>
  </si>
  <si>
    <t>Rachit</t>
  </si>
  <si>
    <t>To upskill myself and give me ACTUAL practical knowledge. That makes me stand out</t>
  </si>
  <si>
    <t>dineshannam48@gmail.com</t>
  </si>
  <si>
    <t xml:space="preserve">Annam Siva Sai Dinesh </t>
  </si>
  <si>
    <t>tibrewalshivam05@gmail.com</t>
  </si>
  <si>
    <t xml:space="preserve">Shivam tibrewal </t>
  </si>
  <si>
    <t xml:space="preserve">Iit kharagpur </t>
  </si>
  <si>
    <t xml:space="preserve">I have already gone through a book for astronomy 101 by dinah l mosche and already worked on some of the python projects making astronomical computational analysis with python and calculate hubble tension, so I would like to put some cream on those skills </t>
  </si>
  <si>
    <t>bkiran9785@gmail.com</t>
  </si>
  <si>
    <t>Kushagra Eshitva</t>
  </si>
  <si>
    <t xml:space="preserve">Indian Institute of Technology Kharagpur </t>
  </si>
  <si>
    <t>harshilagarwal300@gmail.com</t>
  </si>
  <si>
    <t>Harshil Agarwal</t>
  </si>
  <si>
    <t>IIT kharagpur</t>
  </si>
  <si>
    <t>arjunjyot.singh@iitgn.ac.in</t>
  </si>
  <si>
    <t>Arjunjyot Singh</t>
  </si>
  <si>
    <t>To have fun! Learn a bit about this interesting thing called astronomy!</t>
  </si>
  <si>
    <t>nidhi.maurya@iitgn.ac.in</t>
  </si>
  <si>
    <t>Nidhi 3</t>
  </si>
  <si>
    <t>naveen17278@gmail.com</t>
  </si>
  <si>
    <t xml:space="preserve">NAVEEN KUMAR </t>
  </si>
  <si>
    <t xml:space="preserve">NIT KURUKSHETRA </t>
  </si>
  <si>
    <t>Learning amazing things</t>
  </si>
  <si>
    <t>tanishka.25bca7602@vitapstudent.ac.in</t>
  </si>
  <si>
    <t>TANISHKA</t>
  </si>
  <si>
    <t>VIT AP UNIVERSITY</t>
  </si>
  <si>
    <t>working on real world space data and building a strong project</t>
  </si>
  <si>
    <t>swapnilsarker2010@gmail.com</t>
  </si>
  <si>
    <t xml:space="preserve">SWAPNIL SARKER </t>
  </si>
  <si>
    <t>IIT BOMBAY</t>
  </si>
  <si>
    <t>Gain vast knowledge about astronomy and being able to explore more the cosmos</t>
  </si>
  <si>
    <t>bhargavi.deo9@gmail.com</t>
  </si>
  <si>
    <t>Bhargavi Deo</t>
  </si>
  <si>
    <t xml:space="preserve">aniketnabar@gmail.com </t>
  </si>
  <si>
    <t>Aniket Nabar</t>
  </si>
  <si>
    <t xml:space="preserve">learn something new, which otherwise I wouldnt learn  sitting at home during vacation
</t>
  </si>
  <si>
    <t>jitendarsharma735101@gmail.com</t>
  </si>
  <si>
    <t>Jitendar Sharma</t>
  </si>
  <si>
    <t>ILEAD Kolkata</t>
  </si>
  <si>
    <t>learn about the world of astrophysics</t>
  </si>
  <si>
    <t>tanusiwachofficial@gmail.com</t>
  </si>
  <si>
    <t>Tanu Siwach</t>
  </si>
  <si>
    <t>saksham.chourasia@iitgn.ac.in</t>
  </si>
  <si>
    <t xml:space="preserve">Saksham Chourasia </t>
  </si>
  <si>
    <t xml:space="preserve">Get </t>
  </si>
  <si>
    <t>nithusathyan@gmail.com</t>
  </si>
  <si>
    <t>Nithya V V</t>
  </si>
  <si>
    <t xml:space="preserve">9656883988, </t>
  </si>
  <si>
    <t>Nirmalagiri college, Kuthuparamba, Kannur, Kerala</t>
  </si>
  <si>
    <t>Gain deeper insights in computational astrophysics</t>
  </si>
  <si>
    <t>dhivyadarshinij@gmail.com</t>
  </si>
  <si>
    <t>Dhivya Darshini J</t>
  </si>
  <si>
    <t>vanshikatkr7@gmail.com</t>
  </si>
  <si>
    <t>Vanshika</t>
  </si>
  <si>
    <t xml:space="preserve">Bhaskaracharya College of applied sciences </t>
  </si>
  <si>
    <t>My expectations from this course includes learning about the concepts of astronomy and i am eager to know more about planets, stars, galaxies and the physics behind universe.</t>
  </si>
  <si>
    <t>ashish-pant@iitgn.ac.in</t>
  </si>
  <si>
    <t>Ashish Kumar Pant</t>
  </si>
  <si>
    <t>devanshjasani@gmail.com</t>
  </si>
  <si>
    <t xml:space="preserve">Devansh Jasani </t>
  </si>
  <si>
    <t>SVNIT</t>
  </si>
  <si>
    <t>princek.dd25.ce@nitp.ac.in</t>
  </si>
  <si>
    <t>Prince Kumar</t>
  </si>
  <si>
    <t xml:space="preserve">To learn astronomy and serve the nation </t>
  </si>
  <si>
    <t>mhp8910@gmail.com</t>
  </si>
  <si>
    <t xml:space="preserve">Mahi Patel </t>
  </si>
  <si>
    <t>avik.chaterjee@caa.iitgn.ac.in</t>
  </si>
  <si>
    <t>Avik Chatterjee</t>
  </si>
  <si>
    <t>My expectation from this course is about gaining a structured, beginner‑friendly introduction to astronomy. I look forward to exploring the theoretical foundations of the universe, learning computational skills like Python and ML basics, and experiencing observational techniques such as telescopes and astrophotography. My view is that this journey should spark curiosity, encourage active participation, and culminate in a creative capstone project.</t>
  </si>
  <si>
    <t>anush.sinha123@gmail.com</t>
  </si>
  <si>
    <t>Anush Sinha</t>
  </si>
  <si>
    <t>To learn about new things related to astronomy and to build a deeper understanding about space</t>
  </si>
  <si>
    <t>saarakazi2004@gmail.com</t>
  </si>
  <si>
    <t xml:space="preserve">Saara Samir Kazi </t>
  </si>
  <si>
    <t xml:space="preserve">KET's V. G COLLEGE of Science, Arts and commerce </t>
  </si>
  <si>
    <t xml:space="preserve">gulati.shreyas16@gmail.com </t>
  </si>
  <si>
    <t xml:space="preserve">Shreyas Gulati </t>
  </si>
  <si>
    <t xml:space="preserve">Kirori Mal College </t>
  </si>
  <si>
    <t xml:space="preserve">I expect to gain expertise in handling and operating with complex data sets and hone my computational skills. I believe this course can motivate me to take more interest in astrophysics and make more curious and inquisitive about space and the universe. </t>
  </si>
  <si>
    <t>vedant.magadum@gmail.com</t>
  </si>
  <si>
    <t>Vedant magadum</t>
  </si>
  <si>
    <t xml:space="preserve">To experience and learn new things </t>
  </si>
  <si>
    <t>debojeetchowdhury59@gmail.com</t>
  </si>
  <si>
    <t>Debojeet Chowdhury</t>
  </si>
  <si>
    <t>VIT AP University</t>
  </si>
  <si>
    <t xml:space="preserve">Foundational course for astrophysics in all theoretical, computational and observational astrophysics, so that it helps as a steppingstone for my future career in space science and particularly astrophysics. </t>
  </si>
  <si>
    <t>subha.edu2014@gmail.com</t>
  </si>
  <si>
    <t>Subhadeep Barua</t>
  </si>
  <si>
    <t>getting to know about the outer space, what nasa focuses on, the key findings, the research going on in the back by different space agencies.</t>
  </si>
  <si>
    <t>lostoneannyr@gmail.com</t>
  </si>
  <si>
    <t xml:space="preserve">Yumnam Rajesh </t>
  </si>
  <si>
    <t xml:space="preserve">Dhanamanjuri university </t>
  </si>
  <si>
    <t xml:space="preserve">Learning new on astronomy </t>
  </si>
  <si>
    <t>adityaunnithanw@gmail.com</t>
  </si>
  <si>
    <t>Aditya Unnithan</t>
  </si>
  <si>
    <t>B</t>
  </si>
  <si>
    <t>Exception: Invalid email: B</t>
  </si>
  <si>
    <t>vinitrau@gmail.com</t>
  </si>
  <si>
    <t xml:space="preserve">Vinit Rau </t>
  </si>
  <si>
    <t>None</t>
  </si>
  <si>
    <t>Getting to know better</t>
  </si>
  <si>
    <t>aaditarush@gmail.com</t>
  </si>
  <si>
    <t>Arush Raman</t>
  </si>
  <si>
    <t>Really excited to learn.</t>
  </si>
  <si>
    <t>kavyashinde@gmail.com</t>
  </si>
  <si>
    <t>Kavya Shinde</t>
  </si>
  <si>
    <t>saiaghor123@gmail.com</t>
  </si>
  <si>
    <t xml:space="preserve">Sai Aghor </t>
  </si>
  <si>
    <t>prasharsunish@gmail.com</t>
  </si>
  <si>
    <t>Sunish Prashar</t>
  </si>
  <si>
    <t>mayankchobey16@gmail.com</t>
  </si>
  <si>
    <t>Mayank Chobey</t>
  </si>
  <si>
    <t>To explore more in the field of astrophysics and develop command on computational techniques</t>
  </si>
  <si>
    <t>guptasweta25@kgpian.iitkgp.ac.in</t>
  </si>
  <si>
    <t xml:space="preserve">Sweta Gupta </t>
  </si>
  <si>
    <t xml:space="preserve">To learn as much as I can in the field of my interest </t>
  </si>
  <si>
    <t>pankajkumarcoool07@gmail.com</t>
  </si>
  <si>
    <t>Pankaj kumar</t>
  </si>
  <si>
    <t>A project</t>
  </si>
  <si>
    <t>sungogsingh2005@gmail.com</t>
  </si>
  <si>
    <t>Sanjog Singh</t>
  </si>
  <si>
    <t>National Institute Of Technology Meghalaya</t>
  </si>
  <si>
    <t>I really want to learn about the clear fundamentals of telescope functionality with its theoretical as well as practical way.</t>
  </si>
  <si>
    <t>keerthana_b241406ed@nitc.ac.in</t>
  </si>
  <si>
    <t>Keerthana Raj P</t>
  </si>
  <si>
    <t xml:space="preserve">National Institute of Technology,Calicut </t>
  </si>
  <si>
    <t xml:space="preserve">Need to learn more </t>
  </si>
  <si>
    <t>harshakiranv91@gmail.com</t>
  </si>
  <si>
    <t>Harsha Kiran. V</t>
  </si>
  <si>
    <t>Sacred Heart, Thevara, Kochi</t>
  </si>
  <si>
    <t>Gain an intellectual understanding about the process we're going to take part in</t>
  </si>
  <si>
    <t>abhinav.yadav@iitgn.ac.in</t>
  </si>
  <si>
    <t>Abhinav Singh</t>
  </si>
  <si>
    <t>spriharevankar@gmail.com</t>
  </si>
  <si>
    <t>Spriha</t>
  </si>
  <si>
    <t>IIT ROPAR</t>
  </si>
  <si>
    <t>agamkaur.0808@gmail.com</t>
  </si>
  <si>
    <t>Agamdeep Kaur</t>
  </si>
  <si>
    <t xml:space="preserve">St. Joseph’s University </t>
  </si>
  <si>
    <t>anindyab185@gmail.com</t>
  </si>
  <si>
    <t>Anindya Biswas</t>
  </si>
  <si>
    <t>I'll get new things and learn.</t>
  </si>
  <si>
    <t>B25me016@nitm.ac.in</t>
  </si>
  <si>
    <t>Markandeya raj srivastava</t>
  </si>
  <si>
    <t>Nit meghalaya</t>
  </si>
  <si>
    <t>yuvrajk.ug25.cs@nitp.ac.in</t>
  </si>
  <si>
    <t>YUVRAJ KUMAR</t>
  </si>
  <si>
    <t>atma15.0188@gmail.com</t>
  </si>
  <si>
    <t xml:space="preserve">Soumyadeep Das </t>
  </si>
  <si>
    <t xml:space="preserve">IISc Bangalore </t>
  </si>
  <si>
    <t>I am very much interested in astronomy. I have a good enough introduction and I want some degree of exposure in this field. I want to build a scope for myself later on so that I can explore these fields, fostering my interests, quenching my thirst for knowledge and breathing air into my future possibilities in venturing in these fields.</t>
  </si>
  <si>
    <t>tripathi.shourya29@gmail.com</t>
  </si>
  <si>
    <t xml:space="preserve">Shourya Tripathi </t>
  </si>
  <si>
    <t xml:space="preserve">St. Xavier's College (Autonomous) Ahmedabad </t>
  </si>
  <si>
    <t>I expect having some newer insights on the theoretical aspects of Astrophysics and cosmology.</t>
  </si>
  <si>
    <t>s.jayswal@iitg.ac.in</t>
  </si>
  <si>
    <t xml:space="preserve">Saurabh Jayswal </t>
  </si>
  <si>
    <t>I expect this course to help me build a strong understanding of the subject and develop practical skills that I can apply in real-world situations. I hope to learn from experienced instructors, gain hands-on experience, and improve my confidence in using the concepts taught in the course. I also look forward to interacting with other participants and expanding my knowledge and professional growth.</t>
  </si>
  <si>
    <t>joshianvita07@gmail.com</t>
  </si>
  <si>
    <t>Anvita Joshi</t>
  </si>
  <si>
    <t>MKSSS Cummins College of Engineering for Women, Pune</t>
  </si>
  <si>
    <t>Get to learn more about astronomy</t>
  </si>
  <si>
    <t>jain.ishaan25@gmail.com</t>
  </si>
  <si>
    <t>Ishaan Jain</t>
  </si>
  <si>
    <t>+91 9600601854</t>
  </si>
  <si>
    <t xml:space="preserve">RUH Continuum School </t>
  </si>
  <si>
    <t xml:space="preserve">My expectations of the course are to deepen my understanding on Observational Module and learn the Computational Module as it will be completely new to me. </t>
  </si>
  <si>
    <t>bhu</t>
  </si>
  <si>
    <t xml:space="preserve">Sangmu Bhutia </t>
  </si>
  <si>
    <t>Exception: Invalid email: bhu</t>
  </si>
  <si>
    <t xml:space="preserve">To earn knowledge about astronomy </t>
  </si>
  <si>
    <t>Ashashree.Sarma@iiitb.ac.in</t>
  </si>
  <si>
    <t>Ashashree Sarma</t>
  </si>
  <si>
    <t>08403851199</t>
  </si>
  <si>
    <t xml:space="preserve">Iiit Bangalore </t>
  </si>
  <si>
    <t>hiishita038@google.com</t>
  </si>
  <si>
    <t>Ishita Kar</t>
  </si>
  <si>
    <t xml:space="preserve">learn about astronomy </t>
  </si>
  <si>
    <t>iamkanan@gmail.com</t>
  </si>
  <si>
    <t>sb25ms115@iiserkol.ac.in</t>
  </si>
  <si>
    <t>Sushruta Biswas</t>
  </si>
  <si>
    <t>08981305529</t>
  </si>
  <si>
    <t>Prithwish Manna</t>
  </si>
  <si>
    <t>rajt84521@gmail.com</t>
  </si>
  <si>
    <t xml:space="preserve">Tanisha Raj </t>
  </si>
  <si>
    <t xml:space="preserve">National Institute of Technology Durgapur </t>
  </si>
  <si>
    <t>itsanoopa7@gmail.com</t>
  </si>
  <si>
    <t>Anoop A</t>
  </si>
  <si>
    <t>To get into astronomy and observations</t>
  </si>
  <si>
    <t xml:space="preserve">Mahendra Darji </t>
  </si>
  <si>
    <t>srujan.sai@iitgn.ac.in</t>
  </si>
  <si>
    <t>Choda Srujan sai</t>
  </si>
  <si>
    <t xml:space="preserve">IIT GANDHINAGAR </t>
  </si>
  <si>
    <t>Good learning n  experience in astronomy</t>
  </si>
  <si>
    <t>bimanto789@gmail.com</t>
  </si>
  <si>
    <t xml:space="preserve">Anirban Chakraborty </t>
  </si>
  <si>
    <t xml:space="preserve">It may help to gain more knowledge </t>
  </si>
  <si>
    <t xml:space="preserve">It may help me to gain more knowledge about cosmos and theories of universe </t>
  </si>
  <si>
    <t>csn23ms173@iiserkol.ac.in</t>
  </si>
  <si>
    <t>Shankar Narayan</t>
  </si>
  <si>
    <t>sb25ms311@iiserkol.ac.in</t>
  </si>
  <si>
    <t xml:space="preserve">Shuvam Behera </t>
  </si>
  <si>
    <t>disha10jn@gmail.com</t>
  </si>
  <si>
    <t>Disha Jain</t>
  </si>
  <si>
    <t>School</t>
  </si>
  <si>
    <t>nagubandi.anish@iiitb.ac.in</t>
  </si>
  <si>
    <t xml:space="preserve">Anish Nagubandi </t>
  </si>
  <si>
    <t xml:space="preserve">International institute of information technology Bangalore </t>
  </si>
  <si>
    <t>I willing to learn something new from this course.</t>
  </si>
  <si>
    <t>Aryan.Bansal@iiitb.ac.in</t>
  </si>
  <si>
    <t>Aryan Bansal</t>
  </si>
  <si>
    <t>arnavb0987@gmail.com</t>
  </si>
  <si>
    <t>Arnav Bansal</t>
  </si>
  <si>
    <t>Ramaiah Institute of Technology</t>
  </si>
  <si>
    <t xml:space="preserve">For learning </t>
  </si>
  <si>
    <t>themachawk@gmail.com</t>
  </si>
  <si>
    <t>Saksham</t>
  </si>
  <si>
    <t xml:space="preserve">pure informative knowledge </t>
  </si>
  <si>
    <t>Vanditakumari709@gmail.com</t>
  </si>
  <si>
    <t xml:space="preserve">Vellore Institute of Technology - Andhra Pradesh </t>
  </si>
  <si>
    <t>kashishraj2601@gmail.com</t>
  </si>
  <si>
    <t>Kashish Raj</t>
  </si>
  <si>
    <t xml:space="preserve">Interesting concepts I've never heard of before </t>
  </si>
  <si>
    <t>University of Lucknow</t>
  </si>
  <si>
    <t>Jinen savani</t>
  </si>
  <si>
    <t xml:space="preserve">Indian institute of technology guwahati </t>
  </si>
  <si>
    <t>tanishdtrisal@gmail.com</t>
  </si>
  <si>
    <t xml:space="preserve">Tanish Deepak Trisal </t>
  </si>
  <si>
    <t>Dive deep into Astronomy, and explore new areas</t>
  </si>
  <si>
    <t>anuskatarafdar2015@gmail.com</t>
  </si>
  <si>
    <t xml:space="preserve">Anuska Tarafdar </t>
  </si>
  <si>
    <t>Birla Institute of Technology, Mesra</t>
  </si>
  <si>
    <t>to gain experience and knowledge more about astronomy for future reference.</t>
  </si>
  <si>
    <t>nitya1karn@gmail.com</t>
  </si>
  <si>
    <t>Nitya karn</t>
  </si>
  <si>
    <t xml:space="preserve">Birla institute of technology </t>
  </si>
  <si>
    <t>iph10013.25@bitmesra.ac.in</t>
  </si>
  <si>
    <t>Arpita</t>
  </si>
  <si>
    <t xml:space="preserve">BIT Mesra Ranchi Jharkhand </t>
  </si>
  <si>
    <t>To provide hands on work experience of astronomy , data , telescope handling and data processing procedure .</t>
  </si>
  <si>
    <t>janhavitupe2005@gmail.com</t>
  </si>
  <si>
    <t xml:space="preserve">Janhavi Tupe </t>
  </si>
  <si>
    <t xml:space="preserve">Bharati Vidyapeeth College of Engineering for Women </t>
  </si>
  <si>
    <t xml:space="preserve">Gaining Knowledge </t>
  </si>
  <si>
    <t>purna8775@gmail.com</t>
  </si>
  <si>
    <t xml:space="preserve">Purna Chandra </t>
  </si>
  <si>
    <t xml:space="preserve">LITTLE FLOWER JUNIOR COLLEGE </t>
  </si>
  <si>
    <t>yoshithaa.g@gmail.com</t>
  </si>
  <si>
    <t xml:space="preserve">G Yoshithaa Sree </t>
  </si>
  <si>
    <t xml:space="preserve">To get a valuable certificate </t>
  </si>
  <si>
    <t>sharvariram1805@gmail.com</t>
  </si>
  <si>
    <t xml:space="preserve">Sharvari Redekar </t>
  </si>
  <si>
    <t xml:space="preserve">Dy Patil College of Engineering Akurdi Pune </t>
  </si>
  <si>
    <t xml:space="preserve">To learn new things and gain new experience </t>
  </si>
  <si>
    <t>moksh.naresh@gmail.com</t>
  </si>
  <si>
    <t xml:space="preserve">Moksh Naresh Rao </t>
  </si>
  <si>
    <t xml:space="preserve">Home-based self-learner </t>
  </si>
  <si>
    <t>sankalpk80@gmail.com</t>
  </si>
  <si>
    <t>Sankalp Kumar</t>
  </si>
  <si>
    <t>istrivedi07@gmail.com</t>
  </si>
  <si>
    <t>Shishir Trivedi</t>
  </si>
  <si>
    <t xml:space="preserve">CIPET (CSTS) Varanasi </t>
  </si>
  <si>
    <t xml:space="preserve">High expectations </t>
  </si>
  <si>
    <t>National Institute of technology Patna</t>
  </si>
  <si>
    <t>i want to know about space and universe in deep</t>
  </si>
  <si>
    <t>06deysupratik@gmail.com</t>
  </si>
  <si>
    <t xml:space="preserve">Supratik Dey </t>
  </si>
  <si>
    <t>St. Xavier's College (Autonomous), Kolkata</t>
  </si>
  <si>
    <t>sm25ms093@iiserkol.ac.in</t>
  </si>
  <si>
    <t>Sudarshan Mondal</t>
  </si>
  <si>
    <t xml:space="preserve">INDIAN INSTITUTE OF SCIENCE EDUCATION AND RESEARCH KOLKATA </t>
  </si>
  <si>
    <t>I want to obtain a proper experience of astropy, python and c++ with conjugation with real astronomical plotting and stats.</t>
  </si>
  <si>
    <t>ripusudana@iisc.ac.in</t>
  </si>
  <si>
    <t>Ripusudan</t>
  </si>
  <si>
    <t>drdeepakrawat000@gmail.com</t>
  </si>
  <si>
    <t xml:space="preserve">Deepak Rawat </t>
  </si>
  <si>
    <t xml:space="preserve">Bhaskaracharya College of Applied Sciences </t>
  </si>
  <si>
    <t>I would love to learn about the computational module it will definitely initiate my long thought journey into computational journey. I don't know whether I will ever use it in Astronomy ambit or not but this skill will definitely help in other ambits.</t>
  </si>
  <si>
    <t>amitkumar2413100@gmail.com</t>
  </si>
  <si>
    <t>Amit Kumar</t>
  </si>
  <si>
    <t>Bibek Lama</t>
  </si>
  <si>
    <t>ssppublac@gmail.com</t>
  </si>
  <si>
    <t>S.S.Patil</t>
  </si>
  <si>
    <t>PG</t>
  </si>
  <si>
    <t>nidhi.kumar.msc25@nsut.ac.in</t>
  </si>
  <si>
    <t>Nidhi Kumar</t>
  </si>
  <si>
    <t>Delhi Technological University</t>
  </si>
  <si>
    <t xml:space="preserve">Better my basics of Astronomy </t>
  </si>
  <si>
    <t>tanup9409@gmail.com</t>
  </si>
  <si>
    <t>Tanu Priya</t>
  </si>
  <si>
    <t>BIT Mesra</t>
  </si>
  <si>
    <t>I will learn something</t>
  </si>
  <si>
    <t>rozvidhijkv@gmail.com</t>
  </si>
  <si>
    <t xml:space="preserve">Vidhi Roz </t>
  </si>
  <si>
    <t xml:space="preserve">Vishwakarma Government Engineering College </t>
  </si>
  <si>
    <t>garv22124@gmail.com</t>
  </si>
  <si>
    <t>Garv</t>
  </si>
  <si>
    <t xml:space="preserve">To learn astronomy and develop skills in the field of astrophysics </t>
  </si>
  <si>
    <t>vinodk.ug25.me@nitp.ac.in</t>
  </si>
  <si>
    <t xml:space="preserve">Learn about astronaut </t>
  </si>
  <si>
    <t>25JE0803@iitism.ac.in</t>
  </si>
  <si>
    <t>SHRUTI YADAV</t>
  </si>
  <si>
    <t>IIT(ISM) Dhanbad</t>
  </si>
  <si>
    <t>himanshus.dd25.cs@nitp.ac.in</t>
  </si>
  <si>
    <t>To apply learnings in real life</t>
  </si>
  <si>
    <t>learn how to use computation in space discoveries</t>
  </si>
  <si>
    <t>wakambamhenthoi@gmail.com</t>
  </si>
  <si>
    <t>Wakambam Henthoiba Meitei</t>
  </si>
  <si>
    <t>IIITM</t>
  </si>
  <si>
    <t xml:space="preserve">To learn the basics and make it applicable in my research work. </t>
  </si>
  <si>
    <t>a.harsaa@iitg.ac.in</t>
  </si>
  <si>
    <t>A Lohith Harsaa</t>
  </si>
  <si>
    <t>I am interested in outer space and related things. I wanted to learn more and about the practical things in this field</t>
  </si>
  <si>
    <t xml:space="preserve">purvrajsinh.c@students.iiit.ac.in </t>
  </si>
  <si>
    <t xml:space="preserve">PURVRAJSINH CHUDASAMA </t>
  </si>
  <si>
    <t xml:space="preserve">Iiit hyderabad </t>
  </si>
  <si>
    <t>Anmol. 25510017@iitgn.ac.in</t>
  </si>
  <si>
    <t>Anmol</t>
  </si>
  <si>
    <t>Exception: Invalid email: Anmol. 25510017@iitgn.ac.in</t>
  </si>
  <si>
    <t>aayushtabnew@gmail.com</t>
  </si>
  <si>
    <t xml:space="preserve">Aayush Singh </t>
  </si>
  <si>
    <t>Satish Pradhan Dhyansadhna, Thane</t>
  </si>
  <si>
    <t>To gather more knowledge about the astrophysics and astronomy field, and help apply these new skills and knowledge into my higher education in the upcoming future.</t>
  </si>
  <si>
    <t>ramuyellasiri08@gmail.com</t>
  </si>
  <si>
    <t xml:space="preserve">Ramu </t>
  </si>
  <si>
    <t xml:space="preserve">Sree venkateswara college of engineering </t>
  </si>
  <si>
    <t>pratapsinghyadavtez@gmail.com</t>
  </si>
  <si>
    <t>Tezpratap Singh</t>
  </si>
  <si>
    <t xml:space="preserve">NIT Rourkela </t>
  </si>
  <si>
    <t>To get the glimpse of the astronomical universe and how is coding is being clubbed to reach the outcomes in it.</t>
  </si>
  <si>
    <t xml:space="preserve">Sayon Roy </t>
  </si>
  <si>
    <t>BWIS</t>
  </si>
  <si>
    <t xml:space="preserve">Prayash Protim Borthakur </t>
  </si>
  <si>
    <t xml:space="preserve">IIIT-B </t>
  </si>
  <si>
    <t xml:space="preserve">To learn about the use of data science and machine learning in astronomy </t>
  </si>
  <si>
    <t>nidhi.ruiwale24@vit.edu</t>
  </si>
  <si>
    <t xml:space="preserve">Nidhi Ruiwale </t>
  </si>
  <si>
    <t xml:space="preserve">VIT pune </t>
  </si>
  <si>
    <t xml:space="preserve">Navya Gupta </t>
  </si>
  <si>
    <t xml:space="preserve">Indian Institute of Technology </t>
  </si>
  <si>
    <t>...</t>
  </si>
  <si>
    <t>Damasani Naga Sathvik</t>
  </si>
  <si>
    <t xml:space="preserve">I am deeply curious about astrophysics and fundamental physics, particularly topics such as black holes, stellar evolution, cosmology, dark matter, and the large-scale structure of the universe. As a computer science undergraduate, I am also interested in understanding how computational methods, data analysis, and AI are used to study astronomical phenomena. I hope to gain a stronger scientific foundation, develop practical analytical skills, and learn how modern research combines physics and computation to answer some of the most fundamental questions about the universe.
</t>
  </si>
  <si>
    <t>fazleabbasnajmi@gmail.com</t>
  </si>
  <si>
    <t xml:space="preserve">Fazleabbas Najmi </t>
  </si>
  <si>
    <t xml:space="preserve">Sardar Vallabhbhai National Institute of Technology Surat </t>
  </si>
  <si>
    <t xml:space="preserve">Varun Vaswani </t>
  </si>
  <si>
    <t>To learn from the masters of the trade and get the best opportunity to meaningfully contribute towards Astrophysics.</t>
  </si>
  <si>
    <t>Shraya</t>
  </si>
  <si>
    <t xml:space="preserve">Shraya Ray </t>
  </si>
  <si>
    <t>Exception: Invalid email: Shraya</t>
  </si>
  <si>
    <t xml:space="preserve">( resubmitting, just incase my first entry didn't go through ) 
Will keep my expectations high because it's one of my favourite topic and I have always yearned being a part of group which discusses about cosmos  </t>
  </si>
  <si>
    <t>namratau855@gmail.com</t>
  </si>
  <si>
    <t>Namrata Upadhyay</t>
  </si>
  <si>
    <t xml:space="preserve">Bhagini Nivedita College University of Delhi </t>
  </si>
  <si>
    <t>I hope to gain a strong foundation in astronomy and astrophysics through this course. I am particularly interested in understanding the theoretical concepts behind celestial objects and the evolution of the universe. I also look forward to learning how computational tools such as Python and data analysis are applied in modern astronomy. Additionally, I am excited to explore observational techniques, including telescope handling and astrophotography, to develop practical skills alongside theoretical knowledge. Overall, I expect this course to enhance my scientific understanding, analytical abilities, and enthusiasm for astronomy.</t>
  </si>
  <si>
    <t>karthikastcr2006@gmail.com</t>
  </si>
  <si>
    <t>Karthika S</t>
  </si>
  <si>
    <t>Bharathiar university</t>
  </si>
  <si>
    <t>I want to gain knowledge in coding and to develop my interest in astrophysics more.</t>
  </si>
  <si>
    <t>pathakhariom374@gmail.com</t>
  </si>
  <si>
    <t>Hari om Pathak</t>
  </si>
  <si>
    <t>Hansraj College University of Delhi</t>
  </si>
  <si>
    <t>I don't have high expectation but less than that</t>
  </si>
  <si>
    <t>sreetes369@gmail.com</t>
  </si>
  <si>
    <t xml:space="preserve">Sreelekshmi A P </t>
  </si>
  <si>
    <t xml:space="preserve">University College Thiruvananthapuram </t>
  </si>
  <si>
    <t xml:space="preserve">Looking forward to studying fundamentals of astrophysics and astronomy </t>
  </si>
  <si>
    <t>amandeep_k@srmap.edu.in</t>
  </si>
  <si>
    <t>Amandeep</t>
  </si>
  <si>
    <t xml:space="preserve">SRM University AP </t>
  </si>
  <si>
    <t>nandhukrishna600@gmail.com</t>
  </si>
  <si>
    <t>NANDHUKRISHNA K B</t>
  </si>
  <si>
    <t xml:space="preserve">Sri vyasa nss college, wadakkanchery, kerala. </t>
  </si>
  <si>
    <t xml:space="preserve">Learn something new. </t>
  </si>
  <si>
    <t>subbasuruchi27@gmail.com</t>
  </si>
  <si>
    <t xml:space="preserve">Suruchi </t>
  </si>
  <si>
    <t>09883168117</t>
  </si>
  <si>
    <t xml:space="preserve">Visva-Bharati </t>
  </si>
  <si>
    <t>24ipmp05@uohyd.ac.in</t>
  </si>
  <si>
    <t>Ahammed Safal O P N</t>
  </si>
  <si>
    <t xml:space="preserve">School of physics,University of Hyderabad </t>
  </si>
  <si>
    <t xml:space="preserve">Can learn more about astronomy,
data visualization techniques, and related skills,that will me in future </t>
  </si>
  <si>
    <t>surya280907@gmail.com</t>
  </si>
  <si>
    <t>Surya SP</t>
  </si>
  <si>
    <t xml:space="preserve">PSG COLLEGE OF ARTS AND SCIENCE </t>
  </si>
  <si>
    <t>To develop my skills in astronomy</t>
  </si>
  <si>
    <t>niranjanmdpjm@gmail.com</t>
  </si>
  <si>
    <t xml:space="preserve">Niranjan MD </t>
  </si>
  <si>
    <t xml:space="preserve">University college Thiruvananthapuram </t>
  </si>
  <si>
    <t>I hope this course will help me deepen my understanding of observational astronomy and strengthen my practical skills. I am excited to learn more about telescope handling, night sky observation, astrophotography, and data analysis. While I have some prior exposure to these areas, I look forward to gaining more structured knowledge and hands-on experience through this course.</t>
  </si>
  <si>
    <t>krishnash259@gmail.com</t>
  </si>
  <si>
    <t xml:space="preserve">Krishna Sharma </t>
  </si>
  <si>
    <t xml:space="preserve">Institute of Basic Science </t>
  </si>
  <si>
    <t>To learn and get to know more and understand the universe better</t>
  </si>
  <si>
    <t>athiraanil3940@gmail.com</t>
  </si>
  <si>
    <t xml:space="preserve">Athira Anil </t>
  </si>
  <si>
    <t>A deep understanding on astronomy</t>
  </si>
  <si>
    <t>Somesh Gupta</t>
  </si>
  <si>
    <t>aliazadnf1@gmail.com</t>
  </si>
  <si>
    <t>ALI AZAD N F</t>
  </si>
  <si>
    <t xml:space="preserve">University College, Thiruvananthapuram </t>
  </si>
  <si>
    <t>To further learn about astronomy in general and dive deep into its core. To learn beyond just outside theoretical framework.</t>
  </si>
  <si>
    <t>vijayakumarcdlm123@gmail.com</t>
  </si>
  <si>
    <t xml:space="preserve">Archadevi V S </t>
  </si>
  <si>
    <t xml:space="preserve">University college trivandrum </t>
  </si>
  <si>
    <t>My expectation from this course would be to build a strong foundation in astronomy and astrophysics while also learning how to apply that knowledge through coding and observations.</t>
  </si>
  <si>
    <t>sanjeetkumar82137@gmail.com</t>
  </si>
  <si>
    <t xml:space="preserve">Bittu kumar </t>
  </si>
  <si>
    <t xml:space="preserve">Giridih College Giridih Jharkhand </t>
  </si>
  <si>
    <t>My primary expectation from Astronomy 101 is to build a strong, foundational bridge between theoretical astrophysics and practical, real-world observation.
On the theoretical side, I am highly fascinated by the mathematical and physical laws governing the universe. I want to deeply understand cosmic evolution, the mechanics of stellar life cycles, and the physics behind extreme environments like black holes and neutron stars. I hope this course challenges my analytical thinking and helps me understand the why behind cosmic phenomena.
On the observational side, I am eager to learn how we translate those mathematical equations into tangible data. I expect to gain hands-on familiarity with digital sky-mapping tools like Stellarium, learn how to navigate the night sky, and understand how modern telescopes gather and interpret light across different wavelengths</t>
  </si>
  <si>
    <t>prarambhabarman108@gmail.com</t>
  </si>
  <si>
    <t xml:space="preserve">PRARAMBHA BARMAN </t>
  </si>
  <si>
    <t xml:space="preserve">COOCHBEHAR COLLEGE </t>
  </si>
  <si>
    <t>Gain knowledge on astronomy.</t>
  </si>
  <si>
    <t>mohammedarshaddevala@gmail.com</t>
  </si>
  <si>
    <t>MUHAMMED ARSHAD</t>
  </si>
  <si>
    <t>PSG COLLEGE OF ARTS AND SCIENCE</t>
  </si>
  <si>
    <t xml:space="preserve">I expect to gain a deeper understanding of the fundamental laws of Astronomy </t>
  </si>
  <si>
    <t>Just Excited to learn whatever is there</t>
  </si>
  <si>
    <t>krishnapriyakrishna759@gmail.com</t>
  </si>
  <si>
    <t xml:space="preserve">KRISHNAPRIYA V P </t>
  </si>
  <si>
    <t>VIMALA COLLEGE AUTONOMOUS, THRISSUR - KERALA</t>
  </si>
  <si>
    <t>Excited to explore the mysteries of cosmology, learn the fundamentals, and dive into computational tools... I hope to interact with the community and build a strong foundation in astronomy basics and data analysis.</t>
  </si>
  <si>
    <t>mailstorithanya@gmail.com</t>
  </si>
  <si>
    <t xml:space="preserve">RITHANYA M </t>
  </si>
  <si>
    <t xml:space="preserve">PSG college of arts and science </t>
  </si>
  <si>
    <t>Solving</t>
  </si>
  <si>
    <t>varundevsr07@gmail.com</t>
  </si>
  <si>
    <t xml:space="preserve">Varundev S R </t>
  </si>
  <si>
    <t xml:space="preserve">UNIVERSITY COLLEGE, PALAYAM, TRIVANDRUM </t>
  </si>
  <si>
    <t>I expect this course to strengthen my understanding of astronomy and astrophysics, provide hands-on experience with observational techniques and astronomical data analysis, and introduce me to computational tools such as Python. As a Physics student interested in pursuing astrophysics at a higher level, I hope this course will help build a strong foundation for future research and studies in the field</t>
  </si>
  <si>
    <t>To learn something new and interesting.</t>
  </si>
  <si>
    <t>saptarshid.mca24@nitp.ac.in</t>
  </si>
  <si>
    <t>Saptarshi Das</t>
  </si>
  <si>
    <t xml:space="preserve">Shishir Trivedi </t>
  </si>
  <si>
    <t>CIPET CSTS (Varanasi)</t>
  </si>
  <si>
    <t>jahnveekadia14@gmail.com</t>
  </si>
  <si>
    <t xml:space="preserve">Jahnvee Kadia </t>
  </si>
  <si>
    <t xml:space="preserve">The Maharaja Sayajirao University of Baroda </t>
  </si>
  <si>
    <t xml:space="preserve">The knowledge I gathered, shaped my curiosity into the field of astronomy. This provides a perfect Kickstart into the introduction of this field as it covers a wide and exhaustive range of topics. I have always wanted to get to study and learn these topics in detail. </t>
  </si>
  <si>
    <t xml:space="preserve">Latesh Patil </t>
  </si>
  <si>
    <t>Excited to explore the mysteries of cosmology, learn the fundamentals, and dive into computational tools. I hope to interact with the community and build a strong foundation in astronomy basics and data analysis.</t>
  </si>
  <si>
    <t>dipesh.ghadi.gh@gmail.com</t>
  </si>
  <si>
    <t>Dipesh Ghadi</t>
  </si>
  <si>
    <t>St Xaviers College Mapusa-Goa</t>
  </si>
  <si>
    <t>To know more Astronomy and Astrophysics</t>
  </si>
  <si>
    <t>6718.divya.yadav@gmail.com</t>
  </si>
  <si>
    <t xml:space="preserve">Divya Yadav </t>
  </si>
  <si>
    <t>palakpandeygd@gmail.com</t>
  </si>
  <si>
    <t xml:space="preserve">Palak shyam Pandey </t>
  </si>
  <si>
    <t xml:space="preserve">Mount Carmel college </t>
  </si>
  <si>
    <t>Expecting something new apart from basics of astrophysics and astronomy.</t>
  </si>
  <si>
    <t>COEP TECHNOLOGICAL UNIVERSITY,PUNE,MAHARASHTRA,INDIA</t>
  </si>
  <si>
    <t>jumanahazeenks@ gmail.com</t>
  </si>
  <si>
    <t xml:space="preserve">Jumana Hazeen K S </t>
  </si>
  <si>
    <t xml:space="preserve">Mar Ivanios College, Trivandrum </t>
  </si>
  <si>
    <t>priyanshisharma.vds@gmail.com</t>
  </si>
  <si>
    <t>Priyanshi Bhardwaj</t>
  </si>
  <si>
    <t>Shaheed Rajguru College Of Applied Sciences  For Women, Delhi University</t>
  </si>
  <si>
    <t>I have interest  in astrophysics and strongly want to pursue it. I have basic knowledge of it and want to dive in more about astrophysics. I know this course will help me gain more knowledge in this field.</t>
  </si>
  <si>
    <t>sambitban01@gmail.com</t>
  </si>
  <si>
    <t>Sambit Banerjee</t>
  </si>
  <si>
    <t xml:space="preserve">Visva Bharati University </t>
  </si>
  <si>
    <t>I wish to gain theoretical knowledge and ability to implement my knowledge for problem solving.</t>
  </si>
  <si>
    <t>soumilydebnath2007@gmail.com</t>
  </si>
  <si>
    <t xml:space="preserve">Soumily Debnath </t>
  </si>
  <si>
    <t xml:space="preserve">University of Madras </t>
  </si>
  <si>
    <t xml:space="preserve">To learn and do some real world projects in astronomy </t>
  </si>
  <si>
    <t>yashankgidwani@gmail.com</t>
  </si>
  <si>
    <t>Yashank Gidwani</t>
  </si>
  <si>
    <t>Christ University</t>
  </si>
  <si>
    <t>tamannasuryavanshi211@gmail.com</t>
  </si>
  <si>
    <t xml:space="preserve">Tamanna </t>
  </si>
  <si>
    <t xml:space="preserve">Saheed rajguru college of applied sciences for women </t>
  </si>
  <si>
    <t>nehasraj2593@gmail.com</t>
  </si>
  <si>
    <t>NEHA S RAJ</t>
  </si>
  <si>
    <t>Vellore Institute of Technology, Vellore Campus</t>
  </si>
  <si>
    <t>ritikaprajapati152003@gmail.com</t>
  </si>
  <si>
    <t xml:space="preserve">Ritika Prajapati </t>
  </si>
  <si>
    <t xml:space="preserve">Banaras Hindu University Varanasi Uttar Pradesh </t>
  </si>
  <si>
    <t xml:space="preserve">It will be helpful for my upcoming PhD journey </t>
  </si>
  <si>
    <t>salmitt0014@gmail.com</t>
  </si>
  <si>
    <t>Saloni</t>
  </si>
  <si>
    <t xml:space="preserve">Shaheed rajguru college of applied sciences for women </t>
  </si>
  <si>
    <t>Expect to learn astronomy, Python, and observational techniques while building a stronger profile for higher studies in science.</t>
  </si>
  <si>
    <t>Gaining more knowledge in the field of astronomy for my future scopes</t>
  </si>
  <si>
    <t>VIT-AP University</t>
  </si>
  <si>
    <t>sudhi9067@gmail.com</t>
  </si>
  <si>
    <t>Sudhi.s</t>
  </si>
  <si>
    <t xml:space="preserve">Government chittur collage </t>
  </si>
  <si>
    <t xml:space="preserve">cosmology, stellar evolution, Python for astronomy, data analysis, and practical observation methods including telescope usage and astrophotography im really interested in this topics </t>
  </si>
  <si>
    <t xml:space="preserve">Santhiyagovindarajan07@gmail.com </t>
  </si>
  <si>
    <t xml:space="preserve">Santhiya G </t>
  </si>
  <si>
    <t xml:space="preserve">P.S.G COLLEGE OF ARTS AND SCIENCE </t>
  </si>
  <si>
    <t>I'm expecting to expand my knowledge on observational astronomy techniques and get exposed to computational astronomy while having a refresher on theoretical concepts</t>
  </si>
  <si>
    <t>mansi642184@gmail.com</t>
  </si>
  <si>
    <t xml:space="preserve">Mansi </t>
  </si>
  <si>
    <t>Hans raj mahila maha vidyalya</t>
  </si>
  <si>
    <t>Shreeshats2005@gmail.com</t>
  </si>
  <si>
    <t xml:space="preserve">Shreesha T S </t>
  </si>
  <si>
    <t xml:space="preserve">Regional Institute of Education </t>
  </si>
  <si>
    <t>chudasamapratham142@gmail.com</t>
  </si>
  <si>
    <t>Pratham Chudasama</t>
  </si>
  <si>
    <t>820o357641</t>
  </si>
  <si>
    <t>LJIET</t>
  </si>
  <si>
    <t>manpreetsinghmahajan@gmail.com</t>
  </si>
  <si>
    <t xml:space="preserve">Manpreet Singh </t>
  </si>
  <si>
    <t xml:space="preserve">Delhi Technological University </t>
  </si>
  <si>
    <t xml:space="preserve">I am very much interested in the field of Astronomy and want to make may career in it . I also want to gain some computational skills for competing in today's world . That's why I am very much interested in this course . </t>
  </si>
  <si>
    <t>shaikharubazikra@gmail.com</t>
  </si>
  <si>
    <t xml:space="preserve">Aruba Zikra Shaikh Aijazuddin </t>
  </si>
  <si>
    <t xml:space="preserve">Yeshwant Mahavidyalaya, Nanded </t>
  </si>
  <si>
    <t>poojapriyadk@gmail.com</t>
  </si>
  <si>
    <t>POOJAPRIYA D</t>
  </si>
  <si>
    <t>Madras Christian College</t>
  </si>
  <si>
    <t xml:space="preserve">MVJ COLLEGE OF ENGINEERING </t>
  </si>
  <si>
    <t>saravanan.s19082008@gmail.com</t>
  </si>
  <si>
    <t>S Saravanan</t>
  </si>
  <si>
    <t xml:space="preserve">PSG College of Arts and Science </t>
  </si>
  <si>
    <t>My expectation from this course is to build a solid understanding of astronomy, learn practical observation techniques, improve my Python and data analysis skills and gain hands-on experience with telescopes and astrophotography. Most importantly, I hope the course will deepen my curiosity about space and inspire me to explore
astronomy further.</t>
  </si>
  <si>
    <t>Chendurbm@gmail.com</t>
  </si>
  <si>
    <t>Chendur Raj B</t>
  </si>
  <si>
    <t>St. Joseph's college, tiruchirappalli.</t>
  </si>
  <si>
    <t>I have some experience on observation using a Newtonian telescope, I expect this course helps to extend my knowledge by learning basics in both theory and computation.</t>
  </si>
  <si>
    <t>rafnamehrin33@gmail.com</t>
  </si>
  <si>
    <t>Rafna Mehrin</t>
  </si>
  <si>
    <t>Providence women’s college calicut</t>
  </si>
  <si>
    <t>I am expecting to gain more knowledge about astronomy.</t>
  </si>
  <si>
    <t>Prachibawari10@gmail.com</t>
  </si>
  <si>
    <t>Prachi</t>
  </si>
  <si>
    <t xml:space="preserve">Shaheed rajguru college of applied science for women </t>
  </si>
  <si>
    <t>Hello and thank you for providing this wonderful opportunity.
Astronomy has always fascinated me, and I am excited about the opportunity to explore it through direct observation. Through the Observational Module, I hope to learn how to identify celestial objects, navigate the night sky,and properly use telescopes and other observational tools.
I am particularly interested in gaining hands-on experience in astronomical observation and astrophotography, as these are areas I have never had the chance to explore in depth before. I look forward to learning from experienced mentors and understanding how observational data is collected and analyzed in astronomy.
As a student with a strong curiosity about space and the universe, I believe this program will help me develop practical skills, deepen my appreciation for astronomy, and inspire me to continue exploring the field. It would be a privilege and an exciting learning experience to be a part of this course, and I would be truly grateful for the opportunity to learn from and contribute to this community.
Thank you for your time and consideration.</t>
  </si>
  <si>
    <t>mohi.vortexofvoid@gmail.com</t>
  </si>
  <si>
    <t xml:space="preserve">Sushruta Biswas </t>
  </si>
  <si>
    <t xml:space="preserve">aiswaryanairab@gmail.com </t>
  </si>
  <si>
    <t xml:space="preserve">Aiswarya Nair A B </t>
  </si>
  <si>
    <t xml:space="preserve">I think this would be a great opportunity to explore the universe </t>
  </si>
  <si>
    <t>goyalyashika416@gmail.com</t>
  </si>
  <si>
    <t xml:space="preserve">Yashika Goyal </t>
  </si>
  <si>
    <t xml:space="preserve">Delhi University </t>
  </si>
  <si>
    <t>Physics.dayanithi@gmail.com</t>
  </si>
  <si>
    <t>Dayanithi B</t>
  </si>
  <si>
    <t xml:space="preserve">St. Joseph's College (Autonomous), Tiruchirapalli </t>
  </si>
  <si>
    <t xml:space="preserve">I'm looking to obtain a basic idea about the theoretical module, how the universe originated and how it is evolved. And computational module provides me insights ful idea about the simulation and how python helps on it to analysis data and how data has been plotted by using matlab. </t>
  </si>
  <si>
    <t>yashk1905@gmail.com</t>
  </si>
  <si>
    <t>Yash Kavishwar</t>
  </si>
  <si>
    <t>Palaksaini987654321@gmail.com</t>
  </si>
  <si>
    <t>Palak</t>
  </si>
  <si>
    <t>aditiyadav252004@gmail.com</t>
  </si>
  <si>
    <t>Anjali yadav</t>
  </si>
  <si>
    <t xml:space="preserve">Shaheed rajguru college </t>
  </si>
  <si>
    <t>lakshaysimran@gmail.com</t>
  </si>
  <si>
    <t xml:space="preserve">SIMRAN </t>
  </si>
  <si>
    <t>SRCASW</t>
  </si>
  <si>
    <t xml:space="preserve">So that I can gain more knowledge about the topic in detail </t>
  </si>
  <si>
    <t>karthikashree1220@gmail.com</t>
  </si>
  <si>
    <t>Karthika Shree. C</t>
  </si>
  <si>
    <t>To know about the space and unknown too.</t>
  </si>
  <si>
    <t>ameenafiroz122@gmail.com</t>
  </si>
  <si>
    <t xml:space="preserve">AMEENA FIROZ M M </t>
  </si>
  <si>
    <t xml:space="preserve">National Institute of Technology, Calicut </t>
  </si>
  <si>
    <t>meghash0168@gmail.com</t>
  </si>
  <si>
    <t xml:space="preserve">Megha Sharma </t>
  </si>
  <si>
    <t>I am a physics honours student and wanted to know about astronomy.</t>
  </si>
  <si>
    <t xml:space="preserve">A beginner friendly lectures that every undergraduate students can understand and give them a chance to explore and learn  about Astronomy </t>
  </si>
  <si>
    <t>Anchal Chaudhary</t>
  </si>
  <si>
    <t>IIEST, Shibpur</t>
  </si>
  <si>
    <t>that I will be able to use astronomical data in computational way and be able to understand basics of theoretical astronomy.</t>
  </si>
  <si>
    <t>adarshchandran024@gmail.com</t>
  </si>
  <si>
    <t>Adarsh.C.M</t>
  </si>
  <si>
    <t xml:space="preserve">University college, Palayam,Trivandrum </t>
  </si>
  <si>
    <t xml:space="preserve">I want to know more about astrophysics and it is helpful for my studies </t>
  </si>
  <si>
    <t>sreekarthikdasv@gmail.com</t>
  </si>
  <si>
    <t>Sreekarthikdas V</t>
  </si>
  <si>
    <t>University college,palayam</t>
  </si>
  <si>
    <t>A basic knowledge about astronomy.</t>
  </si>
  <si>
    <t xml:space="preserve">Indian Institute of Science Education and Research ,Kolkata </t>
  </si>
  <si>
    <t xml:space="preserve">​I want to attend the Equinox school by IIT Guwahati to improve my programming and machine learning skills. I want to move from writing basic scripts to building reliable software for data analysis. I have used Python tools like Astropy and Photutils to analyze sources in the HST Deep Field, but I need to learn how to properly organize, visualize, and share my cosmic data. From this school, I expect to learn fundamental tools starting from Python scratch, NumPy, and Pandas, alongside core machine learning techniques ranging from Linear Regression and Gradient Descent to Decision Trees, Neural Networks, and LLMs.
​In the future, I want to research high-energy physics, star formation, and gravitational waves. These topics involve massive amounts of data and complicated models. To work with them, I need to process complex datasets and write good code for big simulations. Learning how to apply advanced machine learning algorithms and handle intense computational tasks will help me contribute to open-source astronomy projects. It will also make my research easy for other scientists to check and replicate. This school will give me the tools I need to build solid computational programs for my astronomy research, allowing me to analyze large datasets and complex models much more efficiently.
</t>
  </si>
  <si>
    <t>harshbansal2727@gmail.com</t>
  </si>
  <si>
    <t>Harsh Bansal</t>
  </si>
  <si>
    <t xml:space="preserve">Sri Guru Tegh Bahadur Khalsa College </t>
  </si>
  <si>
    <t>niranjanassudheer2026@gmail.com</t>
  </si>
  <si>
    <t xml:space="preserve">Niranjana S Sudheer </t>
  </si>
  <si>
    <t xml:space="preserve">University College Palayam,TVM </t>
  </si>
  <si>
    <t>mdchingila@gmail.com</t>
  </si>
  <si>
    <t xml:space="preserve">Chingila MD </t>
  </si>
  <si>
    <t xml:space="preserve">Understanding astronomy and get basic knowledge </t>
  </si>
  <si>
    <t>rejirneeraj@gmail.com</t>
  </si>
  <si>
    <t xml:space="preserve">Neeraj R </t>
  </si>
  <si>
    <t>Studying more big bang and space</t>
  </si>
  <si>
    <t>ayushisharma4943@gmail.com</t>
  </si>
  <si>
    <t xml:space="preserve">Ayushi sharma </t>
  </si>
  <si>
    <t>I want to add more knowledge Abt astronomy and all as I want to take it as my future subject in physics hons .. also I want to know more about this field ...</t>
  </si>
  <si>
    <t>anuragggg01234@gmail.com</t>
  </si>
  <si>
    <t xml:space="preserve">Anurag Suresh </t>
  </si>
  <si>
    <t xml:space="preserve">I think that the course will useful for my career </t>
  </si>
  <si>
    <t>S</t>
  </si>
  <si>
    <t xml:space="preserve">Sphurti Thombare </t>
  </si>
  <si>
    <t>Exception: Invalid email: S</t>
  </si>
  <si>
    <t>sphurtithom30@gmail.com</t>
  </si>
  <si>
    <t xml:space="preserve">Cummins College of Engineering </t>
  </si>
  <si>
    <t>mm3980916@gmail.com</t>
  </si>
  <si>
    <t xml:space="preserve">Nahla </t>
  </si>
  <si>
    <t xml:space="preserve">Kerala university </t>
  </si>
  <si>
    <t xml:space="preserve">Just to know the basics </t>
  </si>
  <si>
    <t>deepikas1763@gmail.com</t>
  </si>
  <si>
    <t xml:space="preserve">Deepika Saravanan </t>
  </si>
  <si>
    <t xml:space="preserve">Salem Sowdeswari College </t>
  </si>
  <si>
    <t>I expect to gain hands-on experience in observational astronomy, including telescope operation, astrophotography, and astronomical data analysis. I hope to improve my practical skills, learn modern astronomy software, and build a strong foundation for my future studies and research in astronomy.</t>
  </si>
  <si>
    <t>sb8611411@gmail.com</t>
  </si>
  <si>
    <t xml:space="preserve">Shivani baghel </t>
  </si>
  <si>
    <t>Shaheed rajguru college of applies science for women</t>
  </si>
  <si>
    <t>mohandatta.j@gmail.com</t>
  </si>
  <si>
    <t>Mohan Datta J</t>
  </si>
  <si>
    <t>SRM-AP</t>
  </si>
  <si>
    <t>sayank.etce.ug@jadavpuruniversity.in</t>
  </si>
  <si>
    <t>Sayan Karmakar</t>
  </si>
  <si>
    <t>reetika123singh@gmail.com</t>
  </si>
  <si>
    <t xml:space="preserve">Reetika Singh </t>
  </si>
  <si>
    <t xml:space="preserve">77966 17639 </t>
  </si>
  <si>
    <t xml:space="preserve">NIT ROURKELA </t>
  </si>
  <si>
    <t xml:space="preserve">I have always been in love with astronomy but never got much opportunities to pursue it, thus losing interest in it. From this course I hope to ignite my dormant interest in astronomy </t>
  </si>
  <si>
    <t>taniyasaha112@gmail.com</t>
  </si>
  <si>
    <t>Taniya</t>
  </si>
  <si>
    <t xml:space="preserve">St. Xavier's College Autonomous Kolkata </t>
  </si>
  <si>
    <t xml:space="preserve">My expectations from Astronomy 101 are to build a strong foundation in both the theory and practice of astronomy. From the Theoretical Module, I hope to understand core concepts in astrophysics like stellar evolution, galaxies, black holes, and cosmology, and develop the ability to connect physics with phenomena we observe in the universe. 
Through the Computational Module, I expect to gain hands-on skills in Python, Jupyter Notebook, and data analysis, and learn how modern tools like machine learning are applied to astronomical research. 
From the Observational Module, I look forward to getting practical experience with telescopes, night sky navigation, and astrophotography, and to understand how raw data from observations is processed and calibrated. 
Overall, I hope this course gives me a well-rounded introduction that combines scientific understanding, technical skills, and real observational experience, and helps me explore whether I want to pursue astronomy further.
</t>
  </si>
  <si>
    <t>shreya1iitian@gmail.com</t>
  </si>
  <si>
    <t xml:space="preserve">Shreya Pandey </t>
  </si>
  <si>
    <t xml:space="preserve">Shri Murli Manohar Town PG College Ballia, up </t>
  </si>
  <si>
    <t>ardramolantony6@gmail.com</t>
  </si>
  <si>
    <t xml:space="preserve">Ardramol Antony </t>
  </si>
  <si>
    <t xml:space="preserve">Thalipparamb Arts and science college </t>
  </si>
  <si>
    <t>Sanjaysureshv123@gmail.com</t>
  </si>
  <si>
    <t xml:space="preserve">Sanjay suresh v </t>
  </si>
  <si>
    <t xml:space="preserve">University college thiruvananthapuram </t>
  </si>
  <si>
    <t xml:space="preserve">To know about Computational Astrophysics </t>
  </si>
  <si>
    <t>ashutoshm.mca25@nitp.ac.in</t>
  </si>
  <si>
    <t>Ashutosh Mishra</t>
  </si>
  <si>
    <t>National Institute Of Technology Patna</t>
  </si>
  <si>
    <t>Building real life projects</t>
  </si>
  <si>
    <t>kp9781204@gmail.com</t>
  </si>
  <si>
    <t>anushome27@gmail.com</t>
  </si>
  <si>
    <t xml:space="preserve">Anushri Shome </t>
  </si>
  <si>
    <t xml:space="preserve">Kirorimal College </t>
  </si>
  <si>
    <t xml:space="preserve">I hope to learn something over the course of the summer and get a better understanding of what courses interest me </t>
  </si>
  <si>
    <t>​As a Physics student with a deep interest in astrophysics and cosmology, my primary expectation from Astronomy 101 is to build a well-rounded foundation across all aspects of the field. While I have some background in theoretical physics and basic Python, I am very eager to solidify my understanding of stellar evolution, black holes, and the early universe through the Theoretical Module.
​Furthermore, I am looking forward to the Computational Module to learn how to apply programming and introductory machine learning specifically to astronomical datasets. Finally, the Observational Module is what excites me the most, as I currently lack hands-on experience with telescope handling, celestial navigation, and FITS data processing. Overall, I hope this course will help bridge the gap between my academic coursework and practical, real-world astronomical observation.</t>
  </si>
  <si>
    <t>251312022@nitdelhi.ac.in</t>
  </si>
  <si>
    <t>Smridhi Gupta</t>
  </si>
  <si>
    <t>National Institute of Technology Delhi</t>
  </si>
  <si>
    <t>251312021@nitdelhi.ac.in</t>
  </si>
  <si>
    <t xml:space="preserve">Shriyansh Prabhakishore </t>
  </si>
  <si>
    <t xml:space="preserve">National Institute of Technology Delhi </t>
  </si>
  <si>
    <t xml:space="preserve">Getting a strong hold of the fundamentals of Astronomy and Astrophysics </t>
  </si>
  <si>
    <t>josephjaison5112007@gmail.com</t>
  </si>
  <si>
    <t>JOSEPH JAISON</t>
  </si>
  <si>
    <t xml:space="preserve">I expect to gain more knowledge </t>
  </si>
  <si>
    <t>To learn more about computational skills</t>
  </si>
  <si>
    <t>luttubot.ff@gmail.com</t>
  </si>
  <si>
    <t>Chaithanyan M B</t>
  </si>
  <si>
    <t xml:space="preserve">Educate myself </t>
  </si>
  <si>
    <t>shanmathishanmugam48@gmail.com</t>
  </si>
  <si>
    <t>Shanmathi S</t>
  </si>
  <si>
    <t xml:space="preserve">To gain knowledge more about physics </t>
  </si>
  <si>
    <t>Great expectation on how it will be useful.</t>
  </si>
  <si>
    <t>anishnagubandi7@gmail.com</t>
  </si>
  <si>
    <t>To learn something new from this course.</t>
  </si>
  <si>
    <t xml:space="preserve">Mrunal Nerpawar </t>
  </si>
  <si>
    <t>NA</t>
  </si>
  <si>
    <t xml:space="preserve">Learn in detail on how to read the space </t>
  </si>
  <si>
    <t xml:space="preserve">sitabjaphysik05@gmail.com </t>
  </si>
  <si>
    <t>Sitabja Dutta</t>
  </si>
  <si>
    <t>I eagerly wanted to so many data are processed and joined together from various images to arrive at conclusions in so less time but with such accuracy</t>
  </si>
  <si>
    <t>momin.m.official@gmail.com</t>
  </si>
  <si>
    <t>Momin Muhammad Aslam</t>
  </si>
  <si>
    <t>Indian Institute of Technology Madras</t>
  </si>
  <si>
    <t>Id love to start off with computational astronomy and build projects that excite me.</t>
  </si>
  <si>
    <t>ZISHANUDDIN GAZI</t>
  </si>
  <si>
    <t>INDIAN INSTITUTE OF SCIENCE EDUCATION AND RESEARCH (IISER), BERHAMPUR</t>
  </si>
  <si>
    <t>I hope this course will introduce me to the modern tools and methodologies used in astronomy research and help me interact with like-minded astronomy enthusiasts. Overall, I expect this course to strengthen my knowledge, improve my practical skills, and inspire me further to explore astronomy and space science in greater depth.</t>
  </si>
  <si>
    <t>swelaxtamil@gmail.com</t>
  </si>
  <si>
    <t>Swetha.C</t>
  </si>
  <si>
    <t>PSGCAS</t>
  </si>
  <si>
    <t>Learning new skills</t>
  </si>
  <si>
    <t>25bph026@psgcas.ac.in</t>
  </si>
  <si>
    <t xml:space="preserve">Nisha </t>
  </si>
  <si>
    <t xml:space="preserve">PSG College of arts and science </t>
  </si>
  <si>
    <t>abhiram200869@gmail.com</t>
  </si>
  <si>
    <t>Abhiram Reddy Palle</t>
  </si>
  <si>
    <t>MRTC</t>
  </si>
  <si>
    <t>I expect this course to strengthen my understanding of astronomy and astrophysics while giving me practical experience in computational and observational astronomy. I am particularly interested in learning how Python and data analysis are used in astronomical research, as well as gaining hands-on experience with telescope operation, astrophotography, and celestial observations. I hope the course will help me build a stronger foundation for pursuing higher studies and projects in astrophysics and space science.</t>
  </si>
  <si>
    <t>Gain knowledge &amp; experience</t>
  </si>
  <si>
    <t xml:space="preserve">Anushka Verma </t>
  </si>
  <si>
    <t>IIT Madras BS DS</t>
  </si>
  <si>
    <t>vjsingh.gate@gmail.com</t>
  </si>
  <si>
    <t>Vijay singh</t>
  </si>
  <si>
    <t xml:space="preserve">Indian institute of science Bangalore </t>
  </si>
  <si>
    <t xml:space="preserve">To enhance my existing knowledge of astronomy and build a strong base for assimilating more such concepts </t>
  </si>
  <si>
    <t>Roshni Sen</t>
  </si>
  <si>
    <t>25bph033@psgcas.ac.in</t>
  </si>
  <si>
    <t xml:space="preserve">PRUTHVI S B </t>
  </si>
  <si>
    <t>vighneshthale217@gmail.com</t>
  </si>
  <si>
    <t>Vighnesh Anil Thale</t>
  </si>
  <si>
    <t>Expanding my knowledge about astronomy</t>
  </si>
  <si>
    <t>kapilkalyankarcr7@gmail.com</t>
  </si>
  <si>
    <t xml:space="preserve">Kapil kalyankar </t>
  </si>
  <si>
    <t xml:space="preserve">Swami Ramanand Teerth Marathwada University Nanded </t>
  </si>
  <si>
    <t xml:space="preserve">To explore one of the interesting branch of physics </t>
  </si>
  <si>
    <t xml:space="preserve">For research purposes. </t>
  </si>
  <si>
    <t xml:space="preserve">Shri Murli Manohar Town PG College Ballia , Up </t>
  </si>
  <si>
    <t>As a physics student deeply passionate about astrophysics and space science, I am looking forward to strengthening my foundational knowledge through this course. My primary expectation is to gain a deeper theoretical understanding of topics like stellar evolution, cosmology, and black hole physics. Additionally, I am highly interested in learning how computational tools like Python are applied to data analysis and visualization in astronomy, as well as understanding the fundamentals of practical observational techniques.</t>
  </si>
  <si>
    <t>Supriya Gali</t>
  </si>
  <si>
    <t>Vit-AP</t>
  </si>
  <si>
    <t>My expectations from this course are pretty good as I alr have my passion as to explore deep space and I want to make it happen through this course and with the help of club.</t>
  </si>
  <si>
    <t>nb25ms302@iiserkol.ac.in</t>
  </si>
  <si>
    <t>Nivedya B</t>
  </si>
  <si>
    <t>I want to know more about astronomy.</t>
  </si>
  <si>
    <t>mihchak24@gmail.com</t>
  </si>
  <si>
    <t xml:space="preserve">Mihir Chakradeo </t>
  </si>
  <si>
    <t>As long as I am finishing the course with something that I didn't know before enrolling, I'm happy :)</t>
  </si>
  <si>
    <t xml:space="preserve">St. Xavier's College (Autonomous), Kolkata </t>
  </si>
  <si>
    <t>devika_m251152ph@nitc.ac.in</t>
  </si>
  <si>
    <t>Devika Sajeevan</t>
  </si>
  <si>
    <t>Learn astronomy - more interested in the computational and observational aspects</t>
  </si>
  <si>
    <t>tahseenstudy@gmail.com</t>
  </si>
  <si>
    <t>Tahseen Fatima</t>
  </si>
  <si>
    <t xml:space="preserve">KCC Institute Of Technology And Management </t>
  </si>
  <si>
    <t>I want to study about this course and I am interested in this Course.</t>
  </si>
  <si>
    <t>u25ep008@phy.svnit.ac.in</t>
  </si>
  <si>
    <t xml:space="preserve">Tanmay Yadav </t>
  </si>
  <si>
    <t>khushi.take@gmail.com</t>
  </si>
  <si>
    <t>Khushi Take</t>
  </si>
  <si>
    <t xml:space="preserve">Coep </t>
  </si>
  <si>
    <t xml:space="preserve">Have a good hold of the fundamentals of Astronomy and Astrophysics </t>
  </si>
  <si>
    <t>galat</t>
  </si>
  <si>
    <t>Fathima Risha M.</t>
  </si>
  <si>
    <t>97784 41007</t>
  </si>
  <si>
    <t>ar25ms313@iiserkol.ac.in</t>
  </si>
  <si>
    <t>Adarsh Ranjan</t>
  </si>
  <si>
    <t>AE-1114</t>
  </si>
  <si>
    <t>95083 21116</t>
  </si>
  <si>
    <t>Shriyansh Prabhakishore</t>
  </si>
  <si>
    <t>AE-1115</t>
  </si>
  <si>
    <t>Deepika Saravanan</t>
  </si>
  <si>
    <t>AE-1116</t>
  </si>
  <si>
    <t>Email Address</t>
  </si>
  <si>
    <t>Assignment Instructions
Open the Colab notebook using the link below and create a copy in your Google Drive. Complete all the tasks/questions in the notebook. Once finished, make sure the sharing settings are set to "Anyone with the link can view" and paste the shareable link to your completed notebook in the response field below.
Colab Notebook Link: https://colab.research.google.com/drive/1TMEWLkX_CKyG5EeCCwjXskLidoTfA4a9?usp=sharing
Submission: Paste the link to your completed notebook below.</t>
  </si>
  <si>
    <t>Final Score</t>
  </si>
  <si>
    <t>Astronomy 101 Code:</t>
  </si>
  <si>
    <t>Name:</t>
  </si>
  <si>
    <t>Contact Number</t>
  </si>
  <si>
    <t>If astronomers discovered that galaxies were moving toward us rather than away from us, how would that fundamentally change the interpretation of the following theory?</t>
  </si>
  <si>
    <t>For a significant portion of its early history (the Photon Epoch), the universe is described as an opaque 'soup' or fog. What key conceptual shift allowed the universe to finally become transparent to light, creating the cosmic background radiation we observe today?</t>
  </si>
  <si>
    <t>According to the standard Big Bang timeline, what specific fundamental force separation is hypothesised to have triggered the period of rapid exponential expansion known as cosmic inflation?</t>
  </si>
  <si>
    <t>During the 'Dark Ages', the universe was filled with a sea of neutral hydrogen atoms that made the cosmos opaque to shorter wavelengths of light. What mechanism fundamentally altered this state, ending the Dark Ages and allowing starlight to travel vast distances?</t>
  </si>
  <si>
    <t>What does the following images symbolise based on the image and time of the event</t>
  </si>
  <si>
    <t>Why does the Cosmic Microwave Background (CMB) appear to have a 'perfect' thermal spectrum despite space being essentially empty today?</t>
  </si>
  <si>
    <t>What is the fundamental difference between the 'R-process' and 'S-process' in neutron capture?</t>
  </si>
  <si>
    <t>During the brief period of Big Bang nucleosynthesis, why did the universe primarily produce hydrogen and helium, rather than fusing all primordial matter into heavier, ultra-stable elements like iron?</t>
  </si>
  <si>
    <t>Olbers' Paradox historically asked why the night sky is dark if the universe is infinite and filled with stars. How does the Big Bang model elegantly resolve this paradox?</t>
  </si>
  <si>
    <t>How do neutron star mergers overcome the electrostatic repulsion that prevents standard fusion?</t>
  </si>
  <si>
    <t>Why are lithium, beryllium, and boron produced via cosmic ray collisions (fission) rather than typical stellar fusion?</t>
  </si>
  <si>
    <t>All elements are products of stardust. Do you agree?</t>
  </si>
  <si>
    <t>How does the birth of massive, early stars actively influence the formation of subsequent structures in the early universe?</t>
  </si>
  <si>
    <t>During the formation of a star, why does the inner region of the collapsing gas cloud eventually cease to collapse further and temporarily stabilize as a protostar?</t>
  </si>
  <si>
    <t>Identify what is present in the following image</t>
  </si>
  <si>
    <t>How did the initial state of the universe during the period of quantum fluctuations ultimately dictate the large-scale distribution of matter we observe today?</t>
  </si>
  <si>
    <t>In the context of large-scale galactic structures, what defines the boundaries of the "Laniakea" Supercluster, our cosmic home?</t>
  </si>
  <si>
    <t>The majority of the universe's total volume is composed of what specific structural feature within the Cosmic Web?</t>
  </si>
  <si>
    <t>Dark matter is an essential component of the universe's mass-energy density. Why is it impossible to observe dark matter directly using conventional optical or radio telescopes?</t>
  </si>
  <si>
    <t>In contemporary physics, what is the primary observed macroscopic effect attributed to Dark Energy?</t>
  </si>
  <si>
    <t>In an attempt to explain the anomalous rotation curves of galaxies without invoking unseen dark matter particles, physicists developed an alternative theory known as M.O.N.D. What does this acronym signify?</t>
  </si>
  <si>
    <t>Before a star like our Sun formally initiates nuclear fusion, it spends millions of years in the "T Tauri" phase. During this pre-main-sequence stage, what is the primary source of the star's immense heat and luminosity?</t>
  </si>
  <si>
    <t>Astronomers frequently measure the abundance of the element Lithium to determine the precise age of a T Tauri star. Why does the observable amount of Lithium decrease as the star ages?</t>
  </si>
  <si>
    <t>What specific event definitively marks the end of the T Tauri phase and the beginning of a star's stable life on the "main sequence"?</t>
  </si>
  <si>
    <t>Where do the vast majority of the universe's exceptionally heavy elements, such as gold, silver, and uranium, originate?</t>
  </si>
  <si>
    <t>When an exceptionally massive star exhausts its nuclear fuel, its core violently collapses. If the remaining core mass dramatically exceeds the Tolman-Oppenheimer-Volkoff limit, what is the resulting celestial object?</t>
  </si>
  <si>
    <t>During the very early universe, a quantum process known as baryogenesis resulted in a crucial asymmetry. What was the ultimate outcome of this statistical anomaly?</t>
  </si>
  <si>
    <t>If you are standing at the North Pole, where would the celestial pole be located in your sky?</t>
  </si>
  <si>
    <t>Why do observers at different latitudes on Earth see the celestial pole at different heights above the horizon?</t>
  </si>
  <si>
    <t>You are trying to show a friend all the different constellation drawings that are currently above your head, but Stellarium keeps making them disappear, only showing the single constellation in the middle of your screen. How do you fix this?</t>
  </si>
  <si>
    <t>You want to find out what phase the moon was in on the exact night you were born. How do you achieve this in Stellarium?</t>
  </si>
  <si>
    <t>Identify the following solar position</t>
  </si>
  <si>
    <t>Why did the Indian Institute of Astrophysics find it necessary to establish an observatory in the Himalayan region, such as the one at Hanle, rather than relying exclusively on their existing southern observatories?</t>
  </si>
  <si>
    <t>According to the documentary in day 5, how does the creation of the Hanle Dark Sky Reserve benefit the local ecosystem, specifically the wildlife?</t>
  </si>
  <si>
    <t>What will be the output of the following code?
a = (1, 2, [3, 4])
a[2].append(5)
print(a)</t>
  </si>
  <si>
    <t>What will be the output?
x = [1, 2, 3]
y = x
y += [4]
print(x)</t>
  </si>
  <si>
    <t xml:space="preserve">Which of the following can be used as a dictionary key?  </t>
  </si>
  <si>
    <t>What will be the output of the following code?
d = {}
d[(1, 2)] = "A"
d[(1, 2, [3, 4])] = "B"
print(len(d))</t>
  </si>
  <si>
    <t>What will be the output of the following code?
a = [1, 2, 3]
b = a
a = a + [4]
print(b)</t>
  </si>
  <si>
    <t>When we tried capturing The solar position at noon for a year, what pattern did it symbolise?</t>
  </si>
  <si>
    <t>Imagine you are observing the night sky from the northern hemisphere. Why are the constellations located near the summer solstice in the ecliptic path best viewed during the winter months?</t>
  </si>
  <si>
    <t>Our modern map of constellations is a flat projection of a celestial sphere. What is the primary consequence of this method on the appearance of constellations at the extreme north and south poles of the map?</t>
  </si>
  <si>
    <t>Why is it often easier for a beginner to identify Jupiter in the night sky compared to Mercury?</t>
  </si>
  <si>
    <t>If you were an ancient observer tracking a specific 'wandering star' that seemed to travel forward, pause, and then move backwards over several months, which celestial body would you most likely be observing?</t>
  </si>
  <si>
    <t xml:space="preserve">Why is the concept of "integrated magnitude" important when observing objects like galaxies or nebulae through a telescope compared to point-like stars?
</t>
  </si>
  <si>
    <t>If astrology enthusiasts base their horoscopes on the zodiac, why is it scientifically misaligned with current reality?</t>
  </si>
  <si>
    <t>buralagan9@gmail.com</t>
  </si>
  <si>
    <t>https://colab.research.google.com/drive/110-WzL0SE8DlazI8Gbo6sCxpV9Vjuc_-?usp=sharing</t>
  </si>
  <si>
    <t>AE-0752</t>
  </si>
  <si>
    <t>It would confirm a cyclic universe model.</t>
  </si>
  <si>
    <t>The cooling of the universe allowed ionized nuclei to capture electrons, neutralizing their charge and stopping them from constantly scattering photons.</t>
  </si>
  <si>
    <t>The separation of gravity from the unified forces at the end of the Planck Epoch.</t>
  </si>
  <si>
    <t>A: Merger of two galaxies during early galaxy formation B: Black Hole Formation</t>
  </si>
  <si>
    <t>It is the leftover light emitted by a hot, dense plasma that permeated the entire universe roughly 400,000 years after the Big Bang.</t>
  </si>
  <si>
    <t>The R-process involves rapid neutron accumulation before decay, leading to larger jumps in atomic mass compared to the slower S-process</t>
  </si>
  <si>
    <t>The universe is not infinitely old, meaning light from the most distant stars has simply not had enough time to reach us.</t>
  </si>
  <si>
    <t>The merger releases a massive amount of neutrons, which are then captured by atomic nuclei (the 'R-process')</t>
  </si>
  <si>
    <t>Because stars reach temperatures that immediately destroy these specific elements</t>
  </si>
  <si>
    <t>Yes, because hydrogen and helium were primarily formed during the Big Bang which later went on to become stars where other elements were created.</t>
  </si>
  <si>
    <t>They produce radiation that strips electrons from surrounding gas, promoting further star formation through collisions.</t>
  </si>
  <si>
    <t>The temperature rises until the outward kinetic energy of the gas balances the inward gravitational pull.</t>
  </si>
  <si>
    <t>Our home supercluster - Laniakea</t>
  </si>
  <si>
    <t>Random energy spawnings caused matter to clump together, a pattern that magnified as the universe expanded.</t>
  </si>
  <si>
    <t>B) A basin of attraction where the peculiar velocities of galaxies are directed inward toward a common gravitational focal point.</t>
  </si>
  <si>
    <t>C) Cosmic voids, which are vast regions nearly empty of galaxies.</t>
  </si>
  <si>
    <t>C) It does not interact via the electromagnetic force, meaning it neither emits, absorbs, nor reflects light.</t>
  </si>
  <si>
    <t>B) It drives the accelerating, exponential expansion of the universe on large scales.</t>
  </si>
  <si>
    <t>C) Modified Newtonian Dynamics</t>
  </si>
  <si>
    <t>B) Gravitational energy released as the massive cloud of gas continuously contracts under its own weight.</t>
  </si>
  <si>
    <t>B) Rapid rotation and convective currents drag the Lithium into the deep, hot interior of the star where it is destroyed by nuclear reactions.</t>
  </si>
  <si>
    <t>D) The initiation of sustained hydrogen-to-helium nuclear fusion in the star's core.</t>
  </si>
  <si>
    <t>C) They are formed during the cataclysmic explosions of supernovae and the violent mergers of neutron stars.</t>
  </si>
  <si>
    <t>C) A black hole</t>
  </si>
  <si>
    <t>B) The creation of slightly more matter than antimatter (roughly one extra per billion), allowing the material universe to exist.</t>
  </si>
  <si>
    <t>A) At your zenith (directly overhead).</t>
  </si>
  <si>
    <t>C) Because the angle of the celestial pole correlates to the observer's latitude on the globe.</t>
  </si>
  <si>
    <t>Long-press the constellations button in the bottom left and turn off the 'Centered Only' setting.</t>
  </si>
  <si>
    <t>Tap the time in the bottom right, open the precise time controls, enter your birth date and time, and then locate the Moon.</t>
  </si>
  <si>
    <t>Summer Solstice Sunrise</t>
  </si>
  <si>
    <t>The monsoon clouds heavily affect southern India, forcing observatories to shut down for months, whereas the Himalayan ranges block these clouds, providing consistently clear skies.</t>
  </si>
  <si>
    <t>It helps preserve the natural navigation cues for migratory birds, which can otherwise be easily confused by bright artificial lighting.</t>
  </si>
  <si>
    <t>(1, 2, [3, 4, 5])</t>
  </si>
  <si>
    <t>[1, 2, 3, 4]</t>
  </si>
  <si>
    <t>(1, 2)</t>
  </si>
  <si>
    <t>[1, 2, 3]</t>
  </si>
  <si>
    <t>8 pattern</t>
  </si>
  <si>
    <t>B) The sun obscures the summer solstice constellations during the summer, but during the winter, the night side of the Earth faces them.</t>
  </si>
  <si>
    <t>A) They appear significantly stretched out horizontally compared to how they actually look in the night sky.</t>
  </si>
  <si>
    <t>B) Jupiter appears high in the dark night sky and is exceptionally bright, whereas Mercury is only visible very close to the horizon during sunrise or sunset and is often hidden by clouds.</t>
  </si>
  <si>
    <t>C) Mars</t>
  </si>
  <si>
    <t>B) Because the light of non-point objects is spread over an area, which can make them appear dimmer than their total magnitude suggests.</t>
  </si>
  <si>
    <t>AE-0999</t>
  </si>
  <si>
    <t>Varun Dev S R</t>
  </si>
  <si>
    <t>It would disprove the idea that the universe originated from a single point.</t>
  </si>
  <si>
    <t>A: A Supermassive Black Hole Merger B: Black Hole Formation</t>
  </si>
  <si>
    <t>Because stellar fusion processes skip over them due to their position on the binding energy curve, making them harder to fuse</t>
  </si>
  <si>
    <t>No, because Only elements like carbon, oxygen, neon, silicon, iron, etc. are formed from stellar synthesis except which all other elements are not directly products of stardust.</t>
  </si>
  <si>
    <t>Winter Solstice Sunrise</t>
  </si>
  <si>
    <t>https://colab.research.google.com/drive/1j7Y4coPArrJNJUoiKyHOp2C7ulHpD06I?usp=sharing</t>
  </si>
  <si>
    <t>AE-0729</t>
  </si>
  <si>
    <t>https://colab.research.google.com/drive/1H4HUGFM_DWFW4GKDAIXHREt_VrHxREhy?usp=sharing</t>
  </si>
  <si>
    <t>AE-0976</t>
  </si>
  <si>
    <t>The separation of the strong nuclear force from the electroweak force.</t>
  </si>
  <si>
    <t>Equinox Sunrise</t>
  </si>
  <si>
    <t>∞ pattrn</t>
  </si>
  <si>
    <t>AE-0985</t>
  </si>
  <si>
    <t>Surya S P</t>
  </si>
  <si>
    <t>It would have no impact on the Big Bang theory.</t>
  </si>
  <si>
    <t>{"a": 1}</t>
  </si>
  <si>
    <t>https://colab.research.google.com/drive/1-pucxgA-o-cF20V9SC3gz5FXclCvMVuk?usp=sharing</t>
  </si>
  <si>
    <t>AE-0265</t>
  </si>
  <si>
    <t>jinumehta12@gmail.com</t>
  </si>
  <si>
    <t>https://colab.research.google.com/drive/1Fb5fobzOQ_J6oXX-UCAyHwfbvzB6XomE?usp=sharing</t>
  </si>
  <si>
    <t>AE-0004</t>
  </si>
  <si>
    <t>Jinay Mehta</t>
  </si>
  <si>
    <t>A: Merger of two galaxies during early galaxy formation B: Death of a star</t>
  </si>
  <si>
    <t>B) They appear much smaller and squished together compared to the constellations near the celestial equator.</t>
  </si>
  <si>
    <t>gaurav.jowhry1@gmail.com</t>
  </si>
  <si>
    <t>https://colab.research.google.com/drive/141QztwmBKFnicLDchJ4sDuRKggJdiS_T</t>
  </si>
  <si>
    <t>AE-0920</t>
  </si>
  <si>
    <t>The expansion of the universe compresses visible light into invisible gamma rays.</t>
  </si>
  <si>
    <t>The rotation of the cloud creates a centrifugal force that counteracts gravity.</t>
  </si>
  <si>
    <t>They generated rapid sequences of stellar formation that consumed all nearby matter immediately.</t>
  </si>
  <si>
    <t>The light pollution in southern India has completely blinded the telescopes, making it permanently impossible to view any stars.</t>
  </si>
  <si>
    <t>[1, 2]</t>
  </si>
  <si>
    <t>A) Venus</t>
  </si>
  <si>
    <t>AE-0525</t>
  </si>
  <si>
    <t>AE-0973</t>
  </si>
  <si>
    <t>No, because stardust only contains heavy metals and cannot form hydrogen</t>
  </si>
  <si>
    <t>aayedhassan26@gmail.com</t>
  </si>
  <si>
    <t>https://colab.research.google.com/drive/1oWKT0nsfqsdhNKEqK92_rNr7N12Sz5A4?usp=sharing</t>
  </si>
  <si>
    <t>AE-0046</t>
  </si>
  <si>
    <t>Aayed Hassan</t>
  </si>
  <si>
    <t>Nuclear fusion creates enough outward pressure to stop gravity.</t>
  </si>
  <si>
    <t>The local flow of galaxies toward the Virgo Cluster</t>
  </si>
  <si>
    <t>A) The complete dissipation and outward blowing away of the surrounding protoplanetary disc.</t>
  </si>
  <si>
    <t>B) Because the Earth's rotation axis is tilted relative to the ecliptic plane.</t>
  </si>
  <si>
    <t>https://drive.google.com/file/d/1p45ZJYE-9bdJ9AyOEZSnNC_shLMHSpe-/view?usp=sharing</t>
  </si>
  <si>
    <t>AE-0913</t>
  </si>
  <si>
    <t>They consume all available hydrogen, preventing further galaxy formation.</t>
  </si>
  <si>
    <t>A) Lithium evaporates rapidly from the star's surface due to intense, outward-flowing stellar winds.</t>
  </si>
  <si>
    <t>abhinav.25.me@gmail.com</t>
  </si>
  <si>
    <t>https://colab.research.google.com/drive/1m_u6bq7HTIN2WEzAzXvznZ1Yk34petcp?usp=sharing</t>
  </si>
  <si>
    <t>AE-0128</t>
  </si>
  <si>
    <t>Abhinavs.dd25.me@nitp.ac.in</t>
  </si>
  <si>
    <t>They reduce the temperature of the universe, allowing neutral atoms to reform.</t>
  </si>
  <si>
    <t>B) They are synthesised steadily in the cores of low-mass, main-sequence stars like our Sun.</t>
  </si>
  <si>
    <t>mannaprithwish4@gmail.com</t>
  </si>
  <si>
    <t>https://colab.research.google.com/drive/1MNOGfOhGZZCflo5fkk1M1wvO5MBkWCa4?usp=sharing</t>
  </si>
  <si>
    <t>AE-0911</t>
  </si>
  <si>
    <t>AE-0995</t>
  </si>
  <si>
    <t>https://colab.research.google.com/drive/111yzithT6cQ0HUQLKb_h2UyNvwAi0__P?usp=sharing</t>
  </si>
  <si>
    <t>AE-0918</t>
  </si>
  <si>
    <t>It would mean galaxies are not actually outside the Milky Way.</t>
  </si>
  <si>
    <t>D) The precise boundary where visible light from neighbouring superclusters is gravitationally lensed away.</t>
  </si>
  <si>
    <t>https://www.kimi.com/apiv2-files/sign-obj/kimi-fs%2Fokc%2Fhwbdxbzlurng4%2F.tmp%2F20260606T143814487235Z-browser_scroll_down-tmp-23f96d7d66604366a2823ef5c2903a5c.png?filename=20260606T143814487235Z-browser_scroll_down-tmp-23f96d7d66604366a2823ef5c2903a5c.png&amp;sig=hrndIbpJBowAKARX1XtPJTNg2hYiqorPkkW_bmisZhY=&amp;t=o&amp;etag=%22e063f7aa8a343e921b450b27c4886a44%22</t>
  </si>
  <si>
    <t>AE-0472</t>
  </si>
  <si>
    <t xml:space="preserve">Debarun Datta </t>
  </si>
  <si>
    <t>The separation of electromagnetism from the weak nuclear force.</t>
  </si>
  <si>
    <t>A: A Supermassive Black Hole Merger B: Death of a star</t>
  </si>
  <si>
    <t>The collective thermal emission from interstellar dust and microscopic gas particles in the modern universe mimics a perfectly uniform blackbody distribution.</t>
  </si>
  <si>
    <t>A) Magnetic Oscillation and Nucleosynthesis Dynamics</t>
  </si>
  <si>
    <t>It provides a highly illuminated area that allows nocturnal animals to hunt more easily during the winter.</t>
  </si>
  <si>
    <t>I pattern</t>
  </si>
  <si>
    <t>https://colab.research.google.com/drive/1IEf4LhufBgrWpYU3wwdI601AtM1gyhsR?usp=sharing</t>
  </si>
  <si>
    <t>AE-0388</t>
  </si>
  <si>
    <t>Krishnanjan SIl</t>
  </si>
  <si>
    <t>https://colab.research.google.com/drive/1KlWYz20vqMllfy3mR8dgklQuD5Oyul72?usp=sharing</t>
  </si>
  <si>
    <t>AE-0659</t>
  </si>
  <si>
    <t>https://colab.research.google.com/drive/1GH8RaYY5sM28LlmCE-5lcwoFLL9KPntk?usp=sharing</t>
  </si>
  <si>
    <t>AE 1001</t>
  </si>
  <si>
    <t>https://colab.research.google.com/drive/13y6BgoKYJyQKE34hIfE0H05rL2M6mVRS?usp=sharing</t>
  </si>
  <si>
    <t>AE-1112</t>
  </si>
  <si>
    <t>shreyas.samantray@gmail.com</t>
  </si>
  <si>
    <t>https://colab.research.google.com/drive/1HgUpZxdVrfsOf3voy0-dht0484Fd6cpU?usp=sharing</t>
  </si>
  <si>
    <t>AE-0058</t>
  </si>
  <si>
    <t>D) Frictional heating generated by the rapid, chaotic orbit of surrounding protoplanets.</t>
  </si>
  <si>
    <t>D) Jupiter</t>
  </si>
  <si>
    <t>https://colab.research.google.com/drive/1gTT5JFZO8EiZlb3K1IQw9D0JgftUgzE3?usp=sharing</t>
  </si>
  <si>
    <t>AE-0698</t>
  </si>
  <si>
    <t>AKASH SANKAR VIGNESHWARAN</t>
  </si>
  <si>
    <t>AE-0722</t>
  </si>
  <si>
    <t>Srijayan Ghosh</t>
  </si>
  <si>
    <t>The R-process only creates stable elements, while the S-process only creates radioactive isotopes</t>
  </si>
  <si>
    <t>A) It binds the outer edges of rotating galaxies together, preventing them from flying apart due to centrifugal forces.</t>
  </si>
  <si>
    <t>D) The Lithium undergoes spontaneous radioactive decay into Helium over a period of ten million years.</t>
  </si>
  <si>
    <t>D) The concentration of all primordial matter into a single, massive supercluster.</t>
  </si>
  <si>
    <t>AE1020</t>
  </si>
  <si>
    <t>The continuous annihilation of virtual particle-antiparticle pairs in the quantum vacuum generates a uniform thermal radiation profile.</t>
  </si>
  <si>
    <t>{1, 2}</t>
  </si>
  <si>
    <t>https://colab.research.google.com/drive/1IaJAJc2PzOMBwH7c8N_hu8tK-izZqNhO?usp=sharing</t>
  </si>
  <si>
    <t>AE-0819</t>
  </si>
  <si>
    <t>D. Naga Sathvik</t>
  </si>
  <si>
    <t>https://colab.research.google.com/drive/1W35vMX2qWz1nptDeHw_opn3bNjm6AH_M?usp=sharing</t>
  </si>
  <si>
    <t>AE-0512</t>
  </si>
  <si>
    <t>https://colab.research.google.com/drive/1x-hIUmu4BG6_lc9YMxOXvTaLK4-7GNi8?usp=sharing</t>
  </si>
  <si>
    <t>AE-0232</t>
  </si>
  <si>
    <t>AE-0199</t>
  </si>
  <si>
    <t>https://colab.research.google.com/drive/1ua-ROAonPbvim3u6ybBllPlJJbIWyQw5?usp=sharing</t>
  </si>
  <si>
    <t>AE-0622</t>
  </si>
  <si>
    <t>deanjaat2007@gmail.com</t>
  </si>
  <si>
    <t>https://colab.research.google.com/drive/1onkmbZTmzKwaUrFkDFExdFdlo0az13F6?usp=sharing</t>
  </si>
  <si>
    <t>AE-0033</t>
  </si>
  <si>
    <t>Nitin Kinha</t>
  </si>
  <si>
    <t>Winter Solstice Sunset</t>
  </si>
  <si>
    <t>https://colab.research.google.com/drive/1cWO-okMgYgkVD-6XdxfyGQJUYUq7K4YL?usp=sharing</t>
  </si>
  <si>
    <t>AE-0693</t>
  </si>
  <si>
    <t>AE-0562</t>
  </si>
  <si>
    <t>Ashaman Singh</t>
  </si>
  <si>
    <t>https://colab.research.google.com/drive/1XUHeVDAAvu_2s0LEcTRt1_35s96qieUk?usp=sharing</t>
  </si>
  <si>
    <t>AE-0430</t>
  </si>
  <si>
    <t>krishna5604sharma@gmail.com</t>
  </si>
  <si>
    <t>AE-0987</t>
  </si>
  <si>
    <t>Krishna Sharma</t>
  </si>
  <si>
    <t>krishna5064sharma@gmail.com</t>
  </si>
  <si>
    <t>bittukumarv248@gmail.com</t>
  </si>
  <si>
    <t>https://colab.research.google.com/drive/1_haqKHp8k24l7qdb2eHyVqlBwS0KkUwu?usp=sharing</t>
  </si>
  <si>
    <t>AE-0992</t>
  </si>
  <si>
    <t>Bittu Kumar</t>
  </si>
  <si>
    <t>sanjeetkumar82137gmail.com</t>
  </si>
  <si>
    <t>By using gravitational waves to physically crush atoms into larger elements</t>
  </si>
  <si>
    <t>https://colab.research.google.com/drive/1Ny-aOzhRb3K-xTiIMmU4WEBXdLd1d-6R?usp=sharing</t>
  </si>
  <si>
    <t>AE-0148</t>
  </si>
  <si>
    <t>https://colab.research.google.com/drive/1uIJ7yXR_IwW1K0JAA9BYSlCKx7ZnanBA?usp=sharing</t>
  </si>
  <si>
    <t>AE-0195</t>
  </si>
  <si>
    <t>Ashish Kumar</t>
  </si>
  <si>
    <t>The fluctuations caused light to become permanently trapped, creating dark regions in space.</t>
  </si>
  <si>
    <t>C) Lithium is continuously ejected outward to form the rocky cores of exoplanets in the protoplanetary disc.</t>
  </si>
  <si>
    <t>https://colab.research.google.com/drive/1kL_1BBV2ah37A6T4HAFsESrHa-3qdNRP?usp=sharing</t>
  </si>
  <si>
    <t>B) It exists purely in a theoretical mathematical dimension, never interacting with our physical universe.</t>
  </si>
  <si>
    <t>B) At your northern horizon.</t>
  </si>
  <si>
    <t>https://colab.research.google.com/drive/1wwPIOfujIBf-NtQ3Df04oqKoWq2JypDB?usp=sharing</t>
  </si>
  <si>
    <t>AE-0607</t>
  </si>
  <si>
    <t xml:space="preserve">Shreya Banerjee </t>
  </si>
  <si>
    <t>25je0803@iitism.ac.in</t>
  </si>
  <si>
    <t>https://colab.research.google.com/drive/1Bn2Rps1v7cCN3OxbZRyFRZcfkfRleBr2#scrollTo=_-5Fm4DCwEez</t>
  </si>
  <si>
    <t>AE-0955</t>
  </si>
  <si>
    <t>Shruti Yadav</t>
  </si>
  <si>
    <t>https://colab.research.google.com/drive/1W7-_pORF-BDR4Qa_Y19PTALX-Mw51qa6</t>
  </si>
  <si>
    <t>AE-0535</t>
  </si>
  <si>
    <t>D) The ecliptic path shifts lower on the horizon during winter, bringing those specific constellations into view.</t>
  </si>
  <si>
    <t>chinmayw1704@gmail.com</t>
  </si>
  <si>
    <t>https://colab.research.google.com/drive/1m-K5Ba0BYmpvO_h91oOpjB4wlfVTeFXE?usp=sharing</t>
  </si>
  <si>
    <t>AE-0498</t>
  </si>
  <si>
    <t>Pinch inward on the screen to zoom closer, which forces the app to render all the artwork.</t>
  </si>
  <si>
    <t>B) Mercury</t>
  </si>
  <si>
    <t>https://colab.research.google.com/drive/1zIS-OIxTa66wwJoRV5RmeyYnn5uRMei5?usp=sharing</t>
  </si>
  <si>
    <t>AE-0697</t>
  </si>
  <si>
    <t>Chaitanya Chavan</t>
  </si>
  <si>
    <t>A) Dense, luminous galactic filaments.</t>
  </si>
  <si>
    <t>A) The sustained fusion of hydrogen into helium in a highly compressed core.</t>
  </si>
  <si>
    <t>o pattern</t>
  </si>
  <si>
    <t>A) Jupiter is the brightest celestial body in the sky after the moon, while Mercury is completely invisible to the naked eye.</t>
  </si>
  <si>
    <t>https://colab.research.google.com/drive/1eg_Gqf6vBOIu-883bGapxYgR1iCb4u-d?usp=sharing</t>
  </si>
  <si>
    <t>AE-0850</t>
  </si>
  <si>
    <t>Because they are too heavy to be created by hydrogen fusion</t>
  </si>
  <si>
    <t>Search for 'Moon', tap it, and scroll through its historical data logs in the pop-up menu.</t>
  </si>
  <si>
    <t>A) The Earth's tilt during winter naturally amplifies the visible light coming from summer solstice constellations.</t>
  </si>
  <si>
    <t>https://colab.research.google.com/drive/1Oy78kVCSesjDotSmx8JCBuDyX2a2Xgnf?usp=sharing</t>
  </si>
  <si>
    <t>AE-1005</t>
  </si>
  <si>
    <t>amank.ug23.me@nitp.ac.in</t>
  </si>
  <si>
    <t>https://colab.research.google.com/drive/1_0_SFyMrVCFoKxvEfzhg5KbM80ZNTg2m?usp=sharing</t>
  </si>
  <si>
    <t>AE-0132</t>
  </si>
  <si>
    <t>AMAN KHAN</t>
  </si>
  <si>
    <t>https://colab.research.google.com/drive/1YnTysV0wdznTjYmyboYcn905JjomzNkD?usp=sharing</t>
  </si>
  <si>
    <t>AE-0851</t>
  </si>
  <si>
    <t>r25.harshit@gamil.com</t>
  </si>
  <si>
    <t>https://colab.research.google.com/drive/1z-RgtOmXyYBdl_Sg1utE0Td4CIyJ2MyK?usp=sharing</t>
  </si>
  <si>
    <t>AE-0711</t>
  </si>
  <si>
    <t>By utilizing the immense heat of a supernova explosion to force nuclei together</t>
  </si>
  <si>
    <t>They push dark matter into clusters that form superclusters.</t>
  </si>
  <si>
    <t>Quantum fluctuations prevented the first atoms from forming, creating vast voids like Boötes void across the cosmos.</t>
  </si>
  <si>
    <t>C) Jupiter has a distinct reddish color that makes it stand out, whereas Mercury just blends in as a white star.</t>
  </si>
  <si>
    <t>https://colab.research.google.com/drive/1mPqPjhybyi6R0tik6kXcsbBdg5Yd8hgN?usp=sharing</t>
  </si>
  <si>
    <t>AE-0933</t>
  </si>
  <si>
    <t>nitya karn</t>
  </si>
  <si>
    <t>AE-0814</t>
  </si>
  <si>
    <t>PRABIR ADHIKARI</t>
  </si>
  <si>
    <t>91-73786 68046</t>
  </si>
  <si>
    <t>krapalidwivedi@gmail.com</t>
  </si>
  <si>
    <t>https://colab.research.google.com/drive/1GfrnEixtoBMasyRW3FgudAL8H_Fx1Ifj?usp=sharing</t>
  </si>
  <si>
    <t>AE-0220</t>
  </si>
  <si>
    <t>shruti.sundaram2008@gmail.com</t>
  </si>
  <si>
    <t>https://colab.research.google.com/drive/1lHI96zUDA3-zDgcPcs4ARth9n8esg1i3?usp=sharing</t>
  </si>
  <si>
    <t>AE-0417</t>
  </si>
  <si>
    <t>AE-0011</t>
  </si>
  <si>
    <t>The cosmic web mapping of dark matter filaments</t>
  </si>
  <si>
    <t>https://colab.research.google.com/drive/16HJzI-lbWA52BDcshSXzEtkmjO51aRNv?usp=sharing</t>
  </si>
  <si>
    <t>AE-0944</t>
  </si>
  <si>
    <t>Southern India lacks the technological infrastructure to support modern telescopes, requiring a move to more advanced regions in the north.</t>
  </si>
  <si>
    <t>https://colab.research.google.com/drive/1dM0uv3h_dO1YgDwB4m4kyxYHyRjS66Rx?usp=sharing</t>
  </si>
  <si>
    <t>AE-0792</t>
  </si>
  <si>
    <t>AE-1067</t>
  </si>
  <si>
    <t>AE-0026</t>
  </si>
  <si>
    <t>Devi Sri Priya</t>
  </si>
  <si>
    <t>D) A brown dwarf</t>
  </si>
  <si>
    <t>Set the time forward by one hour to let the rest of the constellations 'rise' into view.</t>
  </si>
  <si>
    <t>You cannot do this; the app only shows the sky as it is right now or in the future.</t>
  </si>
  <si>
    <t>It allows the government to clear out all the local flora and fauna to build more telescopes without interference.</t>
  </si>
  <si>
    <t>(1, 2, [3, 4], 5)</t>
  </si>
  <si>
    <t>mangshatabamdebina@gmail.com</t>
  </si>
  <si>
    <t>AE-0294</t>
  </si>
  <si>
    <t>https://colab.research.google.com/drive/14S2ymKE1xlhgUuAZ25CJvFkaOnkJ9P3B</t>
  </si>
  <si>
    <t>AE-0705</t>
  </si>
  <si>
    <t>https://colab.research.google.com/drive/1YRS6NGj__F6Y4u_jnKMa6c5fnA_QEEKO?usp=drive_link</t>
  </si>
  <si>
    <t>AE-0496</t>
  </si>
  <si>
    <t>https://colab.research.google.com/drive/1_u2douAFvaxV2kE1rvbR4-PzsCF1s4S6?usp=sharing</t>
  </si>
  <si>
    <t>AE-0175</t>
  </si>
  <si>
    <t>Pragya Medhatiya</t>
  </si>
  <si>
    <t>AE-0982</t>
  </si>
  <si>
    <t>https://colab.research.google.com/drive/1u4R1CZ3ANhF6kzEoSqtPoLYGQTJZxsE2?usp=sharing</t>
  </si>
  <si>
    <t>AE-0743</t>
  </si>
  <si>
    <t>https://colab.research.google.com/drive/1aBmbQc0Dnl2J0RsTJ2xj6nwsnKM7ZgOp?usp=sharing</t>
  </si>
  <si>
    <t>AE-0083</t>
  </si>
  <si>
    <t>mail.vaidik6@gmail.com</t>
  </si>
  <si>
    <t>AE-0934</t>
  </si>
  <si>
    <t>ayusharpita83@gmail.com</t>
  </si>
  <si>
    <t>The decoupling of neutrinos from the primeval plasma during the Hadron Epoch.</t>
  </si>
  <si>
    <t>A) A white dwarf</t>
  </si>
  <si>
    <t>A) The unequal distribution of dark energy across the cosmic web, causing voids to expand faster than filaments.</t>
  </si>
  <si>
    <t>C) The winter night sky is naturally darker and has far less atmospheric interference, making faint constellations visible.</t>
  </si>
  <si>
    <t>AE-0151</t>
  </si>
  <si>
    <t>Himanshu Sharma</t>
  </si>
  <si>
    <t>https://colab.research.google.com/drive/1vx4kgoebzKVcFdSEAAS2XU6wL45Vg7DB?usp=sharing</t>
  </si>
  <si>
    <t>AE-0353</t>
  </si>
  <si>
    <t>Dark matter halos surrounding early galaxies absorbed high-energy photons and re-emitted them at a precise microwave frequency.</t>
  </si>
  <si>
    <t>Dark matter halos surround all galaxies, trapping their light gravitationally.</t>
  </si>
  <si>
    <t>By stripping away all electrons so that protons can freely collide</t>
  </si>
  <si>
    <t>C) The generation of intense X-ray flares that outshine the star's visible light output.</t>
  </si>
  <si>
    <t>D) Because stars are only measured using absolute magnitude, while nebulae use visual magnitude.</t>
  </si>
  <si>
    <t>kamleshsuryawanshi3271@gmail.com</t>
  </si>
  <si>
    <t>https://colab.research.google.com/drive/1ySAS4Cm5qVodlk-riWOTyFNIbcSBx3qU?usp=sharing</t>
  </si>
  <si>
    <t>AE-0101</t>
  </si>
  <si>
    <t>Kamlesh Suryawanshi</t>
  </si>
  <si>
    <t>https://colab.research.google.com/drive/1t2PEnl8k7q1z3rksc6gHVUG8ub-SbKcm?usp=sharing</t>
  </si>
  <si>
    <t>AE-0886</t>
  </si>
  <si>
    <t>AE-0636</t>
  </si>
  <si>
    <t>The ignition of the very first supermassive Population III stars provided enough intense light to pierce through the dark matter.</t>
  </si>
  <si>
    <t>D) Microwave Observation of Nebular Dust</t>
  </si>
  <si>
    <t>A) Because galaxies are always brighter than stars and need a different scale.</t>
  </si>
  <si>
    <t>https://colab.research.google.com/drive/1HHl6kankxQmIZcLy9jHbz3dLcvQii2FR?usp=sharing</t>
  </si>
  <si>
    <t>AE-0740</t>
  </si>
  <si>
    <t>SAHIL PRADHAN</t>
  </si>
  <si>
    <t>AE-0340</t>
  </si>
  <si>
    <t>aryanpatade8@gmail.com</t>
  </si>
  <si>
    <t>https://colab.research.google.com/drive/1O-BHy0kE-8iKnKOMTQo0kBScQUKIVX_h?usp=sharing</t>
  </si>
  <si>
    <t>AE-0250</t>
  </si>
  <si>
    <t>marc.reubent@gmail.com</t>
  </si>
  <si>
    <t>https://colab.research.google.com/drive/1XD7a7q1ZCxSpC8bK4noQrX9qt83m7Zjc?usp=sharing</t>
  </si>
  <si>
    <t>AE-0560</t>
  </si>
  <si>
    <t>https://colab.research.google.com/drive/10zWHcZLhoKkFbe4Jx8dAqv0TfN4dRD4P?usp=sharing</t>
  </si>
  <si>
    <t>AE-0207</t>
  </si>
  <si>
    <t>Satyavrat Govind</t>
  </si>
  <si>
    <t>+91 9155697571</t>
  </si>
  <si>
    <t>Because they only exist in the form of antimatter inside stars</t>
  </si>
  <si>
    <t>https://colab.research.google.com/drive/1-xFx6NqZPHVUUKtR8zrPGof2wgNpI3Wr?usp=sharing</t>
  </si>
  <si>
    <t>AE-0719</t>
  </si>
  <si>
    <t>https://colab.research.google.com/drive/1Jg-_qJtV15dCOjUiAS66e0c1zUZMmPdu?usp=sharing</t>
  </si>
  <si>
    <t>AE-0334</t>
  </si>
  <si>
    <t>https://colab.research.google.com/drive/1I2tLRZdZSXbXphB2KLY2plZPNL1Lofeb?usp=drive_link</t>
  </si>
  <si>
    <t>AE-0254</t>
  </si>
  <si>
    <t>Om Prakash Parida</t>
  </si>
  <si>
    <t>https://colab.research.google.com/drive/1tFf6z6WQR3X0ZMAje_htuv1ipeNmLfdV?usp=sharing</t>
  </si>
  <si>
    <t>AE-0896</t>
  </si>
  <si>
    <t xml:space="preserve">Spriha </t>
  </si>
  <si>
    <t>https://colab.research.google.com/drive/1SjH2YZapDq2qvybEYlErbeBIKJ44TZTt?usp=sharing</t>
  </si>
  <si>
    <t>AE-0146</t>
  </si>
  <si>
    <t>AE-0534</t>
  </si>
  <si>
    <t>SHRADDHA</t>
  </si>
  <si>
    <t>https://colab.research.google.com/drive/1uZLiaIyVT0iU_Kw2RM4ApYY4kOO3k7sR?usp=sharing</t>
  </si>
  <si>
    <t>AE-0514</t>
  </si>
  <si>
    <t>S T Suneethra</t>
  </si>
  <si>
    <t>sohamngosavi@gmail.com</t>
  </si>
  <si>
    <t>AE-0049</t>
  </si>
  <si>
    <t>https://colab.research.google.com/drive/1TMEWLkX_CKyG5EeCCwjXskLidoTfA4a9?usp=sharing</t>
  </si>
  <si>
    <t>AE-0103</t>
  </si>
  <si>
    <t>Manoharmayum Nancy  Sharma</t>
  </si>
  <si>
    <t>AE-0297</t>
  </si>
  <si>
    <t>C) Because integrated magnitude is used to calculate the distance of a star from Earth.</t>
  </si>
  <si>
    <t>https://colab.research.google.com/drive/1o1ROkagAcLo6tZWkLw74P0RK-S8pfHkN</t>
  </si>
  <si>
    <t>AE-0887</t>
  </si>
  <si>
    <t>AE-0369</t>
  </si>
  <si>
    <t>nayakabhishek416@gmail.com</t>
  </si>
  <si>
    <t>https://colab.research.google.com/drive/1AKc16prgPfWUUmVSLBVWcl6Btl4AN5on?usp=sharing</t>
  </si>
  <si>
    <t>AE-0488</t>
  </si>
  <si>
    <t>moksha.20231148@students.iiserpune.ac.in</t>
  </si>
  <si>
    <t>https://colab.research.google.com/drive/1YgS684Nr5O_IiRm9dq_OJeBEOqSrAkQ7?usp=sharing</t>
  </si>
  <si>
    <t>AE-0767</t>
  </si>
  <si>
    <t>Moksha Vasava</t>
  </si>
  <si>
    <t>+91 9173605140</t>
  </si>
  <si>
    <t>https://colab.research.google.com/drive/1brxjt9h0EieR5EJoPVhKhoKVrcP2rHpL?usp=sharing</t>
  </si>
  <si>
    <t>AE-0196</t>
  </si>
  <si>
    <t>D) They overlap with neighboring constellations, making it very difficult to define clear boundaries.</t>
  </si>
  <si>
    <t>AE-0119</t>
  </si>
  <si>
    <t>It warms up the high-altitude desert, allowing new species of tropical birds to migrate to the Himalayas.</t>
  </si>
  <si>
    <t>https://colab.research.google.com/drive/1rd-mh7S8X6-oZhU8GHVnEWRMdhbqRyBb?usp=sharing</t>
  </si>
  <si>
    <t>AE-0929</t>
  </si>
  <si>
    <t>yashtamboli2006@gmail.com</t>
  </si>
  <si>
    <t>https://colab.research.google.com/drive/1Rn2gTMJ2cY2C1mAxdWhILMldzHtFqScR?usp=sharing</t>
  </si>
  <si>
    <t>AE-0054</t>
  </si>
  <si>
    <t>Yash Ravindra Tamboli</t>
  </si>
  <si>
    <t>AE-0734</t>
  </si>
  <si>
    <t>https://colab.research.google.com/drive/1p-z9XCtdlhMpi_XZQ1NiroIrUCs8NyvY?usp=sharing</t>
  </si>
  <si>
    <t>AE-0905</t>
  </si>
  <si>
    <t>AE-0470</t>
  </si>
  <si>
    <t>Aaditi Neve</t>
  </si>
  <si>
    <t>D) Because the meridian line shifts based on the observer's proximity to the equator.</t>
  </si>
  <si>
    <t>unknownartist171007@gmail.com</t>
  </si>
  <si>
    <t>https://colab.research.google.com/drive/1lZFP3F3GnoqpxrJfeL-lO5a8mr9xloMp?usp=sharing</t>
  </si>
  <si>
    <t>AE-0937</t>
  </si>
  <si>
    <t>G Yoshithaa Sree</t>
  </si>
  <si>
    <t>yoshithaasreeg@gmail.com</t>
  </si>
  <si>
    <t>https://colab.research.google.com/drive/1ZzgTuZtgA_1Y5NeNfx2rlad4nCw56BCf?usp=sharing</t>
  </si>
  <si>
    <t>AE-0629</t>
  </si>
  <si>
    <t>Prithvi Vishwakarma</t>
  </si>
  <si>
    <t>The Shapley Supercluster and its gravitational basin</t>
  </si>
  <si>
    <t>AE-1064</t>
  </si>
  <si>
    <t>AE-1036</t>
  </si>
  <si>
    <t>https://colab.research.google.com/drive/1gnmgSOb0sTsXhhpCacLvPWrhgLen3R3W?usp=sharing</t>
  </si>
  <si>
    <t>AE-0076</t>
  </si>
  <si>
    <t>Iti Singh</t>
  </si>
  <si>
    <t>AE-0522</t>
  </si>
  <si>
    <t>Nitin Raghorte</t>
  </si>
  <si>
    <t>The R-process occurs in slow-moving stars, while the S-process occurs in rapidly spinning ones</t>
  </si>
  <si>
    <t>Interstellar dust perfectly absorbs and obscures the light from all distant galaxies.</t>
  </si>
  <si>
    <t>https://colab.research.google.com/drive/1CVfAeEt3BB457s8BV2BvuHlFS1leCLFO?usp=sharing</t>
  </si>
  <si>
    <t>AE-0222</t>
  </si>
  <si>
    <t>https://colab.research.google.com/drive/1Qs76_Ga4q_0C-OgQXoMvhtqIE7mnqOGM#scrollTo=dc5f098d</t>
  </si>
  <si>
    <t>AE-0478</t>
  </si>
  <si>
    <t>https://colab.research.google.com/drive/1n6m2fJfwxBjPkK8rPS-tEnpNX9MjEVaa?usp=sharing</t>
  </si>
  <si>
    <t>AE-0651</t>
  </si>
  <si>
    <t>A) Because the celestial sphere rotates at different speeds depending on your latitude.</t>
  </si>
  <si>
    <t>iiscbangalore129@gmail.com</t>
  </si>
  <si>
    <t>https://colab.research.google.com/drive/1orAwS4AkGa0AtUTPSiHYvVW7mqABFRiJ?usp=sharing</t>
  </si>
  <si>
    <t>AE-0225</t>
  </si>
  <si>
    <t>https://colab.research.google.com/drive/1zn8cocq1pH7KZ3LIltB2bIOuZZMDjXDV?usp=sharing</t>
  </si>
  <si>
    <t>AE-0131</t>
  </si>
  <si>
    <t>kumarianki456@gmail.com</t>
  </si>
  <si>
    <t>https://colab.research.google.com/drive/1KlG03bbIj_gq8leLzPIEx558iVbnmza6?usp=sharing</t>
  </si>
  <si>
    <t>AE-0121</t>
  </si>
  <si>
    <t>Ankita Kumari</t>
  </si>
  <si>
    <t>AE-1013</t>
  </si>
  <si>
    <t>Soumily Debnath</t>
  </si>
  <si>
    <t>The sudden annihilation of leptons and antileptons removed the physical barrier of particles that were absorbing all emitted light.</t>
  </si>
  <si>
    <t>C) The presence of a singular, hyper-massive black hole at the absolute geometric centre.</t>
  </si>
  <si>
    <t>mangla.dolly0722@gmail.com</t>
  </si>
  <si>
    <t>https://colab.research.google.com/drive/1gxlAeQbXQVBhdBS5U5iAn4QKuW1dJKmO?usp=sharing</t>
  </si>
  <si>
    <t>AE-0804</t>
  </si>
  <si>
    <t>https://colab.research.google.com/drive/1JRtXjd-PnHNZ79QRK_JAr97UDkEZ9Rmk?usp=sharing</t>
  </si>
  <si>
    <t>AE-0761</t>
  </si>
  <si>
    <t>Deeptanshu Giri</t>
  </si>
  <si>
    <t>AE-0245</t>
  </si>
  <si>
    <t>Behara jeevan Sravanthi kusuma</t>
  </si>
  <si>
    <t>https://colab.research.google.com/drive/1qtrei_aOCPM0yhq4ZDRzbrhFmuSwRzYe?usp=sharing</t>
  </si>
  <si>
    <t>AE-0763</t>
  </si>
  <si>
    <t>https://colab.research.google.com/drive/1fPAYlL_dBiEIj6IxSt222TSHt3g-5EKe?usp=sharing</t>
  </si>
  <si>
    <t>AE-0377</t>
  </si>
  <si>
    <t>AE-0875</t>
  </si>
  <si>
    <t xml:space="preserve">Anush Sinha </t>
  </si>
  <si>
    <t>https://colab.research.google.com/drive/1u48Ge7wfbJZTjEe2xJJFwmCoMBsbhtns?usp=sharing</t>
  </si>
  <si>
    <t>https://colab.research.google.com/drive/1xU3Z20DKgQ7G4If9ZW8kg_5wJ5r-flOL?usp=sharing</t>
  </si>
  <si>
    <t>AE-0624</t>
  </si>
  <si>
    <t>https://colab.research.google.com/drive/1ximwPjd_jjkYYdnwSwRmm07H7U6K4A2F?usp=sharing</t>
  </si>
  <si>
    <t>AE-0572</t>
  </si>
  <si>
    <t>Tejoram</t>
  </si>
  <si>
    <t>yug.mistry33@gmail.com</t>
  </si>
  <si>
    <t>https://colab.research.google.com/drive/1KFd1wOF42-0LO_DaVEdZexjEGJtWg8oQ?usp=sharing</t>
  </si>
  <si>
    <t>AE-0440</t>
  </si>
  <si>
    <t>yug mistry</t>
  </si>
  <si>
    <t>AE-0168</t>
  </si>
  <si>
    <t>AE-0914</t>
  </si>
  <si>
    <t>https://colab.research.google.com/drive/1H4R-Zfu1lfERG8RfQe7fbwJY2FV0FBDW?usp=sharing</t>
  </si>
  <si>
    <t>AE-0739</t>
  </si>
  <si>
    <t>Navoneel Bandyo</t>
  </si>
  <si>
    <t>https://colab.research.google.com/drive/1CDyR4uwm48YHGhcrE1bzFT8icOYFa3h9?usp=sharing</t>
  </si>
  <si>
    <t>AE-0666</t>
  </si>
  <si>
    <t>https://colab.research.google.com/drive/1IkLhdSYbCIbCOSREASd4eD20ipBu-dQG?usp=sharing</t>
  </si>
  <si>
    <t>AE-0239</t>
  </si>
  <si>
    <t>Shatakshi Sadhukhan</t>
  </si>
  <si>
    <t>AE-0773</t>
  </si>
  <si>
    <t>https://colab.research.google.com/drive/1t9lbmiyyBqt8BTebRQCaG1b7k1L1N0Bq</t>
  </si>
  <si>
    <t>AE-0842</t>
  </si>
  <si>
    <t>https://colab.research.google.com/drive/1PNZ9RFMN6Nk442umomHO4Ot0cI7WdLIX?usp=sharing</t>
  </si>
  <si>
    <t>AE-0943</t>
  </si>
  <si>
    <t>Supratik Dey</t>
  </si>
  <si>
    <t>satkarjuneja@gmail.com</t>
  </si>
  <si>
    <t>AE-0397</t>
  </si>
  <si>
    <t>https://colab.research.google.com/drive/1mpW85dU1eu9wZJGC1CPueEYD8eLCiPnz</t>
  </si>
  <si>
    <t xml:space="preserve"> AE-1085</t>
  </si>
  <si>
    <t>AE-0427</t>
  </si>
  <si>
    <t xml:space="preserve">Pavithra R Nair </t>
  </si>
  <si>
    <t>AE-0482</t>
  </si>
  <si>
    <t>architsingal20.9@gmail.com</t>
  </si>
  <si>
    <t>https://colab.research.google.com/drive/168MYIeW8HL5TW5Iq0xYRASzy1y8q-jAA?usp=sharing</t>
  </si>
  <si>
    <t>AE-0069</t>
  </si>
  <si>
    <t>sharmaminal094@gmail.com</t>
  </si>
  <si>
    <t>C) Their visual brightness is highly exaggerated on the map to make up for the 2D spatial distortion.</t>
  </si>
  <si>
    <t>saxenakshat2507@gmail.com</t>
  </si>
  <si>
    <t>https://colab.research.google.com/drive/1eOEoWUW86quiYNVflG2ulH0OgCMEEVJ8?usp=sharing</t>
  </si>
  <si>
    <t>AE-0580</t>
  </si>
  <si>
    <t xml:space="preserve">Akshita Saxena </t>
  </si>
  <si>
    <t>2025uep0170@iitjammu.ac.in</t>
  </si>
  <si>
    <t>https://colab.research.google.com/drive/1dpqsIOg5-sOu4FNxSSWrmrL-iz2NtWIF?usp=sharing</t>
  </si>
  <si>
    <t>AE-1000</t>
  </si>
  <si>
    <t>https://colab.research.google.com/drive/1TMEWLkX_CKyG5EeCCwjXskLidoTfA4a9</t>
  </si>
  <si>
    <t>AE-1006</t>
  </si>
  <si>
    <t>AE-0638</t>
  </si>
  <si>
    <t>Minal Sharma</t>
  </si>
  <si>
    <t>https://colab.research.google.com/drive/1szudZ18hZAaC9uH0hJSMixCvw_S8wHdq?usp=sharing</t>
  </si>
  <si>
    <t>AE-0278</t>
  </si>
  <si>
    <t>AE-0385</t>
  </si>
  <si>
    <t>MACMILLAN WAHENGBAM</t>
  </si>
  <si>
    <t>https://colab.research.google.com/drive/1EDaUVPvY7rUn41crh4xKem9zazwy4hUU?usp=sharing</t>
  </si>
  <si>
    <t>AE-0529</t>
  </si>
  <si>
    <t>Urvish Mehta</t>
  </si>
  <si>
    <t>Point your phone down towards the ground to look 'through the Earth' at the past sky.</t>
  </si>
  <si>
    <t>https://colab.research.google.com/drive/1tl34YIHJfYsIJSXIAz1hgcoHskwhtol0?usp=sharing</t>
  </si>
  <si>
    <t>AE-0497</t>
  </si>
  <si>
    <t>Thavrani Disha</t>
  </si>
  <si>
    <r>
      <rPr>
        <rFont val="Roboto"/>
        <color rgb="FF1155CC"/>
        <u/>
      </rPr>
      <t>https://colab.research.google.</t>
    </r>
    <r>
      <rPr>
        <rFont val="Roboto"/>
        <color rgb="FF434343"/>
        <u/>
      </rPr>
      <t>com/drive/17wdF-EWz78BMr8gIWa_0QtE6iOfhHL5V?usp=sharing</t>
    </r>
  </si>
  <si>
    <t>AE-0676</t>
  </si>
  <si>
    <t>rishakoloth24@gmail.com</t>
  </si>
  <si>
    <t>AE-0628</t>
  </si>
  <si>
    <t>FATHIMA RISHA.M</t>
  </si>
  <si>
    <t>https://colab.research.google.com/drive/1oaxQQ05EA1ne5-T-3s2ijt1kud2y9qwY</t>
  </si>
  <si>
    <t>AE-0362</t>
  </si>
  <si>
    <t xml:space="preserve">Sahil Joshi </t>
  </si>
  <si>
    <t>The R-process is a byproduct of radioactive decay, whereas the S-process is a byproduct of fusion</t>
  </si>
  <si>
    <t>SHRIYANSH PRABHAKISHORE</t>
  </si>
  <si>
    <t>anagha310306@gmail.com</t>
  </si>
  <si>
    <t>https://colab.research.google.com/drive/1_AZPYPrz1MMZjHHG3Cl7TwLDfue_WqWD?authuser=2</t>
  </si>
  <si>
    <t>AE-0098</t>
  </si>
  <si>
    <t xml:space="preserve">Anagha Ak </t>
  </si>
  <si>
    <t>anaghaak051@gmail.com</t>
  </si>
  <si>
    <t>https://colab.research.google.com/drive/1dOl-YGpR41X5Gre2Dt0ER9lqS2xp6sEC?usp=sharing</t>
  </si>
  <si>
    <t>AE-0197</t>
  </si>
  <si>
    <t>0994</t>
  </si>
  <si>
    <t>vanditakumari709@gmail.com</t>
  </si>
  <si>
    <t>https://colab.research.google.com/drive/1vJHLcznf3Ja7t-mA8kvhLfl83D14QzQA?usp=sharing</t>
  </si>
  <si>
    <t>AE-0927</t>
  </si>
  <si>
    <t>AE-0229</t>
  </si>
  <si>
    <t>aneeshbhate@gmail.com</t>
  </si>
  <si>
    <t>https://colab.research.google.com/drive/1WWnZpEtwQfVmCfUb6wudSTLJk6hoc9rE?usp=sharing</t>
  </si>
  <si>
    <t>AE-0116</t>
  </si>
  <si>
    <t>Aneesh Bhate</t>
  </si>
  <si>
    <t>rdxrudransh123@gmail.com</t>
  </si>
  <si>
    <t>https://colab.research.google.com/drive/1GySPgr3GrQzMUL2t-WXfgHoVOqPcADyB?usp=sharing</t>
  </si>
  <si>
    <t>ramashray.sahu@students.iiserpune.ac.in</t>
  </si>
  <si>
    <t>https://colab.research.google.com/drive/162gCmj-O_9IN-oxHQ1UY1B4i70v0xauC?usp=sharing</t>
  </si>
  <si>
    <t>AE-0576</t>
  </si>
  <si>
    <t>https://colab.research.google.com/drive/1HxGjp68bDlxhnv8NJek8qezTyJRbATps?usp=sharing</t>
  </si>
  <si>
    <t>AE-0686</t>
  </si>
  <si>
    <t>https://colab.research.google.com/drive/1fmSnvS4jtP6stuxBiO2kGMza5Y9ikn-G?usp=sharing</t>
  </si>
  <si>
    <t>AE-0844</t>
  </si>
  <si>
    <t>Sk Maruf Aktar</t>
  </si>
  <si>
    <t>https://colab.research.google.com/drive/1ET-iapdf_lrcnYhjDqtfSIfF4GNks5fF?usp=sharing</t>
  </si>
  <si>
    <t>AE-0758</t>
  </si>
  <si>
    <t>Partyush Dhanetia</t>
  </si>
  <si>
    <t>prajaktakhedekar8@gmail.com</t>
  </si>
  <si>
    <t>https://colab.research.google.com/drive/1yShQ2CHgo1khkJ6Fl_dRrW-K1h9xG6Hw?usp=sharing</t>
  </si>
  <si>
    <t>AE-0364</t>
  </si>
  <si>
    <t>https://colab.research.google.com/drive/10UTCZZzJdLgRrWjlk-3X0TViTO8VR_C6?usp=sharing</t>
  </si>
  <si>
    <t>AE-0434</t>
  </si>
  <si>
    <t>Aashima Kalra</t>
  </si>
  <si>
    <t>https://colab.research.google.com/drive/15xuyt8YS9NGX24j0NMgCBzHU6lTBRRCd?usp=sharing</t>
  </si>
  <si>
    <t>AE-0634</t>
  </si>
  <si>
    <t>Hamsapriya H</t>
  </si>
  <si>
    <t xml:space="preserve">priyahamsa95@gmail.com </t>
  </si>
  <si>
    <t>AE-0100</t>
  </si>
  <si>
    <t>https://colab.research.google.com/drive/1CkWhMrf6cMTl6zokqgkHiH3AyZOwm1Cg?usp=sharing</t>
  </si>
  <si>
    <t>AE-0922</t>
  </si>
  <si>
    <t>Anish Nagubandi</t>
  </si>
  <si>
    <t>https://colab.research.google.com/drive/11IaFifipxBEq_INK4TEuyr62PYpNukVv?usp=sharing</t>
  </si>
  <si>
    <t>AE-0095</t>
  </si>
  <si>
    <t>Arthavi Bhati</t>
  </si>
  <si>
    <t>jinensavani2007@gmail.com</t>
  </si>
  <si>
    <t>https://colab.research.google.com/drive/1rGBjNWn1PU_jcgR4JvBp6gmv_DKoEmwC?usp=sharing</t>
  </si>
  <si>
    <t>AE-0036</t>
  </si>
  <si>
    <t>jinen jignsehbhai savani</t>
  </si>
  <si>
    <t>https://colab.research.google.com/drive/1dtjvCbj1px8aDUIf0JI4yEYKVOJdvb7r?usp=sharing</t>
  </si>
  <si>
    <t>AE-0236</t>
  </si>
  <si>
    <t>Lakshmi Unnikrishnan</t>
  </si>
  <si>
    <t>D) Jupiter moves very rapidly across the sky, while Mercury remains stationary.</t>
  </si>
  <si>
    <t>AE-0403</t>
  </si>
  <si>
    <t>Prashish Sharma</t>
  </si>
  <si>
    <t>AE-0738</t>
  </si>
  <si>
    <t>kratikasaritagupta@gmail.com</t>
  </si>
  <si>
    <t>https://colab.research.google.com/drive/1E0W1lJljY3rizADV6d6QopE9_MQ841qP?usp=sharing</t>
  </si>
  <si>
    <t>AE-0183</t>
  </si>
  <si>
    <t>kratika.gupta@iitg.ac.in</t>
  </si>
  <si>
    <t>arjund0702@gmail.com</t>
  </si>
  <si>
    <t>https://colab.research.google.com/drive/1wInKTfUveJNoHc3E9LuX6tTXuYcAjoX9?usp=sharing</t>
  </si>
  <si>
    <t>AE-0130</t>
  </si>
  <si>
    <r>
      <rPr>
        <rFont val="Roboto"/>
        <color rgb="FF1155CC"/>
        <u/>
      </rPr>
      <t>https://colab.research.google.</t>
    </r>
    <r>
      <rPr>
        <rFont val="Roboto"/>
        <color rgb="FF434343"/>
        <u/>
      </rPr>
      <t>com/drive/1V7wPQA8nz066a915iD-NyUnXdxe68lef</t>
    </r>
  </si>
  <si>
    <t>AE-0843</t>
  </si>
  <si>
    <t>https://colab.research.google.com/drive/1TMEWLkX_CKyG5EeCCwjXskLidoTfA4a9#scrollTo=2c2f3121</t>
  </si>
  <si>
    <t>0097</t>
  </si>
  <si>
    <t>likhithkanigolla@gmail.com</t>
  </si>
  <si>
    <t>https://colab.research.google.com/drive/1KuML6-Xm1tw0N_VkcU-9HCFX6Ta2dOXv?usp=sharing</t>
  </si>
  <si>
    <t>AE-0390</t>
  </si>
  <si>
    <t>B) Matter-Oriented Neutral Decay</t>
  </si>
  <si>
    <t>https://colab.research.google.com/drive/1_E2KHWgHxWWQtmoqN7I3UKofQXHpTuTf?usp=sharing</t>
  </si>
  <si>
    <t>AE-0597</t>
  </si>
  <si>
    <t>Kumar Sanket</t>
  </si>
  <si>
    <t>dhruvryan49@gmail.com</t>
  </si>
  <si>
    <t>https://colab.research.google.com/drive/1849xsD1wd3x0CKvBZ8F4xIfsLTlQ2-Y2#scrollTo=dc5f098d</t>
  </si>
  <si>
    <t>AE-0433</t>
  </si>
  <si>
    <t xml:space="preserve">Dhruv Ryan Singh </t>
  </si>
  <si>
    <t>https://colab.research.google.com/drive/1EsEijLyaXAmAyyqKbcU0-TE5fuqD72PP?usp=sharing</t>
  </si>
  <si>
    <t>AE-1096</t>
  </si>
  <si>
    <t>AE-0867</t>
  </si>
  <si>
    <t>https://colab.research.google.com/drive/1ZEvEypxw5Sjp_7C4OFNlNodHAy6kqAeC?usp=sharing</t>
  </si>
  <si>
    <t>AE-0584</t>
  </si>
  <si>
    <t>AE-0413</t>
  </si>
  <si>
    <t>Heta</t>
  </si>
  <si>
    <t>https://colab.research.google.com/drive/1B1zN5Ha6GZDiwgShWYHagOPFEOUPwQ6f?usp=sharing</t>
  </si>
  <si>
    <t>AE-0474</t>
  </si>
  <si>
    <t>Mustafijur Rahaman</t>
  </si>
  <si>
    <t>strang12343@gmail.com</t>
  </si>
  <si>
    <t>https://colab.research.google.com/drive/1wydHAZepQmdKfPw3HyrYnMNOw-L79onL?usp=sharing</t>
  </si>
  <si>
    <t>AE-0755</t>
  </si>
  <si>
    <t>PRANAV SHARMA</t>
  </si>
  <si>
    <t>AE-1073</t>
  </si>
  <si>
    <t>https://colab.research.google.com/drive/1Kvol5eI6yEatT1WsLsEy93SrwxBykZQS?usp=sharing</t>
  </si>
  <si>
    <t>AE-0016</t>
  </si>
  <si>
    <t>Abhinav Krishna</t>
  </si>
  <si>
    <t>https://colab.research.google.com/drive/1l_T8Cr2QP50_IPgZKYdtg-qroEDY0bPc?usp=sharing</t>
  </si>
  <si>
    <t>AE-0551</t>
  </si>
  <si>
    <t>AE-0846</t>
  </si>
  <si>
    <t>Niranjan V</t>
  </si>
  <si>
    <t>https://colab.research.google.com/drive/1m1Rao1-Eh6gPXRZB4K5_rwamTTxhzo92?usp=sharing</t>
  </si>
  <si>
    <t>AE-0358</t>
  </si>
  <si>
    <t>Aadya Nair</t>
  </si>
  <si>
    <t>https://colab.research.google.com/drive/1hf4y2CbPJew8pYNGqGQtX-_UhgHCzX_s?usp=sharing</t>
  </si>
  <si>
    <t>AE-0759</t>
  </si>
  <si>
    <t>Atulya</t>
  </si>
  <si>
    <t xml:space="preserve"> b25256@students.iitmandi.ac.in</t>
  </si>
  <si>
    <t>C) The separation of gravity from the other three fundamental forces.</t>
  </si>
  <si>
    <t>hetalkoul@gmail.com</t>
  </si>
  <si>
    <t>https://colab.research.google.com/drive/17OmoJ1w5-xSR3WqPfhoeGClWYFoP3JfH?usp=sharing</t>
  </si>
  <si>
    <t>AE-0045</t>
  </si>
  <si>
    <t xml:space="preserve">HETAL KOUL </t>
  </si>
  <si>
    <t>https://colab.research.google.com/drive/1vrYbyp0K-X3HHCJK4xcMZ07luzSesNYw</t>
  </si>
  <si>
    <t>AE-0464</t>
  </si>
  <si>
    <t>https://colab.research.google.com/drive/1PFEV8AudKtUPFbUq9CHGFEgo-9a7Dfof?usp=sharing</t>
  </si>
  <si>
    <t>AE-0410</t>
  </si>
  <si>
    <t>Aleena Ann Alexander</t>
  </si>
  <si>
    <t>AE-1029</t>
  </si>
  <si>
    <t>vidhathribheemavarapu@gmail.com</t>
  </si>
  <si>
    <t>https://colab.research.google.com/drive/10VlMlI2tAPRjWaCXYpDfGDFaJlbFOa1M?usp=sharing</t>
  </si>
  <si>
    <t>AE-0048</t>
  </si>
  <si>
    <t>AE-0118</t>
  </si>
  <si>
    <t>Payal Gupta</t>
  </si>
  <si>
    <t>D) It would be invisible as it is below the horizon.</t>
  </si>
  <si>
    <t>Tap the hamburger menu and switch to a different Sky Culture.</t>
  </si>
  <si>
    <t>The local communities in the south protested against the observatories, forcing the scientists to relocate to the secluded mountains.</t>
  </si>
  <si>
    <t>AE-0855</t>
  </si>
  <si>
    <t>AE-0799</t>
  </si>
  <si>
    <t>chandra bhushan</t>
  </si>
  <si>
    <t>D) They are deposited by passing interstellar comets originating from outside our local galaxy.</t>
  </si>
  <si>
    <t>AE-0114</t>
  </si>
  <si>
    <t>Eric Tom Benoy</t>
  </si>
  <si>
    <t>patelyashvardhan07@gmail.com</t>
  </si>
  <si>
    <t>https://colab.research.google.com/drive/1NEGg2vTJrYuam2_w0TkZyU2anHbv3r_P?usp=sharing</t>
  </si>
  <si>
    <t>AE-0009</t>
  </si>
  <si>
    <t>https://colab.research.google.com/drive/1thX6BK5h43XV3w_BLjaP09Z9MP7_oGRg?usp=sharing</t>
  </si>
  <si>
    <t>AE-0044</t>
  </si>
  <si>
    <t>piyushkumar6810@gmail.com</t>
  </si>
  <si>
    <t>AE-0117</t>
  </si>
  <si>
    <t>PIYUSH KUMAR</t>
  </si>
  <si>
    <t>C) It fuels the rapid, high-energy rotation of neutron stars and pulsars.</t>
  </si>
  <si>
    <t>https://colab.research.google.com/drive/1iKy85axlGwOABQJbO0SJi4tqdqHIQyrN?usp=sharing</t>
  </si>
  <si>
    <t>AE-0717</t>
  </si>
  <si>
    <t>https://colab.research.google.com/drive/1pwgzcLqng-ruyMZcBA75BI1QRxqGjXIj?usp=sharing</t>
  </si>
  <si>
    <t>AE-0398</t>
  </si>
  <si>
    <t>Tanisha P</t>
  </si>
  <si>
    <t>https://colab.research.google.com/drive/1MuyoouiGxsUhF47IqfnmILybRzPm5IMj?usp=sharing</t>
  </si>
  <si>
    <t>AE-0519</t>
  </si>
  <si>
    <t>https://colab.research.google.com/drive/18zkAy9s3JLTaV-Amt7qDmWv3NcMj-Pcf?usp=sharing</t>
  </si>
  <si>
    <t>AE-0657</t>
  </si>
  <si>
    <t>C) The burning of ultra-heavy radioactive elements remaining from a previous supernova explosion.</t>
  </si>
  <si>
    <t>B) The sudden collapse of the outer gas layers, forming a white dwarf.</t>
  </si>
  <si>
    <t>https://colab.research.google.com/drive/1ghDq1nXkTdgOwws7dHXQF-qytcmb72qP?usp=sharing</t>
  </si>
  <si>
    <t>AE-0252</t>
  </si>
  <si>
    <t>Srushti Sovani</t>
  </si>
  <si>
    <t>C) Along the meridian at a 45-degree angle.</t>
  </si>
  <si>
    <t>https://colab.research.google.com/drive/1D5AhryKQY6nxzqJUGThqeFVyQwERHJn8?usp=sharing</t>
  </si>
  <si>
    <t>AE-0489</t>
  </si>
  <si>
    <t>https://colab.research.google.com/drive/1bJBQZWJdnxsjkiRObboV-S4PLpY5x0_e?usp=sharing</t>
  </si>
  <si>
    <t>AE-0897</t>
  </si>
  <si>
    <t>https://colab.research.google.com/drive/1u07BcrLx6w28WaCLWKo6qelNyEridk4-?usp=sharing</t>
  </si>
  <si>
    <t>AE-0694</t>
  </si>
  <si>
    <t>sujith b</t>
  </si>
  <si>
    <t>https://colab.research.google.com/drive/1lswzcewjWEBmWSj5JckSuqSp-W2a7MMH?usp=sharing</t>
  </si>
  <si>
    <t>AE-0105</t>
  </si>
  <si>
    <t>Dewang Agarwal</t>
  </si>
  <si>
    <t>https://colab.research.google.com/drive/1JHRYV1Zne8DX39cUvGkgojYIOld9_hIi?usp=sharing</t>
  </si>
  <si>
    <t>AE-0089</t>
  </si>
  <si>
    <t>https://colab.research.google.com/drive/1AhptCHBVRiaFVYc6KRS0H-xi_seK7jmj?usp=sharing</t>
  </si>
  <si>
    <t>AE-0684</t>
  </si>
  <si>
    <t>https://colab.research.google.com/drive/1mp0n2qJcLVe3_OUXB_o1RYExTQ9qihCD?authuser=4#scrollTo=24b32d24</t>
  </si>
  <si>
    <t>AE-0797</t>
  </si>
  <si>
    <t>AE-0579</t>
  </si>
  <si>
    <t>AE-0893</t>
  </si>
  <si>
    <t>[4]</t>
  </si>
  <si>
    <t>kimaya.arora.10@gmail.com</t>
  </si>
  <si>
    <t>https://colab.research.google.com/drive/1ETC8trSpn_emKztTac5n43OA-Tiibx-n?usp=sharing</t>
  </si>
  <si>
    <t>AE-0380</t>
  </si>
  <si>
    <t>https://colab.research.google.com/drive/19x-H46B4ZsPQi5nNnTLsT2csHdRiSFFc?usp=sharing</t>
  </si>
  <si>
    <t>AE-1027</t>
  </si>
  <si>
    <t>Manpreet Singh</t>
  </si>
  <si>
    <t>rushil.coder29@gmail.com</t>
  </si>
  <si>
    <t>https://colab.research.google.com/drive/12r06o2GOqJxRjPXn1Z6DE7IBRscOCFII?usp=sharing</t>
  </si>
  <si>
    <t>AE-0837</t>
  </si>
  <si>
    <t>https://colab.research.google.com/drive/1BYEcQIS2DLaTbz89KQmE7vH_NaWPTjDd?usp=sharing</t>
  </si>
  <si>
    <t>AE-1084</t>
  </si>
  <si>
    <t>+919920996430</t>
  </si>
  <si>
    <t>B) A neutron star</t>
  </si>
  <si>
    <t>https://colab.research.google.com/drive/1FrhdlzMss9FX1YMu3QbMq-jp6VTpIO79?usp=sharing</t>
  </si>
  <si>
    <t>AE-0936</t>
  </si>
  <si>
    <t>Purna Chandra</t>
  </si>
  <si>
    <t>A) It travels at speeds exceeding the speed of light, rendering it undetectable to electromagnetic instruments.</t>
  </si>
  <si>
    <t>https://colab.research.google.com/drive/1iW-R2o6tgegjQh1HivTM5TUafzfA4tSW?usp=sharing</t>
  </si>
  <si>
    <t>AE-0466</t>
  </si>
  <si>
    <t>https://colab.research.google.com/drive/1GqTq9oWYt4XS50qYomMSckWtZ3_gc6F9?usp=sharing</t>
  </si>
  <si>
    <t>0515</t>
  </si>
  <si>
    <t>https://colab.research.google.com/drive/152syTxmbapJPEaPLYpl-9rx9uwZK4OQy#scrollTo=dc5f098d</t>
  </si>
  <si>
    <t>AE-0524</t>
  </si>
  <si>
    <t>Aayush Rahate</t>
  </si>
  <si>
    <t>roshni05sen@gmail.com</t>
  </si>
  <si>
    <t>https://colab.research.google.com/drive/1p9jn4p9T3SEBfz4JXJRygn8ngILuvj2G?usp=sharing</t>
  </si>
  <si>
    <t>AE-0429</t>
  </si>
  <si>
    <t>pandeyprakhyat24@gmail.com</t>
  </si>
  <si>
    <t>https://colab.research.google.com/drive/156EFcO189ekzm7J3IB0h_eDOQ0mT5XSA?usp=sharing</t>
  </si>
  <si>
    <t>AE-0824</t>
  </si>
  <si>
    <t>AE-0641</t>
  </si>
  <si>
    <t>https://colab.research.google.com/drive/12ShcawtebViYm-oT7hz-nrg9ZUDHKUay?usp=sharing</t>
  </si>
  <si>
    <t>AE-0969</t>
  </si>
  <si>
    <t>Dhruv Sharma</t>
  </si>
  <si>
    <t xml:space="preserve"> dhruvsharma19792006@gmail.com</t>
  </si>
  <si>
    <t>alokisboss@gmail.com</t>
  </si>
  <si>
    <t>https://colab.research.google.com/drive/1vvD4_P4e5z1wKxoZAWAH2TuMaadrENfA?usp=sharing</t>
  </si>
  <si>
    <t>AE-0014</t>
  </si>
  <si>
    <t>https://colab.research.google.com/drive/1MTSDi22tern6xJ64RpJ-gIG30GL7F1pq?usp=sharing</t>
  </si>
  <si>
    <t>AE-0526</t>
  </si>
  <si>
    <t>Hardik Jain</t>
  </si>
  <si>
    <t>asmitkumarsingh0305@gmail.com</t>
  </si>
  <si>
    <t>https://colab.research.google.com/drive/1K4cV2CuB4v3FA7Lltv3aXBxCvrugA_4-?usp=sharing</t>
  </si>
  <si>
    <t>AE-0327</t>
  </si>
  <si>
    <t>https://colab.research.google.com/drive/1m0pK-ILxfER-PCVCKa5Ky4F-vpOtDvOr?usp=sharing</t>
  </si>
  <si>
    <t>AE-0649</t>
  </si>
  <si>
    <t>MAYUKH SAHA</t>
  </si>
  <si>
    <t>AE-0312</t>
  </si>
  <si>
    <t>Sharvari Salunke</t>
  </si>
  <si>
    <t>srikar.24bce7904@vitapstudent.ac.in</t>
  </si>
  <si>
    <t>https://colab.research.google.com/drive/1djjyQ3gzT_yIyxKenXP5deY91k3TB0Iw?usp=sharing</t>
  </si>
  <si>
    <t>AE-0812</t>
  </si>
  <si>
    <t>https://colab.research.google.com/drive/1MbQCf1Ri3PF4_Pc9A0bQ86bv-bpVkpeH?usp=sharing</t>
  </si>
  <si>
    <t>AE-0723</t>
  </si>
  <si>
    <t xml:space="preserve">Devi Dutta Das </t>
  </si>
  <si>
    <t>ayushkr.251007@gmail.com</t>
  </si>
  <si>
    <t>https://colab.research.google.com/drive/1zlj8BwdGwXfE8IRsnRiQ2oQhBDH9faKm?usp=sharing</t>
  </si>
  <si>
    <t>AE-0420</t>
  </si>
  <si>
    <t>AYUSH KUMAR</t>
  </si>
  <si>
    <t>https://colab.research.google.com/drive/1aaCFjIwtNM2qTk8SgodsF_W31TdWCMUR?usp=sharing</t>
  </si>
  <si>
    <t>AE-0895</t>
  </si>
  <si>
    <t xml:space="preserve">Abhinav Singh </t>
  </si>
  <si>
    <r>
      <rPr>
        <rFont val="Roboto"/>
        <color rgb="FF1155CC"/>
        <u/>
      </rPr>
      <t>https://colab.research.google.</t>
    </r>
    <r>
      <rPr>
        <rFont val="Roboto"/>
        <color rgb="FF434343"/>
        <u/>
      </rPr>
      <t>com/drive/1pilHikOcCva8vzgRIPy77UjPHU6nMbfW#scrollTo=24b32d24</t>
    </r>
  </si>
  <si>
    <t>AE-1021</t>
  </si>
  <si>
    <t xml:space="preserve">Theory module </t>
  </si>
  <si>
    <t xml:space="preserve">Harikishan </t>
  </si>
  <si>
    <t>https://colab.research.google.com/drive/1m6FWHCV-YJcJ9JBiy2vr2XijidL4fBBk?usp=sharing</t>
  </si>
  <si>
    <t>AE-0984</t>
  </si>
  <si>
    <t>AHAMMED SAFAL O P N</t>
  </si>
  <si>
    <t>https://colab.research.google.com/drive/1guI8srcK1zXLE2OFJ8x0TI_uNPxIW16P?usp=sharing</t>
  </si>
  <si>
    <t>AE-0552</t>
  </si>
  <si>
    <t>https://colab.research.google.com/drive/1PwxtEli3DzhxT_KvKU7uPTdHlrpRS3aS?usp=drive_link</t>
  </si>
  <si>
    <t>AE-0161</t>
  </si>
  <si>
    <t>Kartikey Tiwari</t>
  </si>
  <si>
    <t>sakshivatsa07@gmail.com</t>
  </si>
  <si>
    <t>https://colab.research.google.com/drive/1y9JVCaAhcXC3SWwKDuE2dNa3NYLKH3Te?usp=sharing</t>
  </si>
  <si>
    <t>AE0006</t>
  </si>
  <si>
    <t>Sakshi Vatsa</t>
  </si>
  <si>
    <t>aishwarya.rao111418@gmail.com</t>
  </si>
  <si>
    <t>AE-0291</t>
  </si>
  <si>
    <t>Aishwarya Rao</t>
  </si>
  <si>
    <t>yuvrajsaikia835@gmail.com</t>
  </si>
  <si>
    <r>
      <rPr>
        <rFont val="Roboto"/>
        <color rgb="FF1155CC"/>
        <u/>
      </rPr>
      <t>https://colab.</t>
    </r>
    <r>
      <rPr>
        <rFont val="Roboto"/>
        <color rgb="FF434343"/>
        <u/>
      </rPr>
      <t>research.google.com/drive/11UqNhjpU0oLoiiJjlwPC3RyTHNS_lzOl?usp=sharing</t>
    </r>
  </si>
  <si>
    <t>AE-0055</t>
  </si>
  <si>
    <t>https://colab.research.google.com/drive/1yHV6atbK3_-bpPQ3fEn-2Mehk-cc1tX9?usp=sharing</t>
  </si>
  <si>
    <t>AE-0481</t>
  </si>
  <si>
    <t>Soumyashree Holikatti</t>
  </si>
  <si>
    <t>https://colab.research.google.com/drive/1mxQntvz16wF1whaxAYTxj-ALS7-lAiwW?usp=sharing</t>
  </si>
  <si>
    <t>AE-0862</t>
  </si>
  <si>
    <t>toiyebahmad@gmail.com</t>
  </si>
  <si>
    <t>AE-0061</t>
  </si>
  <si>
    <t>Toiyeb Ashiq</t>
  </si>
  <si>
    <t>toiyebashiq418@gmail.com</t>
  </si>
  <si>
    <t>https://colab.research.google.com/drive/1p-nbk43be4kBfagEhDkxLvd-n7ibCyPF#scrollTo=601fa7b9</t>
  </si>
  <si>
    <t>AE-0110</t>
  </si>
  <si>
    <t>SUHIT MAHAMBREY</t>
  </si>
  <si>
    <t>https://colab.research.google.com/drive/1okaHH4f1ZZLVbGOZyz5DSzGTtuKsmgew?usp=sharing</t>
  </si>
  <si>
    <t>AE-0569</t>
  </si>
  <si>
    <t>Dinesh Gehlot</t>
  </si>
  <si>
    <t>AE-1047</t>
  </si>
  <si>
    <t>Devanandhan P M</t>
  </si>
  <si>
    <t>AE-0603</t>
  </si>
  <si>
    <t>meharsharma0208@gmail.com</t>
  </si>
  <si>
    <t>AE-0793</t>
  </si>
  <si>
    <t>https://colab.research.google.com/drive/1ffGFFImX0kK1m-bvIhbG7-vvD8Rl7X_v?usp=sharing</t>
  </si>
  <si>
    <t>AE-0753</t>
  </si>
  <si>
    <t>AE-1023</t>
  </si>
  <si>
    <t>Mansi</t>
  </si>
  <si>
    <t>sandhyaarya2005@gmail.com</t>
  </si>
  <si>
    <t>https://colab.research.google.com/drive/1MYKuQV4nM12vNONLUjGsnLJMkdaHN8D3?usp=sharing</t>
  </si>
  <si>
    <t>AE-0710</t>
  </si>
  <si>
    <t>sandhyaarya2004@gmail.com</t>
  </si>
  <si>
    <t>balkaransingh31ml@gmail.com</t>
  </si>
  <si>
    <t>AE-0018</t>
  </si>
  <si>
    <t>Parneet Kaur</t>
  </si>
  <si>
    <t>https://colab.research.google.com/drive/1FO-UUfLDw3Btqhm7X1VZLhIS0XbQe0YT?usp=sharing</t>
  </si>
  <si>
    <t>AE-0880</t>
  </si>
  <si>
    <t>thegodemperordushyant69@gmail.com</t>
  </si>
  <si>
    <t>https://colab.research.google.com/drive/1_OAQNPhBKL09eqzMHf-UXFZY21DBudfP?usp=sharing</t>
  </si>
  <si>
    <t>AE-0996</t>
  </si>
  <si>
    <t>AE-0372</t>
  </si>
  <si>
    <t>https://colab.research.google.com/drive/1wdPChpfa8IALRsH8Uq3Joh64df_Qb2eC?usp=sharing</t>
  </si>
  <si>
    <t>AE-0798</t>
  </si>
  <si>
    <t>Vaidec Saha</t>
  </si>
  <si>
    <t>e.lingaraja@gmail.com</t>
  </si>
  <si>
    <t>https://colab.research.google.com/drive/1ch_bkzsmuIgy4wwb8upR8GC9apVjPqUm?usp=sharing</t>
  </si>
  <si>
    <t>AE-0035</t>
  </si>
  <si>
    <t>Linga Raja E</t>
  </si>
  <si>
    <t>ashish181970@gmail.com</t>
  </si>
  <si>
    <t>AE-0285</t>
  </si>
  <si>
    <t>D) It is heavily shielded by the immense gravitational pull of surrounding superclusters.</t>
  </si>
  <si>
    <t>AE-1034</t>
  </si>
  <si>
    <t>mauryamoharar@gmail.com</t>
  </si>
  <si>
    <t>AE-0661</t>
  </si>
  <si>
    <t>+919748972656</t>
  </si>
  <si>
    <t>AE-0735</t>
  </si>
  <si>
    <t>A) A static, spherical boundary defined by the total mass of the enclosed galaxies.</t>
  </si>
  <si>
    <t>vidhij2428@gmail.com</t>
  </si>
  <si>
    <t>https://colab.research.google.com/drive/1opaiESZjEC08dXAm9sueQx-ynZFZlRQX?usp=sharing</t>
  </si>
  <si>
    <t>AE-0013</t>
  </si>
  <si>
    <t>Vidhi Joshi</t>
  </si>
  <si>
    <t>AE-0258</t>
  </si>
  <si>
    <t>https://colab.research.google.com/drive/1aoJWz23plxnac4JEd9RS21Ah51P7nRQm?usp=sharing</t>
  </si>
  <si>
    <t>AE-0931</t>
  </si>
  <si>
    <t>Tanish Deepak Trisal</t>
  </si>
  <si>
    <t>devanshd20201@gmail.com</t>
  </si>
  <si>
    <t>https://colab.research.google.com/drive/1IQKTaFt-9Q32lggewh7P1LTev1f0IUtS?usp=sharing</t>
  </si>
  <si>
    <t>AE-0605</t>
  </si>
  <si>
    <t>Devansh Dhoka</t>
  </si>
  <si>
    <t>AE-0395</t>
  </si>
  <si>
    <t>https://colab.research.google.com/drive/1884Jd_4cTdyhDD5n_l6pDbE2qiTUQtdH?usp=sharing</t>
  </si>
  <si>
    <t>AE-0366</t>
  </si>
  <si>
    <t>https://colab.research.google.com/drive/1VJan4YGmtn-ozQaN5J_xmHrMlZcx4JZS</t>
  </si>
  <si>
    <t>AE-0238</t>
  </si>
  <si>
    <t>sasisanthiya800@gmail.com</t>
  </si>
  <si>
    <t>AE-1022</t>
  </si>
  <si>
    <t>Santhiyagovindarajan07@gmail.com</t>
  </si>
  <si>
    <t>schanderveer95@gmail.com</t>
  </si>
  <si>
    <t>AE-0465</t>
  </si>
  <si>
    <t xml:space="preserve">Chanderveer Singh </t>
  </si>
  <si>
    <t>A) They were created seamlessly during the first three minutes of the Big Bang nucleosynthesis.</t>
  </si>
  <si>
    <t>https://colab.research.google.com/drive/1kiD9G25o5qmPhW61-mx44fSL9B6gVhP-?usp=sharing</t>
  </si>
  <si>
    <t>AE-1104</t>
  </si>
  <si>
    <t>Mihir Chakradeo</t>
  </si>
  <si>
    <t>AE-0094</t>
  </si>
  <si>
    <t>AE-0656</t>
  </si>
  <si>
    <t>wes1nat3han4ley@gmail.com</t>
  </si>
  <si>
    <t>AE-0462</t>
  </si>
  <si>
    <t>https://colab.research.google.com/drive/1NRm_mJYb36cw98wReHZjixfjKaqRFXIB?usp=drive_link</t>
  </si>
  <si>
    <t>AE-0368</t>
  </si>
  <si>
    <t>Abhay Sharma</t>
  </si>
  <si>
    <t>bsspoorthi.7@gmail.com</t>
  </si>
  <si>
    <t>https://colab.research.google.com/drive/1TQOdebXafwcQotgnNPnLP_qsIiuSMGQH?usp=sharing</t>
  </si>
  <si>
    <t>AE-0005</t>
  </si>
  <si>
    <t>Spoorthi</t>
  </si>
  <si>
    <t>https://colab.research.google.com/drive/1FTUMiQRHiwoQGeDy2RbW6pR1R1yay60W?usp=sharing</t>
  </si>
  <si>
    <t>AE-0952</t>
  </si>
  <si>
    <t>Vidhi Roz</t>
  </si>
  <si>
    <t>monalisharabha806@gmail.com</t>
  </si>
  <si>
    <t>https://colab.research.google.com/drive/1jDE4S7cQe3d2WXO0Dr83Wgcnx27gYwUx?usp=sharing</t>
  </si>
  <si>
    <t>AE-0059</t>
  </si>
  <si>
    <t>09387069293</t>
  </si>
  <si>
    <t>AE-0343</t>
  </si>
  <si>
    <t>https://colab.research.google.com/drive/1vLGB9RoKTuiS-Gr8xhq3M1NMrZVuGOWI?usp=sharing</t>
  </si>
  <si>
    <t>AE-0655</t>
  </si>
  <si>
    <t>Naman Prasad</t>
  </si>
  <si>
    <t xml:space="preserve"> np25ms174@iiserkol.ac.in</t>
  </si>
  <si>
    <t>purvrajchudasama2006@gmail.com</t>
  </si>
  <si>
    <t>AE-0960</t>
  </si>
  <si>
    <t xml:space="preserve">Purvraj Chudasama </t>
  </si>
  <si>
    <t>purvrajsinh.c@students.iiit.ac.in</t>
  </si>
  <si>
    <t>25ph0334@sxca.edu.in</t>
  </si>
  <si>
    <t>AE-0725</t>
  </si>
  <si>
    <t>Tanvi</t>
  </si>
  <si>
    <t>B) Supermassive black holes acting as structural anchors.</t>
  </si>
  <si>
    <t>swati.jakkan17@gmail.com</t>
  </si>
  <si>
    <t>AE-0286</t>
  </si>
  <si>
    <t>https://colab.research.google.com/drive/18pWm0A4rfdj5VZvxdqBGOwNvj-ouE3kf?usp=sharing</t>
  </si>
  <si>
    <t>AE-0467</t>
  </si>
  <si>
    <t>pranavcreation550@gmail.com</t>
  </si>
  <si>
    <t>AE-0830</t>
  </si>
  <si>
    <t>manan01parmar@gmail.com</t>
  </si>
  <si>
    <t>https://colab.research.google.com/drive/1eZD7o26HvqXq_J_tCpHMKlkFJ71lr7F9#scrollTo=5404eb68</t>
  </si>
  <si>
    <t>AE-0821</t>
  </si>
  <si>
    <t>madhusudanreddy118@gmail.com</t>
  </si>
  <si>
    <t>AE-0039</t>
  </si>
  <si>
    <t xml:space="preserve">Vipul Reddy </t>
  </si>
  <si>
    <t>D) Planar sheets of highly dense, primordial quark-gluon plasma.</t>
  </si>
  <si>
    <t>D) It acts as the primary thermal heat source for pre-main-sequence protostars.</t>
  </si>
  <si>
    <t>https://colab.research.google.com/drive/1tHsVdXThhBOTSAF78qJrihu3FJAVBxR3?usp=sharing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</si>
</sst>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48&quot;"/>
  </numFmts>
  <fonts count="10">
    <font>
      <sz val="10.0"/>
      <color rgb="FF000000"/>
      <name val="Arial"/>
      <scheme val="minor"/>
    </font>
    <font>
      <color theme="1"/>
      <name val="Arial"/>
      <scheme val="minor"/>
    </font>
    <font>
      <u/>
      <color rgb="FF0000FF"/>
      <name val="Roboto"/>
    </font>
    <font>
      <color theme="1"/>
      <name val="Roboto"/>
    </font>
    <font>
      <color rgb="FF434343"/>
      <name val="Roboto"/>
    </font>
    <font>
      <u/>
      <color rgb="FF434343"/>
      <name val="Roboto"/>
    </font>
    <font>
      <color theme="1"/>
      <name val="Arial"/>
    </font>
    <font>
      <u/>
      <color rgb="FF434343"/>
      <name val="Roboto"/>
    </font>
    <font>
      <u/>
      <color rgb="FF1155CC"/>
      <name val="Arial"/>
    </font>
    <font>
      <u/>
      <color rgb="FF434343"/>
      <name val="Roboto"/>
    </font>
  </fonts>
  <fills count="5">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8F9FA"/>
        <bgColor rgb="FFF8F9FA"/>
      </patternFill>
    </fill>
  </fills>
  <borders count="10">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horizontal="left" readingOrder="0" shrinkToFit="0" vertical="center" wrapText="0"/>
    </xf>
    <xf borderId="1" fillId="3" fontId="4" numFmtId="164" xfId="0" applyAlignment="1" applyBorder="1" applyFill="1" applyFont="1" applyNumberFormat="1">
      <alignment horizontal="right" shrinkToFit="0" vertical="center" wrapText="0"/>
    </xf>
    <xf borderId="2" fillId="3" fontId="4" numFmtId="0" xfId="0" applyAlignment="1" applyBorder="1" applyFont="1">
      <alignment shrinkToFit="0" vertical="center" wrapText="0"/>
    </xf>
    <xf borderId="2" fillId="3" fontId="4" numFmtId="165" xfId="0" applyAlignment="1" applyBorder="1" applyFont="1" applyNumberFormat="1">
      <alignment horizontal="right" shrinkToFit="0" vertical="center" wrapText="0"/>
    </xf>
    <xf borderId="2" fillId="3" fontId="5" numFmtId="0" xfId="0" applyAlignment="1" applyBorder="1" applyFont="1">
      <alignment shrinkToFit="0" vertical="center" wrapText="0"/>
    </xf>
    <xf borderId="2" fillId="3" fontId="4" numFmtId="0" xfId="0" applyAlignment="1" applyBorder="1" applyFont="1">
      <alignment horizontal="right" shrinkToFit="0" vertical="center" wrapText="0"/>
    </xf>
    <xf borderId="2" fillId="3" fontId="6" numFmtId="0" xfId="0" applyAlignment="1" applyBorder="1" applyFont="1">
      <alignment shrinkToFit="0" vertical="center" wrapText="0"/>
    </xf>
    <xf borderId="3" fillId="3" fontId="6" numFmtId="0" xfId="0" applyAlignment="1" applyBorder="1" applyFont="1">
      <alignment shrinkToFit="0" vertical="center" wrapText="0"/>
    </xf>
    <xf borderId="4" fillId="4" fontId="4" numFmtId="164" xfId="0" applyAlignment="1" applyBorder="1" applyFill="1" applyFont="1" applyNumberFormat="1">
      <alignment horizontal="right" shrinkToFit="0" vertical="center" wrapText="0"/>
    </xf>
    <xf borderId="5" fillId="4" fontId="4" numFmtId="0" xfId="0" applyAlignment="1" applyBorder="1" applyFont="1">
      <alignment shrinkToFit="0" vertical="center" wrapText="0"/>
    </xf>
    <xf borderId="5" fillId="4" fontId="4" numFmtId="165" xfId="0" applyAlignment="1" applyBorder="1" applyFont="1" applyNumberFormat="1">
      <alignment horizontal="right" shrinkToFit="0" vertical="center" wrapText="0"/>
    </xf>
    <xf borderId="5" fillId="4" fontId="6" numFmtId="0" xfId="0" applyAlignment="1" applyBorder="1" applyFont="1">
      <alignment shrinkToFit="0" vertical="center" wrapText="0"/>
    </xf>
    <xf borderId="5" fillId="4" fontId="4" numFmtId="0" xfId="0" applyAlignment="1" applyBorder="1" applyFont="1">
      <alignment horizontal="right" shrinkToFit="0" vertical="center" wrapText="0"/>
    </xf>
    <xf borderId="6" fillId="4" fontId="6" numFmtId="0" xfId="0" applyAlignment="1" applyBorder="1" applyFont="1">
      <alignment shrinkToFit="0" vertical="center" wrapText="0"/>
    </xf>
    <xf borderId="5" fillId="4" fontId="7" numFmtId="0" xfId="0" applyAlignment="1" applyBorder="1" applyFont="1">
      <alignment shrinkToFit="0" vertical="center" wrapText="0"/>
    </xf>
    <xf quotePrefix="1" borderId="2" fillId="3" fontId="4" numFmtId="0" xfId="0" applyAlignment="1" applyBorder="1" applyFont="1">
      <alignment shrinkToFit="0" vertical="center" wrapText="0"/>
    </xf>
    <xf borderId="2" fillId="3" fontId="8" numFmtId="0" xfId="0" applyAlignment="1" applyBorder="1" applyFont="1">
      <alignment shrinkToFit="0" vertical="center" wrapText="0"/>
    </xf>
    <xf quotePrefix="1" borderId="5" fillId="4" fontId="4" numFmtId="0" xfId="0" applyAlignment="1" applyBorder="1" applyFont="1">
      <alignment shrinkToFit="0" vertical="center" wrapText="0"/>
    </xf>
    <xf borderId="7" fillId="3" fontId="4" numFmtId="164" xfId="0" applyAlignment="1" applyBorder="1" applyFont="1" applyNumberFormat="1">
      <alignment horizontal="right" shrinkToFit="0" vertical="center" wrapText="0"/>
    </xf>
    <xf borderId="8" fillId="3" fontId="4" numFmtId="0" xfId="0" applyAlignment="1" applyBorder="1" applyFont="1">
      <alignment shrinkToFit="0" vertical="center" wrapText="0"/>
    </xf>
    <xf borderId="8" fillId="3" fontId="4" numFmtId="165" xfId="0" applyAlignment="1" applyBorder="1" applyFont="1" applyNumberFormat="1">
      <alignment horizontal="right" shrinkToFit="0" vertical="center" wrapText="0"/>
    </xf>
    <xf borderId="8" fillId="3" fontId="6" numFmtId="0" xfId="0" applyAlignment="1" applyBorder="1" applyFont="1">
      <alignment shrinkToFit="0" vertical="center" wrapText="0"/>
    </xf>
    <xf borderId="8" fillId="3" fontId="4" numFmtId="0" xfId="0" applyAlignment="1" applyBorder="1" applyFont="1">
      <alignment horizontal="right" shrinkToFit="0" vertical="center" wrapText="0"/>
    </xf>
    <xf borderId="9" fillId="3" fontId="9" numFmtId="0" xfId="0" applyAlignment="1" applyBorder="1" applyFont="1">
      <alignment shrinkToFit="0" vertical="center" wrapText="0"/>
    </xf>
    <xf borderId="8" fillId="3" fontId="6" numFmtId="0" xfId="0" applyAlignment="1" applyBorder="1" applyFont="1">
      <alignment shrinkToFit="0" vertical="bottom" wrapText="0"/>
    </xf>
    <xf borderId="9" fillId="3" fontId="6" numFmtId="0" xfId="0" applyAlignment="1" applyBorder="1" applyFont="1">
      <alignment shrinkToFit="0" vertical="bottom"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Astronomy 101 Week 1 Quiz (Res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118" displayName="Form_Responses" name="Form_Responses" id="1">
  <tableColumns count="12">
    <tableColumn name="Timestamp" id="1"/>
    <tableColumn name="Email id" id="2"/>
    <tableColumn name="Name" id="3"/>
    <tableColumn name="Code" id="4"/>
    <tableColumn name="Score" id="5"/>
    <tableColumn name="Sent" id="6"/>
    <tableColumn name="Error" id="7"/>
    <tableColumn name="Contact number" id="8"/>
    <tableColumn name="College" id="9"/>
    <tableColumn name="Are you a member of Equinox ?" id="10"/>
    <tableColumn name="Which module are you most interested in? " id="11"/>
    <tableColumn name="What are your expectations from this course?" id="12"/>
  </tableColumns>
  <tableStyleInfo name="Form Responses 1-style" showColumnStripes="0" showFirstColumn="1" showLastColumn="1" showRowStripes="1"/>
</table>
</file>

<file path=xl/tables/table2.xml><?xml version="1.0" encoding="utf-8"?>
<table xmlns="http://schemas.openxmlformats.org/spreadsheetml/2006/main" ref="A1:BC290" displayName="Table1" name="Table1" id="2">
  <tableColumns count="55">
    <tableColumn name="Timestamp" id="1"/>
    <tableColumn name="Email Address" id="2"/>
    <tableColumn name="Score" id="3"/>
    <tableColumn name="Assignment Instructions_x000a_Open the Colab notebook using the link below and create a copy in your Google Drive. Complete all the tasks/questions in the notebook. Once finished, make sure the sharing settings are set to &quot;Anyone with the link can view&quot; and paste the shareable link to your completed notebook in the response field below._x000a_Colab Notebook Link: https://colab.research.google.com/drive/1TMEWLkX_CKyG5EeCCwjXskLidoTfA4a9?usp=sharing_x000a_Submission: Paste the link to your completed notebook below." id="4"/>
    <tableColumn name="Final Score" id="5"/>
    <tableColumn name="Astronomy 101 Code:" id="6"/>
    <tableColumn name="Name:" id="7"/>
    <tableColumn name="Email id" id="8"/>
    <tableColumn name="Contact Number" id="9"/>
    <tableColumn name="If astronomers discovered that galaxies were moving toward us rather than away from us, how would that fundamentally change the interpretation of the following theory?" id="10"/>
    <tableColumn name="For a significant portion of its early history (the Photon Epoch), the universe is described as an opaque 'soup' or fog. What key conceptual shift allowed the universe to finally become transparent to light, creating the cosmic background radiation we observe today?" id="11"/>
    <tableColumn name="According to the standard Big Bang timeline, what specific fundamental force separation is hypothesised to have triggered the period of rapid exponential expansion known as cosmic inflation?" id="12"/>
    <tableColumn name="During the 'Dark Ages', the universe was filled with a sea of neutral hydrogen atoms that made the cosmos opaque to shorter wavelengths of light. What mechanism fundamentally altered this state, ending the Dark Ages and allowing starlight to travel vast distances?" id="13"/>
    <tableColumn name="What does the following images symbolise based on the image and time of the event" id="14"/>
    <tableColumn name="Why does the Cosmic Microwave Background (CMB) appear to have a 'perfect' thermal spectrum despite space being essentially empty today?" id="15"/>
    <tableColumn name="What is the fundamental difference between the 'R-process' and 'S-process' in neutron capture?" id="16"/>
    <tableColumn name="During the brief period of Big Bang nucleosynthesis, why did the universe primarily produce hydrogen and helium, rather than fusing all primordial matter into heavier, ultra-stable elements like iron?" id="17"/>
    <tableColumn name="Olbers' Paradox historically asked why the night sky is dark if the universe is infinite and filled with stars. How does the Big Bang model elegantly resolve this paradox?" id="18"/>
    <tableColumn name="How do neutron star mergers overcome the electrostatic repulsion that prevents standard fusion?" id="19"/>
    <tableColumn name="Why are lithium, beryllium, and boron produced via cosmic ray collisions (fission) rather than typical stellar fusion?" id="20"/>
    <tableColumn name="All elements are products of stardust. Do you agree?" id="21"/>
    <tableColumn name="How does the birth of massive, early stars actively influence the formation of subsequent structures in the early universe?" id="22"/>
    <tableColumn name="During the formation of a star, why does the inner region of the collapsing gas cloud eventually cease to collapse further and temporarily stabilize as a protostar?" id="23"/>
    <tableColumn name="Identify what is present in the following image" id="24"/>
    <tableColumn name="How did the initial state of the universe during the period of quantum fluctuations ultimately dictate the large-scale distribution of matter we observe today?" id="25"/>
    <tableColumn name="In the context of large-scale galactic structures, what defines the boundaries of the &quot;Laniakea&quot; Supercluster, our cosmic home?" id="26"/>
    <tableColumn name="The majority of the universe's total volume is composed of what specific structural feature within the Cosmic Web?" id="27"/>
    <tableColumn name="Dark matter is an essential component of the universe's mass-energy density. Why is it impossible to observe dark matter directly using conventional optical or radio telescopes?" id="28"/>
    <tableColumn name="In contemporary physics, what is the primary observed macroscopic effect attributed to Dark Energy?" id="29"/>
    <tableColumn name="In an attempt to explain the anomalous rotation curves of galaxies without invoking unseen dark matter particles, physicists developed an alternative theory known as M.O.N.D. What does this acronym signify?" id="30"/>
    <tableColumn name="Before a star like our Sun formally initiates nuclear fusion, it spends millions of years in the &quot;T Tauri&quot; phase. During this pre-main-sequence stage, what is the primary source of the star's immense heat and luminosity?" id="31"/>
    <tableColumn name="Astronomers frequently measure the abundance of the element Lithium to determine the precise age of a T Tauri star. Why does the observable amount of Lithium decrease as the star ages?" id="32"/>
    <tableColumn name="What specific event definitively marks the end of the T Tauri phase and the beginning of a star's stable life on the &quot;main sequence&quot;?" id="33"/>
    <tableColumn name="Where do the vast majority of the universe's exceptionally heavy elements, such as gold, silver, and uranium, originate?" id="34"/>
    <tableColumn name="When an exceptionally massive star exhausts its nuclear fuel, its core violently collapses. If the remaining core mass dramatically exceeds the Tolman-Oppenheimer-Volkoff limit, what is the resulting celestial object?" id="35"/>
    <tableColumn name="During the very early universe, a quantum process known as baryogenesis resulted in a crucial asymmetry. What was the ultimate outcome of this statistical anomaly?" id="36"/>
    <tableColumn name="If you are standing at the North Pole, where would the celestial pole be located in your sky?" id="37"/>
    <tableColumn name="Why do observers at different latitudes on Earth see the celestial pole at different heights above the horizon?" id="38"/>
    <tableColumn name="You are trying to show a friend all the different constellation drawings that are currently above your head, but Stellarium keeps making them disappear, only showing the single constellation in the middle of your screen. How do you fix this?" id="39"/>
    <tableColumn name="You want to find out what phase the moon was in on the exact night you were born. How do you achieve this in Stellarium?" id="40"/>
    <tableColumn name="Identify the following solar position" id="41"/>
    <tableColumn name="Why did the Indian Institute of Astrophysics find it necessary to establish an observatory in the Himalayan region, such as the one at Hanle, rather than relying exclusively on their existing southern observatories?" id="42"/>
    <tableColumn name="According to the documentary in day 5, how does the creation of the Hanle Dark Sky Reserve benefit the local ecosystem, specifically the wildlife?" id="43"/>
    <tableColumn name="What will be the output of the following code?_x000a_a = (1, 2, [3, 4])_x000a_a[2].append(5)_x000a_print(a)" id="44"/>
    <tableColumn name="What will be the output?_x000a_x = [1, 2, 3]_x000a_y = x_x000a_y += [4]_x000a__x000a_print(x)" id="45"/>
    <tableColumn name="Which of the following can be used as a dictionary key?  " id="46"/>
    <tableColumn name="What will be the output of the following code?_x000a_d = {}_x000a_d[(1, 2)] = &quot;A&quot;_x000a_d[(1, 2, [3, 4])] = &quot;B&quot;_x000a__x000a_print(len(d))" id="47"/>
    <tableColumn name="What will be the output of the following code?_x000a_a = [1, 2, 3]_x000a_b = a_x000a__x000a_a = a + [4]_x000a__x000a_print(b)" id="48"/>
    <tableColumn name="When we tried capturing The solar position at noon for a year, what pattern did it symbolise?" id="49"/>
    <tableColumn name="Imagine you are observing the night sky from the northern hemisphere. Why are the constellations located near the summer solstice in the ecliptic path best viewed during the winter months?" id="50"/>
    <tableColumn name="Our modern map of constellations is a flat projection of a celestial sphere. What is the primary consequence of this method on the appearance of constellations at the extreme north and south poles of the map?" id="51"/>
    <tableColumn name="Why is it often easier for a beginner to identify Jupiter in the night sky compared to Mercury?" id="52"/>
    <tableColumn name="If you were an ancient observer tracking a specific 'wandering star' that seemed to travel forward, pause, and then move backwards over several months, which celestial body would you most likely be observing?" id="53"/>
    <tableColumn name="Why is the concept of &quot;integrated magnitude&quot; important when observing objects like galaxies or nebulae through a telescope compared to point-like stars?_x000a_" id="54"/>
    <tableColumn name="If astrology enthusiasts base their horoscopes on the zodiac, why is it scientifically misaligned with current reality?" id="55"/>
  </tableColumns>
  <tableStyleInfo name="Astronomy 101 Week 1 Quiz (Res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sfmsfmf.gmail.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olab.research.google.com/drive/1z-RgtOmXyYBdl_Sg1utE0Td4CIyJ2MyK?usp=sharing" TargetMode="External"/><Relationship Id="rId190" Type="http://schemas.openxmlformats.org/officeDocument/2006/relationships/hyperlink" Target="https://colab.research.google.com/drive/1wdPChpfa8IALRsH8Uq3Joh64df_Qb2eC?usp=sharing" TargetMode="External"/><Relationship Id="rId42" Type="http://schemas.openxmlformats.org/officeDocument/2006/relationships/hyperlink" Target="https://colab.research.google.com/drive/1GfrnEixtoBMasyRW3FgudAL8H_Fx1Ifj?usp=sharing" TargetMode="External"/><Relationship Id="rId41" Type="http://schemas.openxmlformats.org/officeDocument/2006/relationships/hyperlink" Target="https://colab.research.google.com/drive/1mPqPjhybyi6R0tik6kXcsbBdg5Yd8hgN?usp=sharing" TargetMode="External"/><Relationship Id="rId44" Type="http://schemas.openxmlformats.org/officeDocument/2006/relationships/hyperlink" Target="https://colab.research.google.com/drive/16HJzI-lbWA52BDcshSXzEtkmjO51aRNv?usp=sharing" TargetMode="External"/><Relationship Id="rId194" Type="http://schemas.openxmlformats.org/officeDocument/2006/relationships/hyperlink" Target="https://colab.research.google.com/drive/1IQKTaFt-9Q32lggewh7P1LTev1f0IUtS?usp=sharing" TargetMode="External"/><Relationship Id="rId43" Type="http://schemas.openxmlformats.org/officeDocument/2006/relationships/hyperlink" Target="https://colab.research.google.com/drive/1lHI96zUDA3-zDgcPcs4ARth9n8esg1i3?usp=sharing" TargetMode="External"/><Relationship Id="rId193" Type="http://schemas.openxmlformats.org/officeDocument/2006/relationships/hyperlink" Target="https://colab.research.google.com/drive/1aoJWz23plxnac4JEd9RS21Ah51P7nRQm?usp=sharing" TargetMode="External"/><Relationship Id="rId46" Type="http://schemas.openxmlformats.org/officeDocument/2006/relationships/hyperlink" Target="https://colab.research.google.com/drive/14S2ymKE1xlhgUuAZ25CJvFkaOnkJ9P3B" TargetMode="External"/><Relationship Id="rId192" Type="http://schemas.openxmlformats.org/officeDocument/2006/relationships/hyperlink" Target="https://colab.research.google.com/drive/1opaiESZjEC08dXAm9sueQx-ynZFZlRQX?usp=sharing" TargetMode="External"/><Relationship Id="rId45" Type="http://schemas.openxmlformats.org/officeDocument/2006/relationships/hyperlink" Target="https://colab.research.google.com/drive/1dM0uv3h_dO1YgDwB4m4kyxYHyRjS66Rx?usp=sharing" TargetMode="External"/><Relationship Id="rId191" Type="http://schemas.openxmlformats.org/officeDocument/2006/relationships/hyperlink" Target="https://colab.research.google.com/drive/1ch_bkzsmuIgy4wwb8upR8GC9apVjPqUm?usp=sharing" TargetMode="External"/><Relationship Id="rId48" Type="http://schemas.openxmlformats.org/officeDocument/2006/relationships/hyperlink" Target="https://colab.research.google.com/drive/1_u2douAFvaxV2kE1rvbR4-PzsCF1s4S6?usp=sharing" TargetMode="External"/><Relationship Id="rId187" Type="http://schemas.openxmlformats.org/officeDocument/2006/relationships/hyperlink" Target="https://colab.research.google.com/drive/1MYKuQV4nM12vNONLUjGsnLJMkdaHN8D3?usp=sharing" TargetMode="External"/><Relationship Id="rId47" Type="http://schemas.openxmlformats.org/officeDocument/2006/relationships/hyperlink" Target="https://colab.research.google.com/drive/1YRS6NGj__F6Y4u_jnKMa6c5fnA_QEEKO?usp=drive_link" TargetMode="External"/><Relationship Id="rId186" Type="http://schemas.openxmlformats.org/officeDocument/2006/relationships/hyperlink" Target="https://colab.research.google.com/drive/1ffGFFImX0kK1m-bvIhbG7-vvD8Rl7X_v?usp=sharing" TargetMode="External"/><Relationship Id="rId185" Type="http://schemas.openxmlformats.org/officeDocument/2006/relationships/hyperlink" Target="https://colab.research.google.com/drive/1okaHH4f1ZZLVbGOZyz5DSzGTtuKsmgew?usp=sharing" TargetMode="External"/><Relationship Id="rId49" Type="http://schemas.openxmlformats.org/officeDocument/2006/relationships/hyperlink" Target="https://colab.research.google.com/drive/1u4R1CZ3ANhF6kzEoSqtPoLYGQTJZxsE2?usp=sharing" TargetMode="External"/><Relationship Id="rId184" Type="http://schemas.openxmlformats.org/officeDocument/2006/relationships/hyperlink" Target="https://colab.research.google.com/drive/1p-nbk43be4kBfagEhDkxLvd-n7ibCyPF" TargetMode="External"/><Relationship Id="rId189" Type="http://schemas.openxmlformats.org/officeDocument/2006/relationships/hyperlink" Target="https://colab.research.google.com/drive/1_OAQNPhBKL09eqzMHf-UXFZY21DBudfP?usp=sharing" TargetMode="External"/><Relationship Id="rId188" Type="http://schemas.openxmlformats.org/officeDocument/2006/relationships/hyperlink" Target="https://colab.research.google.com/drive/1FO-UUfLDw3Btqhm7X1VZLhIS0XbQe0YT?usp=sharing" TargetMode="External"/><Relationship Id="rId31" Type="http://schemas.openxmlformats.org/officeDocument/2006/relationships/hyperlink" Target="https://colab.research.google.com/drive/1wwPIOfujIBf-NtQ3Df04oqKoWq2JypDB?usp=sharing" TargetMode="External"/><Relationship Id="rId30" Type="http://schemas.openxmlformats.org/officeDocument/2006/relationships/hyperlink" Target="https://colab.research.google.com/drive/1kL_1BBV2ah37A6T4HAFsESrHa-3qdNRP?usp=sharing" TargetMode="External"/><Relationship Id="rId33" Type="http://schemas.openxmlformats.org/officeDocument/2006/relationships/hyperlink" Target="https://colab.research.google.com/drive/1W7-_pORF-BDR4Qa_Y19PTALX-Mw51qa6" TargetMode="External"/><Relationship Id="rId183" Type="http://schemas.openxmlformats.org/officeDocument/2006/relationships/hyperlink" Target="https://colab.research.google.com/drive/1mxQntvz16wF1whaxAYTxj-ALS7-lAiwW?usp=sharing" TargetMode="External"/><Relationship Id="rId32" Type="http://schemas.openxmlformats.org/officeDocument/2006/relationships/hyperlink" Target="https://colab.research.google.com/drive/1Bn2Rps1v7cCN3OxbZRyFRZcfkfRleBr2" TargetMode="External"/><Relationship Id="rId182" Type="http://schemas.openxmlformats.org/officeDocument/2006/relationships/hyperlink" Target="https://colab.research.google.com/drive/1yHV6atbK3_-bpPQ3fEn-2Mehk-cc1tX9?usp=sharing" TargetMode="External"/><Relationship Id="rId35" Type="http://schemas.openxmlformats.org/officeDocument/2006/relationships/hyperlink" Target="https://colab.research.google.com/drive/1zIS-OIxTa66wwJoRV5RmeyYnn5uRMei5?usp=sharing" TargetMode="External"/><Relationship Id="rId181" Type="http://schemas.openxmlformats.org/officeDocument/2006/relationships/hyperlink" Target="https://colab.research.google.com/drive/11UqNhjpU0oLoiiJjlwPC3RyTHNS_lzOl?usp=sharing" TargetMode="External"/><Relationship Id="rId34" Type="http://schemas.openxmlformats.org/officeDocument/2006/relationships/hyperlink" Target="https://colab.research.google.com/drive/1m-K5Ba0BYmpvO_h91oOpjB4wlfVTeFXE?usp=sharing" TargetMode="External"/><Relationship Id="rId180" Type="http://schemas.openxmlformats.org/officeDocument/2006/relationships/hyperlink" Target="https://colab.research.google.com/drive/1y9JVCaAhcXC3SWwKDuE2dNa3NYLKH3Te?usp=sharing" TargetMode="External"/><Relationship Id="rId37" Type="http://schemas.openxmlformats.org/officeDocument/2006/relationships/hyperlink" Target="https://colab.research.google.com/drive/1Oy78kVCSesjDotSmx8JCBuDyX2a2Xgnf?usp=sharing" TargetMode="External"/><Relationship Id="rId176" Type="http://schemas.openxmlformats.org/officeDocument/2006/relationships/hyperlink" Target="https://colab.research.google.com/drive/1pilHikOcCva8vzgRIPy77UjPHU6nMbfW" TargetMode="External"/><Relationship Id="rId36" Type="http://schemas.openxmlformats.org/officeDocument/2006/relationships/hyperlink" Target="https://colab.research.google.com/drive/1eg_Gqf6vBOIu-883bGapxYgR1iCb4u-d?usp=sharing" TargetMode="External"/><Relationship Id="rId175" Type="http://schemas.openxmlformats.org/officeDocument/2006/relationships/hyperlink" Target="https://colab.research.google.com/drive/1aaCFjIwtNM2qTk8SgodsF_W31TdWCMUR?usp=sharing" TargetMode="External"/><Relationship Id="rId39" Type="http://schemas.openxmlformats.org/officeDocument/2006/relationships/hyperlink" Target="https://colab.research.google.com/drive/1YnTysV0wdznTjYmyboYcn905JjomzNkD?usp=sharing" TargetMode="External"/><Relationship Id="rId174" Type="http://schemas.openxmlformats.org/officeDocument/2006/relationships/hyperlink" Target="https://colab.research.google.com/drive/1zlj8BwdGwXfE8IRsnRiQ2oQhBDH9faKm?usp=sharing" TargetMode="External"/><Relationship Id="rId38" Type="http://schemas.openxmlformats.org/officeDocument/2006/relationships/hyperlink" Target="https://colab.research.google.com/drive/1_0_SFyMrVCFoKxvEfzhg5KbM80ZNTg2m?usp=sharing" TargetMode="External"/><Relationship Id="rId173" Type="http://schemas.openxmlformats.org/officeDocument/2006/relationships/hyperlink" Target="https://colab.research.google.com/drive/1MbQCf1Ri3PF4_Pc9A0bQ86bv-bpVkpeH?usp=sharing" TargetMode="External"/><Relationship Id="rId179" Type="http://schemas.openxmlformats.org/officeDocument/2006/relationships/hyperlink" Target="https://colab.research.google.com/drive/1PwxtEli3DzhxT_KvKU7uPTdHlrpRS3aS?usp=drive_link" TargetMode="External"/><Relationship Id="rId178" Type="http://schemas.openxmlformats.org/officeDocument/2006/relationships/hyperlink" Target="https://colab.research.google.com/drive/1guI8srcK1zXLE2OFJ8x0TI_uNPxIW16P?usp=sharing" TargetMode="External"/><Relationship Id="rId177" Type="http://schemas.openxmlformats.org/officeDocument/2006/relationships/hyperlink" Target="https://colab.research.google.com/drive/1m6FWHCV-YJcJ9JBiy2vr2XijidL4fBBk?usp=sharing" TargetMode="External"/><Relationship Id="rId20" Type="http://schemas.openxmlformats.org/officeDocument/2006/relationships/hyperlink" Target="https://colab.research.google.com/drive/1W35vMX2qWz1nptDeHw_opn3bNjm6AH_M?usp=sharing" TargetMode="External"/><Relationship Id="rId22" Type="http://schemas.openxmlformats.org/officeDocument/2006/relationships/hyperlink" Target="https://colab.research.google.com/drive/1ua-ROAonPbvim3u6ybBllPlJJbIWyQw5?usp=sharing" TargetMode="External"/><Relationship Id="rId21" Type="http://schemas.openxmlformats.org/officeDocument/2006/relationships/hyperlink" Target="https://colab.research.google.com/drive/1x-hIUmu4BG6_lc9YMxOXvTaLK4-7GNi8?usp=sharing" TargetMode="External"/><Relationship Id="rId24" Type="http://schemas.openxmlformats.org/officeDocument/2006/relationships/hyperlink" Target="https://colab.research.google.com/drive/1cWO-okMgYgkVD-6XdxfyGQJUYUq7K4YL?usp=sharing" TargetMode="External"/><Relationship Id="rId23" Type="http://schemas.openxmlformats.org/officeDocument/2006/relationships/hyperlink" Target="https://colab.research.google.com/drive/1onkmbZTmzKwaUrFkDFExdFdlo0az13F6?usp=sharing" TargetMode="External"/><Relationship Id="rId26" Type="http://schemas.openxmlformats.org/officeDocument/2006/relationships/hyperlink" Target="https://colab.research.google.com/drive/1_haqKHp8k24l7qdb2eHyVqlBwS0KkUwu?usp=sharing" TargetMode="External"/><Relationship Id="rId25" Type="http://schemas.openxmlformats.org/officeDocument/2006/relationships/hyperlink" Target="https://colab.research.google.com/drive/1XUHeVDAAvu_2s0LEcTRt1_35s96qieUk?usp=sharing" TargetMode="External"/><Relationship Id="rId28" Type="http://schemas.openxmlformats.org/officeDocument/2006/relationships/hyperlink" Target="https://colab.research.google.com/drive/1Ny-aOzhRb3K-xTiIMmU4WEBXdLd1d-6R?usp=sharing" TargetMode="External"/><Relationship Id="rId27" Type="http://schemas.openxmlformats.org/officeDocument/2006/relationships/hyperlink" Target="http://sanjeetkumar82137gmail.com" TargetMode="External"/><Relationship Id="rId29" Type="http://schemas.openxmlformats.org/officeDocument/2006/relationships/hyperlink" Target="https://colab.research.google.com/drive/1uIJ7yXR_IwW1K0JAA9BYSlCKx7ZnanBA?usp=sharing" TargetMode="External"/><Relationship Id="rId11" Type="http://schemas.openxmlformats.org/officeDocument/2006/relationships/hyperlink" Target="https://colab.research.google.com/drive/111yzithT6cQ0HUQLKb_h2UyNvwAi0__P?usp=sharing" TargetMode="External"/><Relationship Id="rId10" Type="http://schemas.openxmlformats.org/officeDocument/2006/relationships/hyperlink" Target="https://colab.research.google.com/drive/1MNOGfOhGZZCflo5fkk1M1wvO5MBkWCa4?usp=sharing" TargetMode="External"/><Relationship Id="rId13" Type="http://schemas.openxmlformats.org/officeDocument/2006/relationships/hyperlink" Target="https://colab.research.google.com/drive/1IEf4LhufBgrWpYU3wwdI601AtM1gyhsR?usp=sharing" TargetMode="External"/><Relationship Id="rId12" Type="http://schemas.openxmlformats.org/officeDocument/2006/relationships/hyperlink" Target="https://www.kimi.com/apiv2-files/sign-obj/kimi-fs%2Fokc%2Fhwbdxbzlurng4%2F.tmp%2F20260606T143814487235Z-browser_scroll_down-tmp-23f96d7d66604366a2823ef5c2903a5c.png?filename=20260606T143814487235Z-browser_scroll_down-tmp-23f96d7d66604366a2823ef5c2903a5c.png&amp;sig=hrndIbpJBowAKARX1XtPJTNg2hYiqorPkkW_bmisZhY=&amp;t=o&amp;etag=%22e063f7aa8a343e921b450b27c4886a44%22" TargetMode="External"/><Relationship Id="rId15" Type="http://schemas.openxmlformats.org/officeDocument/2006/relationships/hyperlink" Target="https://colab.research.google.com/drive/1GH8RaYY5sM28LlmCE-5lcwoFLL9KPntk?usp=sharing" TargetMode="External"/><Relationship Id="rId198" Type="http://schemas.openxmlformats.org/officeDocument/2006/relationships/hyperlink" Target="https://colab.research.google.com/drive/1NRm_mJYb36cw98wReHZjixfjKaqRFXIB?usp=drive_link" TargetMode="External"/><Relationship Id="rId14" Type="http://schemas.openxmlformats.org/officeDocument/2006/relationships/hyperlink" Target="https://colab.research.google.com/drive/1KlWYz20vqMllfy3mR8dgklQuD5Oyul72?usp=sharing" TargetMode="External"/><Relationship Id="rId197" Type="http://schemas.openxmlformats.org/officeDocument/2006/relationships/hyperlink" Target="https://colab.research.google.com/drive/1kiD9G25o5qmPhW61-mx44fSL9B6gVhP-?usp=sharing" TargetMode="External"/><Relationship Id="rId17" Type="http://schemas.openxmlformats.org/officeDocument/2006/relationships/hyperlink" Target="https://colab.research.google.com/drive/1HgUpZxdVrfsOf3voy0-dht0484Fd6cpU?usp=sharing" TargetMode="External"/><Relationship Id="rId196" Type="http://schemas.openxmlformats.org/officeDocument/2006/relationships/hyperlink" Target="https://colab.research.google.com/drive/1VJan4YGmtn-ozQaN5J_xmHrMlZcx4JZS" TargetMode="External"/><Relationship Id="rId16" Type="http://schemas.openxmlformats.org/officeDocument/2006/relationships/hyperlink" Target="https://colab.research.google.com/drive/13y6BgoKYJyQKE34hIfE0H05rL2M6mVRS?usp=sharing" TargetMode="External"/><Relationship Id="rId195" Type="http://schemas.openxmlformats.org/officeDocument/2006/relationships/hyperlink" Target="https://colab.research.google.com/drive/1884Jd_4cTdyhDD5n_l6pDbE2qiTUQtdH?usp=sharing" TargetMode="External"/><Relationship Id="rId19" Type="http://schemas.openxmlformats.org/officeDocument/2006/relationships/hyperlink" Target="https://colab.research.google.com/drive/1IaJAJc2PzOMBwH7c8N_hu8tK-izZqNhO?usp=sharing" TargetMode="External"/><Relationship Id="rId18" Type="http://schemas.openxmlformats.org/officeDocument/2006/relationships/hyperlink" Target="https://colab.research.google.com/drive/1gTT5JFZO8EiZlb3K1IQw9D0JgftUgzE3?usp=sharing" TargetMode="External"/><Relationship Id="rId199" Type="http://schemas.openxmlformats.org/officeDocument/2006/relationships/hyperlink" Target="https://colab.research.google.com/drive/1TQOdebXafwcQotgnNPnLP_qsIiuSMGQH?usp=sharing" TargetMode="External"/><Relationship Id="rId84" Type="http://schemas.openxmlformats.org/officeDocument/2006/relationships/hyperlink" Target="https://colab.research.google.com/drive/1qtrei_aOCPM0yhq4ZDRzbrhFmuSwRzYe?usp=sharing" TargetMode="External"/><Relationship Id="rId83" Type="http://schemas.openxmlformats.org/officeDocument/2006/relationships/hyperlink" Target="https://colab.research.google.com/drive/1JRtXjd-PnHNZ79QRK_JAr97UDkEZ9Rmk?usp=sharing" TargetMode="External"/><Relationship Id="rId86" Type="http://schemas.openxmlformats.org/officeDocument/2006/relationships/hyperlink" Target="https://colab.research.google.com/drive/1u48Ge7wfbJZTjEe2xJJFwmCoMBsbhtns?usp=sharing" TargetMode="External"/><Relationship Id="rId85" Type="http://schemas.openxmlformats.org/officeDocument/2006/relationships/hyperlink" Target="https://colab.research.google.com/drive/1fPAYlL_dBiEIj6IxSt222TSHt3g-5EKe?usp=sharing" TargetMode="External"/><Relationship Id="rId88" Type="http://schemas.openxmlformats.org/officeDocument/2006/relationships/hyperlink" Target="https://colab.research.google.com/drive/1ximwPjd_jjkYYdnwSwRmm07H7U6K4A2F?usp=sharing" TargetMode="External"/><Relationship Id="rId150" Type="http://schemas.openxmlformats.org/officeDocument/2006/relationships/hyperlink" Target="https://colab.research.google.com/drive/1D5AhryKQY6nxzqJUGThqeFVyQwERHJn8?usp=sharing" TargetMode="External"/><Relationship Id="rId87" Type="http://schemas.openxmlformats.org/officeDocument/2006/relationships/hyperlink" Target="https://colab.research.google.com/drive/1xU3Z20DKgQ7G4If9ZW8kg_5wJ5r-flOL?usp=sharing" TargetMode="External"/><Relationship Id="rId89" Type="http://schemas.openxmlformats.org/officeDocument/2006/relationships/hyperlink" Target="https://colab.research.google.com/drive/1KFd1wOF42-0LO_DaVEdZexjEGJtWg8oQ?usp=sharing" TargetMode="External"/><Relationship Id="rId80" Type="http://schemas.openxmlformats.org/officeDocument/2006/relationships/hyperlink" Target="https://colab.research.google.com/drive/1zn8cocq1pH7KZ3LIltB2bIOuZZMDjXDV?usp=sharing" TargetMode="External"/><Relationship Id="rId82" Type="http://schemas.openxmlformats.org/officeDocument/2006/relationships/hyperlink" Target="https://colab.research.google.com/drive/1gxlAeQbXQVBhdBS5U5iAn4QKuW1dJKmO?usp=sharing" TargetMode="External"/><Relationship Id="rId81" Type="http://schemas.openxmlformats.org/officeDocument/2006/relationships/hyperlink" Target="https://colab.research.google.com/drive/1KlG03bbIj_gq8leLzPIEx558iVbnmza6?usp=sharing" TargetMode="External"/><Relationship Id="rId1" Type="http://schemas.openxmlformats.org/officeDocument/2006/relationships/hyperlink" Target="https://colab.research.google.com/drive/110-WzL0SE8DlazI8Gbo6sCxpV9Vjuc_-?usp=sharing" TargetMode="External"/><Relationship Id="rId2" Type="http://schemas.openxmlformats.org/officeDocument/2006/relationships/hyperlink" Target="https://colab.research.google.com/drive/1j7Y4coPArrJNJUoiKyHOp2C7ulHpD06I?usp=sharing" TargetMode="External"/><Relationship Id="rId3" Type="http://schemas.openxmlformats.org/officeDocument/2006/relationships/hyperlink" Target="https://colab.research.google.com/drive/1H4HUGFM_DWFW4GKDAIXHREt_VrHxREhy?usp=sharing" TargetMode="External"/><Relationship Id="rId149" Type="http://schemas.openxmlformats.org/officeDocument/2006/relationships/hyperlink" Target="https://colab.research.google.com/drive/1ghDq1nXkTdgOwws7dHXQF-qytcmb72qP?usp=sharing" TargetMode="External"/><Relationship Id="rId4" Type="http://schemas.openxmlformats.org/officeDocument/2006/relationships/hyperlink" Target="https://colab.research.google.com/drive/1-pucxgA-o-cF20V9SC3gz5FXclCvMVuk?usp=sharing" TargetMode="External"/><Relationship Id="rId148" Type="http://schemas.openxmlformats.org/officeDocument/2006/relationships/hyperlink" Target="https://colab.research.google.com/drive/18zkAy9s3JLTaV-Amt7qDmWv3NcMj-Pcf?usp=sharing" TargetMode="External"/><Relationship Id="rId9" Type="http://schemas.openxmlformats.org/officeDocument/2006/relationships/hyperlink" Target="https://colab.research.google.com/drive/1m_u6bq7HTIN2WEzAzXvznZ1Yk34petcp?usp=sharing" TargetMode="External"/><Relationship Id="rId143" Type="http://schemas.openxmlformats.org/officeDocument/2006/relationships/hyperlink" Target="https://colab.research.google.com/drive/1NEGg2vTJrYuam2_w0TkZyU2anHbv3r_P?usp=sharing" TargetMode="External"/><Relationship Id="rId142" Type="http://schemas.openxmlformats.org/officeDocument/2006/relationships/hyperlink" Target="https://colab.research.google.com/drive/10VlMlI2tAPRjWaCXYpDfGDFaJlbFOa1M?usp=sharing" TargetMode="External"/><Relationship Id="rId141" Type="http://schemas.openxmlformats.org/officeDocument/2006/relationships/hyperlink" Target="https://colab.research.google.com/drive/1PFEV8AudKtUPFbUq9CHGFEgo-9a7Dfof?usp=sharing" TargetMode="External"/><Relationship Id="rId140" Type="http://schemas.openxmlformats.org/officeDocument/2006/relationships/hyperlink" Target="https://colab.research.google.com/drive/1vrYbyp0K-X3HHCJK4xcMZ07luzSesNYw" TargetMode="External"/><Relationship Id="rId5" Type="http://schemas.openxmlformats.org/officeDocument/2006/relationships/hyperlink" Target="https://colab.research.google.com/drive/1Fb5fobzOQ_J6oXX-UCAyHwfbvzB6XomE?usp=sharing" TargetMode="External"/><Relationship Id="rId147" Type="http://schemas.openxmlformats.org/officeDocument/2006/relationships/hyperlink" Target="https://colab.research.google.com/drive/1MuyoouiGxsUhF47IqfnmILybRzPm5IMj?usp=sharing" TargetMode="External"/><Relationship Id="rId6" Type="http://schemas.openxmlformats.org/officeDocument/2006/relationships/hyperlink" Target="https://colab.research.google.com/drive/141QztwmBKFnicLDchJ4sDuRKggJdiS_T" TargetMode="External"/><Relationship Id="rId146" Type="http://schemas.openxmlformats.org/officeDocument/2006/relationships/hyperlink" Target="https://colab.research.google.com/drive/1pwgzcLqng-ruyMZcBA75BI1QRxqGjXIj?usp=sharing" TargetMode="External"/><Relationship Id="rId7" Type="http://schemas.openxmlformats.org/officeDocument/2006/relationships/hyperlink" Target="https://colab.research.google.com/drive/1oWKT0nsfqsdhNKEqK92_rNr7N12Sz5A4?usp=sharing" TargetMode="External"/><Relationship Id="rId145" Type="http://schemas.openxmlformats.org/officeDocument/2006/relationships/hyperlink" Target="https://colab.research.google.com/drive/1iKy85axlGwOABQJbO0SJi4tqdqHIQyrN?usp=sharing" TargetMode="External"/><Relationship Id="rId8" Type="http://schemas.openxmlformats.org/officeDocument/2006/relationships/hyperlink" Target="https://drive.google.com/file/d/1p45ZJYE-9bdJ9AyOEZSnNC_shLMHSpe-/view?usp=sharing" TargetMode="External"/><Relationship Id="rId144" Type="http://schemas.openxmlformats.org/officeDocument/2006/relationships/hyperlink" Target="https://colab.research.google.com/drive/1thX6BK5h43XV3w_BLjaP09Z9MP7_oGRg?usp=sharing" TargetMode="External"/><Relationship Id="rId73" Type="http://schemas.openxmlformats.org/officeDocument/2006/relationships/hyperlink" Target="https://colab.research.google.com/drive/1lZFP3F3GnoqpxrJfeL-lO5a8mr9xloMp?usp=sharing" TargetMode="External"/><Relationship Id="rId72" Type="http://schemas.openxmlformats.org/officeDocument/2006/relationships/hyperlink" Target="https://colab.research.google.com/drive/1p-z9XCtdlhMpi_XZQ1NiroIrUCs8NyvY?usp=sharing" TargetMode="External"/><Relationship Id="rId75" Type="http://schemas.openxmlformats.org/officeDocument/2006/relationships/hyperlink" Target="https://colab.research.google.com/drive/1gnmgSOb0sTsXhhpCacLvPWrhgLen3R3W?usp=sharing" TargetMode="External"/><Relationship Id="rId74" Type="http://schemas.openxmlformats.org/officeDocument/2006/relationships/hyperlink" Target="https://colab.research.google.com/drive/1ZzgTuZtgA_1Y5NeNfx2rlad4nCw56BCf?usp=sharing" TargetMode="External"/><Relationship Id="rId77" Type="http://schemas.openxmlformats.org/officeDocument/2006/relationships/hyperlink" Target="https://colab.research.google.com/drive/1Qs76_Ga4q_0C-OgQXoMvhtqIE7mnqOGM" TargetMode="External"/><Relationship Id="rId76" Type="http://schemas.openxmlformats.org/officeDocument/2006/relationships/hyperlink" Target="https://colab.research.google.com/drive/1CVfAeEt3BB457s8BV2BvuHlFS1leCLFO?usp=sharing" TargetMode="External"/><Relationship Id="rId79" Type="http://schemas.openxmlformats.org/officeDocument/2006/relationships/hyperlink" Target="https://colab.research.google.com/drive/1orAwS4AkGa0AtUTPSiHYvVW7mqABFRiJ?usp=sharing" TargetMode="External"/><Relationship Id="rId78" Type="http://schemas.openxmlformats.org/officeDocument/2006/relationships/hyperlink" Target="https://colab.research.google.com/drive/1n6m2fJfwxBjPkK8rPS-tEnpNX9MjEVaa?usp=sharing" TargetMode="External"/><Relationship Id="rId71" Type="http://schemas.openxmlformats.org/officeDocument/2006/relationships/hyperlink" Target="https://colab.research.google.com/drive/1Rn2gTMJ2cY2C1mAxdWhILMldzHtFqScR?usp=sharing" TargetMode="External"/><Relationship Id="rId70" Type="http://schemas.openxmlformats.org/officeDocument/2006/relationships/hyperlink" Target="https://colab.research.google.com/drive/1rd-mh7S8X6-oZhU8GHVnEWRMdhbqRyBb?usp=sharing" TargetMode="External"/><Relationship Id="rId139" Type="http://schemas.openxmlformats.org/officeDocument/2006/relationships/hyperlink" Target="https://colab.research.google.com/drive/17OmoJ1w5-xSR3WqPfhoeGClWYFoP3JfH?usp=sharing" TargetMode="External"/><Relationship Id="rId138" Type="http://schemas.openxmlformats.org/officeDocument/2006/relationships/hyperlink" Target="https://colab.research.google.com/drive/1hf4y2CbPJew8pYNGqGQtX-_UhgHCzX_s?usp=sharing" TargetMode="External"/><Relationship Id="rId137" Type="http://schemas.openxmlformats.org/officeDocument/2006/relationships/hyperlink" Target="https://colab.research.google.com/drive/1m1Rao1-Eh6gPXRZB4K5_rwamTTxhzo92?usp=sharing" TargetMode="External"/><Relationship Id="rId132" Type="http://schemas.openxmlformats.org/officeDocument/2006/relationships/hyperlink" Target="https://colab.research.google.com/drive/1B1zN5Ha6GZDiwgShWYHagOPFEOUPwQ6f?usp=sharing" TargetMode="External"/><Relationship Id="rId131" Type="http://schemas.openxmlformats.org/officeDocument/2006/relationships/hyperlink" Target="https://colab.research.google.com/drive/1ZEvEypxw5Sjp_7C4OFNlNodHAy6kqAeC?usp=sharing" TargetMode="External"/><Relationship Id="rId130" Type="http://schemas.openxmlformats.org/officeDocument/2006/relationships/hyperlink" Target="https://colab.research.google.com/drive/1EsEijLyaXAmAyyqKbcU0-TE5fuqD72PP?usp=sharing" TargetMode="External"/><Relationship Id="rId136" Type="http://schemas.openxmlformats.org/officeDocument/2006/relationships/hyperlink" Target="https://colab.research.google.com/drive/1TMEWLkX_CKyG5EeCCwjXskLidoTfA4a9?usp=sharing" TargetMode="External"/><Relationship Id="rId135" Type="http://schemas.openxmlformats.org/officeDocument/2006/relationships/hyperlink" Target="https://colab.research.google.com/drive/1l_T8Cr2QP50_IPgZKYdtg-qroEDY0bPc?usp=sharing" TargetMode="External"/><Relationship Id="rId134" Type="http://schemas.openxmlformats.org/officeDocument/2006/relationships/hyperlink" Target="https://colab.research.google.com/drive/1Kvol5eI6yEatT1WsLsEy93SrwxBykZQS?usp=sharing" TargetMode="External"/><Relationship Id="rId133" Type="http://schemas.openxmlformats.org/officeDocument/2006/relationships/hyperlink" Target="https://colab.research.google.com/drive/1wydHAZepQmdKfPw3HyrYnMNOw-L79onL?usp=sharing" TargetMode="External"/><Relationship Id="rId62" Type="http://schemas.openxmlformats.org/officeDocument/2006/relationships/hyperlink" Target="https://colab.research.google.com/drive/1SjH2YZapDq2qvybEYlErbeBIKJ44TZTt?usp=sharing" TargetMode="External"/><Relationship Id="rId61" Type="http://schemas.openxmlformats.org/officeDocument/2006/relationships/hyperlink" Target="https://colab.research.google.com/drive/1tFf6z6WQR3X0ZMAje_htuv1ipeNmLfdV?usp=sharing" TargetMode="External"/><Relationship Id="rId64" Type="http://schemas.openxmlformats.org/officeDocument/2006/relationships/hyperlink" Target="https://colab.research.google.com/drive/1TMEWLkX_CKyG5EeCCwjXskLidoTfA4a9?usp=sharing" TargetMode="External"/><Relationship Id="rId63" Type="http://schemas.openxmlformats.org/officeDocument/2006/relationships/hyperlink" Target="https://colab.research.google.com/drive/1uZLiaIyVT0iU_Kw2RM4ApYY4kOO3k7sR?usp=sharing" TargetMode="External"/><Relationship Id="rId66" Type="http://schemas.openxmlformats.org/officeDocument/2006/relationships/hyperlink" Target="https://colab.research.google.com/drive/1AKc16prgPfWUUmVSLBVWcl6Btl4AN5on?usp=sharing" TargetMode="External"/><Relationship Id="rId172" Type="http://schemas.openxmlformats.org/officeDocument/2006/relationships/hyperlink" Target="https://colab.research.google.com/drive/1djjyQ3gzT_yIyxKenXP5deY91k3TB0Iw?usp=sharing" TargetMode="External"/><Relationship Id="rId65" Type="http://schemas.openxmlformats.org/officeDocument/2006/relationships/hyperlink" Target="https://colab.research.google.com/drive/1o1ROkagAcLo6tZWkLw74P0RK-S8pfHkN" TargetMode="External"/><Relationship Id="rId171" Type="http://schemas.openxmlformats.org/officeDocument/2006/relationships/hyperlink" Target="https://colab.research.google.com/drive/1m0pK-ILxfER-PCVCKa5Ky4F-vpOtDvOr?usp=sharing" TargetMode="External"/><Relationship Id="rId68" Type="http://schemas.openxmlformats.org/officeDocument/2006/relationships/hyperlink" Target="https://colab.research.google.com/drive/1brxjt9h0EieR5EJoPVhKhoKVrcP2rHpL?usp=sharing" TargetMode="External"/><Relationship Id="rId170" Type="http://schemas.openxmlformats.org/officeDocument/2006/relationships/hyperlink" Target="https://colab.research.google.com/drive/1K4cV2CuB4v3FA7Lltv3aXBxCvrugA_4-?usp=sharing" TargetMode="External"/><Relationship Id="rId67" Type="http://schemas.openxmlformats.org/officeDocument/2006/relationships/hyperlink" Target="https://colab.research.google.com/drive/1YgS684Nr5O_IiRm9dq_OJeBEOqSrAkQ7?usp=sharing" TargetMode="External"/><Relationship Id="rId60" Type="http://schemas.openxmlformats.org/officeDocument/2006/relationships/hyperlink" Target="https://colab.research.google.com/drive/1I2tLRZdZSXbXphB2KLY2plZPNL1Lofeb?usp=drive_link" TargetMode="External"/><Relationship Id="rId165" Type="http://schemas.openxmlformats.org/officeDocument/2006/relationships/hyperlink" Target="https://colab.research.google.com/drive/1p9jn4p9T3SEBfz4JXJRygn8ngILuvj2G?usp=sharing" TargetMode="External"/><Relationship Id="rId69" Type="http://schemas.openxmlformats.org/officeDocument/2006/relationships/hyperlink" Target="https://colab.research.google.com/drive/1TMEWLkX_CKyG5EeCCwjXskLidoTfA4a9?usp=sharing" TargetMode="External"/><Relationship Id="rId164" Type="http://schemas.openxmlformats.org/officeDocument/2006/relationships/hyperlink" Target="https://colab.research.google.com/drive/152syTxmbapJPEaPLYpl-9rx9uwZK4OQy" TargetMode="External"/><Relationship Id="rId163" Type="http://schemas.openxmlformats.org/officeDocument/2006/relationships/hyperlink" Target="https://colab.research.google.com/drive/1GqTq9oWYt4XS50qYomMSckWtZ3_gc6F9?usp=sharing" TargetMode="External"/><Relationship Id="rId162" Type="http://schemas.openxmlformats.org/officeDocument/2006/relationships/hyperlink" Target="https://colab.research.google.com/drive/1iW-R2o6tgegjQh1HivTM5TUafzfA4tSW?usp=sharing" TargetMode="External"/><Relationship Id="rId169" Type="http://schemas.openxmlformats.org/officeDocument/2006/relationships/hyperlink" Target="https://colab.research.google.com/drive/1MTSDi22tern6xJ64RpJ-gIG30GL7F1pq?usp=sharing" TargetMode="External"/><Relationship Id="rId168" Type="http://schemas.openxmlformats.org/officeDocument/2006/relationships/hyperlink" Target="https://colab.research.google.com/drive/1vvD4_P4e5z1wKxoZAWAH2TuMaadrENfA?usp=sharing" TargetMode="External"/><Relationship Id="rId167" Type="http://schemas.openxmlformats.org/officeDocument/2006/relationships/hyperlink" Target="https://colab.research.google.com/drive/12ShcawtebViYm-oT7hz-nrg9ZUDHKUay?usp=sharing" TargetMode="External"/><Relationship Id="rId166" Type="http://schemas.openxmlformats.org/officeDocument/2006/relationships/hyperlink" Target="https://colab.research.google.com/drive/156EFcO189ekzm7J3IB0h_eDOQ0mT5XSA?usp=sharing" TargetMode="External"/><Relationship Id="rId51" Type="http://schemas.openxmlformats.org/officeDocument/2006/relationships/hyperlink" Target="https://colab.research.google.com/drive/1vx4kgoebzKVcFdSEAAS2XU6wL45Vg7DB?usp=sharing" TargetMode="External"/><Relationship Id="rId50" Type="http://schemas.openxmlformats.org/officeDocument/2006/relationships/hyperlink" Target="https://colab.research.google.com/drive/1aBmbQc0Dnl2J0RsTJ2xj6nwsnKM7ZgOp?usp=sharing" TargetMode="External"/><Relationship Id="rId53" Type="http://schemas.openxmlformats.org/officeDocument/2006/relationships/hyperlink" Target="https://colab.research.google.com/drive/1t2PEnl8k7q1z3rksc6gHVUG8ub-SbKcm?usp=sharing" TargetMode="External"/><Relationship Id="rId52" Type="http://schemas.openxmlformats.org/officeDocument/2006/relationships/hyperlink" Target="https://colab.research.google.com/drive/1ySAS4Cm5qVodlk-riWOTyFNIbcSBx3qU?usp=sharing" TargetMode="External"/><Relationship Id="rId55" Type="http://schemas.openxmlformats.org/officeDocument/2006/relationships/hyperlink" Target="https://colab.research.google.com/drive/1O-BHy0kE-8iKnKOMTQo0kBScQUKIVX_h?usp=sharing" TargetMode="External"/><Relationship Id="rId161" Type="http://schemas.openxmlformats.org/officeDocument/2006/relationships/hyperlink" Target="https://colab.research.google.com/drive/1FrhdlzMss9FX1YMu3QbMq-jp6VTpIO79?usp=sharing" TargetMode="External"/><Relationship Id="rId54" Type="http://schemas.openxmlformats.org/officeDocument/2006/relationships/hyperlink" Target="https://colab.research.google.com/drive/1HHl6kankxQmIZcLy9jHbz3dLcvQii2FR?usp=sharing" TargetMode="External"/><Relationship Id="rId160" Type="http://schemas.openxmlformats.org/officeDocument/2006/relationships/hyperlink" Target="https://colab.research.google.com/drive/1BYEcQIS2DLaTbz89KQmE7vH_NaWPTjDd?usp=sharing" TargetMode="External"/><Relationship Id="rId57" Type="http://schemas.openxmlformats.org/officeDocument/2006/relationships/hyperlink" Target="https://colab.research.google.com/drive/10zWHcZLhoKkFbe4Jx8dAqv0TfN4dRD4P?usp=sharing" TargetMode="External"/><Relationship Id="rId56" Type="http://schemas.openxmlformats.org/officeDocument/2006/relationships/hyperlink" Target="https://colab.research.google.com/drive/1XD7a7q1ZCxSpC8bK4noQrX9qt83m7Zjc?usp=sharing" TargetMode="External"/><Relationship Id="rId159" Type="http://schemas.openxmlformats.org/officeDocument/2006/relationships/hyperlink" Target="https://colab.research.google.com/drive/12r06o2GOqJxRjPXn1Z6DE7IBRscOCFII?usp=sharing" TargetMode="External"/><Relationship Id="rId59" Type="http://schemas.openxmlformats.org/officeDocument/2006/relationships/hyperlink" Target="https://colab.research.google.com/drive/1Jg-_qJtV15dCOjUiAS66e0c1zUZMmPdu?usp=sharing" TargetMode="External"/><Relationship Id="rId154" Type="http://schemas.openxmlformats.org/officeDocument/2006/relationships/hyperlink" Target="https://colab.research.google.com/drive/1JHRYV1Zne8DX39cUvGkgojYIOld9_hIi?usp=sharing" TargetMode="External"/><Relationship Id="rId58" Type="http://schemas.openxmlformats.org/officeDocument/2006/relationships/hyperlink" Target="https://colab.research.google.com/drive/1-xFx6NqZPHVUUKtR8zrPGof2wgNpI3Wr?usp=sharing" TargetMode="External"/><Relationship Id="rId153" Type="http://schemas.openxmlformats.org/officeDocument/2006/relationships/hyperlink" Target="https://colab.research.google.com/drive/1lswzcewjWEBmWSj5JckSuqSp-W2a7MMH?usp=sharing" TargetMode="External"/><Relationship Id="rId152" Type="http://schemas.openxmlformats.org/officeDocument/2006/relationships/hyperlink" Target="https://colab.research.google.com/drive/1u07BcrLx6w28WaCLWKo6qelNyEridk4-?usp=sharing" TargetMode="External"/><Relationship Id="rId151" Type="http://schemas.openxmlformats.org/officeDocument/2006/relationships/hyperlink" Target="https://colab.research.google.com/drive/1bJBQZWJdnxsjkiRObboV-S4PLpY5x0_e?usp=sharing" TargetMode="External"/><Relationship Id="rId158" Type="http://schemas.openxmlformats.org/officeDocument/2006/relationships/hyperlink" Target="https://colab.research.google.com/drive/19x-H46B4ZsPQi5nNnTLsT2csHdRiSFFc?usp=sharing" TargetMode="External"/><Relationship Id="rId157" Type="http://schemas.openxmlformats.org/officeDocument/2006/relationships/hyperlink" Target="https://colab.research.google.com/drive/1ETC8trSpn_emKztTac5n43OA-Tiibx-n?usp=sharing" TargetMode="External"/><Relationship Id="rId156" Type="http://schemas.openxmlformats.org/officeDocument/2006/relationships/hyperlink" Target="https://colab.research.google.com/drive/1mp0n2qJcLVe3_OUXB_o1RYExTQ9qihCD?authuser=4" TargetMode="External"/><Relationship Id="rId155" Type="http://schemas.openxmlformats.org/officeDocument/2006/relationships/hyperlink" Target="https://colab.research.google.com/drive/1AhptCHBVRiaFVYc6KRS0H-xi_seK7jmj?usp=sharing" TargetMode="External"/><Relationship Id="rId107" Type="http://schemas.openxmlformats.org/officeDocument/2006/relationships/hyperlink" Target="https://colab.research.google.com/drive/1_AZPYPrz1MMZjHHG3Cl7TwLDfue_WqWD?authuser=2" TargetMode="External"/><Relationship Id="rId106" Type="http://schemas.openxmlformats.org/officeDocument/2006/relationships/hyperlink" Target="https://colab.research.google.com/drive/1oaxQQ05EA1ne5-T-3s2ijt1kud2y9qwY" TargetMode="External"/><Relationship Id="rId105" Type="http://schemas.openxmlformats.org/officeDocument/2006/relationships/hyperlink" Target="https://colab.research.google.com/drive/1TMEWLkX_CKyG5EeCCwjXskLidoTfA4a9?usp=sharing" TargetMode="External"/><Relationship Id="rId104" Type="http://schemas.openxmlformats.org/officeDocument/2006/relationships/hyperlink" Target="https://colab.research.google.com/drive/17wdF-EWz78BMr8gIWa_0QtE6iOfhHL5V?usp=sharing" TargetMode="External"/><Relationship Id="rId109" Type="http://schemas.openxmlformats.org/officeDocument/2006/relationships/hyperlink" Target="https://colab.research.google.com/drive/1vJHLcznf3Ja7t-mA8kvhLfl83D14QzQA?usp=sharing" TargetMode="External"/><Relationship Id="rId108" Type="http://schemas.openxmlformats.org/officeDocument/2006/relationships/hyperlink" Target="https://colab.research.google.com/drive/1dOl-YGpR41X5Gre2Dt0ER9lqS2xp6sEC?usp=sharing" TargetMode="External"/><Relationship Id="rId103" Type="http://schemas.openxmlformats.org/officeDocument/2006/relationships/hyperlink" Target="https://colab.research.google.com/drive/1tl34YIHJfYsIJSXIAz1hgcoHskwhtol0?usp=sharing" TargetMode="External"/><Relationship Id="rId102" Type="http://schemas.openxmlformats.org/officeDocument/2006/relationships/hyperlink" Target="https://colab.research.google.com/drive/1EDaUVPvY7rUn41crh4xKem9zazwy4hUU?usp=sharing" TargetMode="External"/><Relationship Id="rId101" Type="http://schemas.openxmlformats.org/officeDocument/2006/relationships/hyperlink" Target="https://colab.research.google.com/drive/1szudZ18hZAaC9uH0hJSMixCvw_S8wHdq?usp=sharing" TargetMode="External"/><Relationship Id="rId100" Type="http://schemas.openxmlformats.org/officeDocument/2006/relationships/hyperlink" Target="https://colab.research.google.com/drive/1TMEWLkX_CKyG5EeCCwjXskLidoTfA4a9" TargetMode="External"/><Relationship Id="rId129" Type="http://schemas.openxmlformats.org/officeDocument/2006/relationships/hyperlink" Target="https://colab.research.google.com/drive/1849xsD1wd3x0CKvBZ8F4xIfsLTlQ2-Y2" TargetMode="External"/><Relationship Id="rId128" Type="http://schemas.openxmlformats.org/officeDocument/2006/relationships/hyperlink" Target="https://colab.research.google.com/drive/1_E2KHWgHxWWQtmoqN7I3UKofQXHpTuTf?usp=sharing" TargetMode="External"/><Relationship Id="rId127" Type="http://schemas.openxmlformats.org/officeDocument/2006/relationships/hyperlink" Target="https://colab.research.google.com/drive/1KuML6-Xm1tw0N_VkcU-9HCFX6Ta2dOXv?usp=sharing" TargetMode="External"/><Relationship Id="rId126" Type="http://schemas.openxmlformats.org/officeDocument/2006/relationships/hyperlink" Target="https://colab.research.google.com/drive/1TMEWLkX_CKyG5EeCCwjXskLidoTfA4a9" TargetMode="External"/><Relationship Id="rId121" Type="http://schemas.openxmlformats.org/officeDocument/2006/relationships/hyperlink" Target="https://colab.research.google.com/drive/1rGBjNWn1PU_jcgR4JvBp6gmv_DKoEmwC?usp=sharing" TargetMode="External"/><Relationship Id="rId120" Type="http://schemas.openxmlformats.org/officeDocument/2006/relationships/hyperlink" Target="https://colab.research.google.com/drive/11IaFifipxBEq_INK4TEuyr62PYpNukVv?usp=sharing" TargetMode="External"/><Relationship Id="rId125" Type="http://schemas.openxmlformats.org/officeDocument/2006/relationships/hyperlink" Target="https://colab.research.google.com/drive/1V7wPQA8nz066a915iD-NyUnXdxe68lef" TargetMode="External"/><Relationship Id="rId124" Type="http://schemas.openxmlformats.org/officeDocument/2006/relationships/hyperlink" Target="https://colab.research.google.com/drive/1wInKTfUveJNoHc3E9LuX6tTXuYcAjoX9?usp=sharing" TargetMode="External"/><Relationship Id="rId123" Type="http://schemas.openxmlformats.org/officeDocument/2006/relationships/hyperlink" Target="https://colab.research.google.com/drive/1E0W1lJljY3rizADV6d6QopE9_MQ841qP?usp=sharing" TargetMode="External"/><Relationship Id="rId122" Type="http://schemas.openxmlformats.org/officeDocument/2006/relationships/hyperlink" Target="https://colab.research.google.com/drive/1dtjvCbj1px8aDUIf0JI4yEYKVOJdvb7r?usp=sharing" TargetMode="External"/><Relationship Id="rId95" Type="http://schemas.openxmlformats.org/officeDocument/2006/relationships/hyperlink" Target="https://colab.research.google.com/drive/1TMEWLkX_CKyG5EeCCwjXskLidoTfA4a9?usp=sharing" TargetMode="External"/><Relationship Id="rId94" Type="http://schemas.openxmlformats.org/officeDocument/2006/relationships/hyperlink" Target="https://colab.research.google.com/drive/1PNZ9RFMN6Nk442umomHO4Ot0cI7WdLIX?usp=sharing" TargetMode="External"/><Relationship Id="rId97" Type="http://schemas.openxmlformats.org/officeDocument/2006/relationships/hyperlink" Target="https://colab.research.google.com/drive/168MYIeW8HL5TW5Iq0xYRASzy1y8q-jAA?usp=sharing" TargetMode="External"/><Relationship Id="rId96" Type="http://schemas.openxmlformats.org/officeDocument/2006/relationships/hyperlink" Target="https://colab.research.google.com/drive/1mpW85dU1eu9wZJGC1CPueEYD8eLCiPnz" TargetMode="External"/><Relationship Id="rId99" Type="http://schemas.openxmlformats.org/officeDocument/2006/relationships/hyperlink" Target="https://colab.research.google.com/drive/1dpqsIOg5-sOu4FNxSSWrmrL-iz2NtWIF?usp=sharing" TargetMode="External"/><Relationship Id="rId98" Type="http://schemas.openxmlformats.org/officeDocument/2006/relationships/hyperlink" Target="https://colab.research.google.com/drive/1eOEoWUW86quiYNVflG2ulH0OgCMEEVJ8?usp=sharing" TargetMode="External"/><Relationship Id="rId91" Type="http://schemas.openxmlformats.org/officeDocument/2006/relationships/hyperlink" Target="https://colab.research.google.com/drive/1CDyR4uwm48YHGhcrE1bzFT8icOYFa3h9?usp=sharing" TargetMode="External"/><Relationship Id="rId90" Type="http://schemas.openxmlformats.org/officeDocument/2006/relationships/hyperlink" Target="https://colab.research.google.com/drive/1H4R-Zfu1lfERG8RfQe7fbwJY2FV0FBDW?usp=sharing" TargetMode="External"/><Relationship Id="rId93" Type="http://schemas.openxmlformats.org/officeDocument/2006/relationships/hyperlink" Target="https://colab.research.google.com/drive/1t9lbmiyyBqt8BTebRQCaG1b7k1L1N0Bq" TargetMode="External"/><Relationship Id="rId92" Type="http://schemas.openxmlformats.org/officeDocument/2006/relationships/hyperlink" Target="https://colab.research.google.com/drive/1IkLhdSYbCIbCOSREASd4eD20ipBu-dQG?usp=sharing" TargetMode="External"/><Relationship Id="rId118" Type="http://schemas.openxmlformats.org/officeDocument/2006/relationships/hyperlink" Target="https://colab.research.google.com/drive/15xuyt8YS9NGX24j0NMgCBzHU6lTBRRCd?usp=sharing" TargetMode="External"/><Relationship Id="rId117" Type="http://schemas.openxmlformats.org/officeDocument/2006/relationships/hyperlink" Target="https://colab.research.google.com/drive/10UTCZZzJdLgRrWjlk-3X0TViTO8VR_C6?usp=sharing" TargetMode="External"/><Relationship Id="rId116" Type="http://schemas.openxmlformats.org/officeDocument/2006/relationships/hyperlink" Target="https://colab.research.google.com/drive/1yShQ2CHgo1khkJ6Fl_dRrW-K1h9xG6Hw?usp=sharing" TargetMode="External"/><Relationship Id="rId115" Type="http://schemas.openxmlformats.org/officeDocument/2006/relationships/hyperlink" Target="https://colab.research.google.com/drive/1ET-iapdf_lrcnYhjDqtfSIfF4GNks5fF?usp=sharing" TargetMode="External"/><Relationship Id="rId119" Type="http://schemas.openxmlformats.org/officeDocument/2006/relationships/hyperlink" Target="https://colab.research.google.com/drive/1CkWhMrf6cMTl6zokqgkHiH3AyZOwm1Cg?usp=sharing" TargetMode="External"/><Relationship Id="rId110" Type="http://schemas.openxmlformats.org/officeDocument/2006/relationships/hyperlink" Target="https://colab.research.google.com/drive/1WWnZpEtwQfVmCfUb6wudSTLJk6hoc9rE?usp=sharing" TargetMode="External"/><Relationship Id="rId114" Type="http://schemas.openxmlformats.org/officeDocument/2006/relationships/hyperlink" Target="https://colab.research.google.com/drive/1fmSnvS4jtP6stuxBiO2kGMza5Y9ikn-G?usp=sharing" TargetMode="External"/><Relationship Id="rId113" Type="http://schemas.openxmlformats.org/officeDocument/2006/relationships/hyperlink" Target="https://colab.research.google.com/drive/1HxGjp68bDlxhnv8NJek8qezTyJRbATps?usp=sharing" TargetMode="External"/><Relationship Id="rId112" Type="http://schemas.openxmlformats.org/officeDocument/2006/relationships/hyperlink" Target="https://colab.research.google.com/drive/162gCmj-O_9IN-oxHQ1UY1B4i70v0xauC?usp=sharing" TargetMode="External"/><Relationship Id="rId111" Type="http://schemas.openxmlformats.org/officeDocument/2006/relationships/hyperlink" Target="https://colab.research.google.com/drive/1GySPgr3GrQzMUL2t-WXfgHoVOqPcADyB?usp=sharing" TargetMode="External"/><Relationship Id="rId206" Type="http://schemas.openxmlformats.org/officeDocument/2006/relationships/drawing" Target="../drawings/drawing2.xml"/><Relationship Id="rId205" Type="http://schemas.openxmlformats.org/officeDocument/2006/relationships/hyperlink" Target="https://colab.research.google.com/drive/1tHsVdXThhBOTSAF78qJrihu3FJAVBxR3?usp=sharing" TargetMode="External"/><Relationship Id="rId204" Type="http://schemas.openxmlformats.org/officeDocument/2006/relationships/hyperlink" Target="https://colab.research.google.com/drive/1eZD7o26HvqXq_J_tCpHMKlkFJ71lr7F9" TargetMode="External"/><Relationship Id="rId203" Type="http://schemas.openxmlformats.org/officeDocument/2006/relationships/hyperlink" Target="https://colab.research.google.com/drive/18pWm0A4rfdj5VZvxdqBGOwNvj-ouE3kf?usp=sharing" TargetMode="External"/><Relationship Id="rId208" Type="http://schemas.openxmlformats.org/officeDocument/2006/relationships/table" Target="../tables/table2.xml"/><Relationship Id="rId202" Type="http://schemas.openxmlformats.org/officeDocument/2006/relationships/hyperlink" Target="https://colab.research.google.com/drive/1vLGB9RoKTuiS-Gr8xhq3M1NMrZVuGOWI?usp=sharing" TargetMode="External"/><Relationship Id="rId201" Type="http://schemas.openxmlformats.org/officeDocument/2006/relationships/hyperlink" Target="https://colab.research.google.com/drive/1jDE4S7cQe3d2WXO0Dr83Wgcnx27gYwUx?usp=sharing" TargetMode="External"/><Relationship Id="rId200" Type="http://schemas.openxmlformats.org/officeDocument/2006/relationships/hyperlink" Target="https://colab.research.google.com/drive/1FTUMiQRHiwoQGeDy2RbW6pR1R1yay60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27.75"/>
    <col customWidth="1" min="11" max="11" width="36.0"/>
    <col customWidth="1" min="12"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46167.55343922453</v>
      </c>
      <c r="B2" s="3" t="s">
        <v>12</v>
      </c>
      <c r="C2" s="3" t="s">
        <v>13</v>
      </c>
      <c r="D2" s="3" t="str">
        <f t="shared" ref="D2:D1113" si="1">"AE-"&amp;TEXT(ROW()-1,"0000")</f>
        <v>AE-0001</v>
      </c>
      <c r="E2" s="3">
        <f t="array" ref="E2">IFERROR(XLOOKUP(D2,'Astronomy 101 Week 1 Quiz (Resp'!F:F,'Astronomy 101 Week 1 Quiz (Resp'!E:E),0)</f>
        <v>0</v>
      </c>
      <c r="F2" s="3" t="s">
        <v>14</v>
      </c>
      <c r="G2" s="3"/>
      <c r="H2" s="3">
        <v>7.439112615E9</v>
      </c>
      <c r="I2" s="3" t="s">
        <v>15</v>
      </c>
      <c r="J2" s="3" t="s">
        <v>16</v>
      </c>
      <c r="K2" s="3" t="s">
        <v>17</v>
      </c>
      <c r="L2" s="4"/>
    </row>
    <row r="3" ht="22.5" customHeight="1">
      <c r="A3" s="2">
        <v>46167.55847193287</v>
      </c>
      <c r="B3" s="3" t="s">
        <v>18</v>
      </c>
      <c r="C3" s="3" t="s">
        <v>19</v>
      </c>
      <c r="D3" s="3" t="str">
        <f t="shared" si="1"/>
        <v>AE-0002</v>
      </c>
      <c r="E3" s="3">
        <f t="array" ref="E3">IFERROR(XLOOKUP(D3,'Astronomy 101 Week 1 Quiz (Resp'!F:F,'Astronomy 101 Week 1 Quiz (Resp'!E:E),0)</f>
        <v>0</v>
      </c>
      <c r="F3" s="3" t="s">
        <v>14</v>
      </c>
      <c r="G3" s="3"/>
      <c r="H3" s="3">
        <v>9.555039015E9</v>
      </c>
      <c r="I3" s="3" t="s">
        <v>20</v>
      </c>
      <c r="J3" s="3" t="s">
        <v>16</v>
      </c>
      <c r="K3" s="3" t="s">
        <v>21</v>
      </c>
      <c r="L3" s="4"/>
    </row>
    <row r="4" ht="22.5" customHeight="1">
      <c r="A4" s="2">
        <v>46167.558610381944</v>
      </c>
      <c r="B4" s="3" t="s">
        <v>22</v>
      </c>
      <c r="C4" s="3" t="s">
        <v>23</v>
      </c>
      <c r="D4" s="3" t="str">
        <f t="shared" si="1"/>
        <v>AE-0003</v>
      </c>
      <c r="E4" s="3">
        <f t="array" ref="E4">IFERROR(XLOOKUP(D4,'Astronomy 101 Week 1 Quiz (Resp'!F:F,'Astronomy 101 Week 1 Quiz (Resp'!E:E),0)</f>
        <v>0</v>
      </c>
      <c r="F4" s="3" t="s">
        <v>14</v>
      </c>
      <c r="G4" s="3"/>
      <c r="H4" s="3">
        <v>6.000568353E9</v>
      </c>
      <c r="I4" s="3" t="s">
        <v>24</v>
      </c>
      <c r="J4" s="3" t="s">
        <v>16</v>
      </c>
      <c r="K4" s="3" t="s">
        <v>25</v>
      </c>
      <c r="L4" s="3" t="s">
        <v>26</v>
      </c>
    </row>
    <row r="5" ht="22.5" customHeight="1">
      <c r="A5" s="2">
        <v>46167.567176666664</v>
      </c>
      <c r="B5" s="3" t="s">
        <v>27</v>
      </c>
      <c r="C5" s="3" t="s">
        <v>28</v>
      </c>
      <c r="D5" s="3" t="str">
        <f t="shared" si="1"/>
        <v>AE-0004</v>
      </c>
      <c r="E5" s="3">
        <f t="array" ref="E5">IFERROR(XLOOKUP(D5,'Astronomy 101 Week 1 Quiz (Resp'!F:F,'Astronomy 101 Week 1 Quiz (Resp'!E:E),0)</f>
        <v>44</v>
      </c>
      <c r="F5" s="3" t="s">
        <v>14</v>
      </c>
      <c r="G5" s="3"/>
      <c r="H5" s="3">
        <v>7.575842118E9</v>
      </c>
      <c r="I5" s="3" t="s">
        <v>29</v>
      </c>
      <c r="J5" s="3" t="s">
        <v>16</v>
      </c>
      <c r="K5" s="3" t="s">
        <v>17</v>
      </c>
      <c r="L5" s="4"/>
    </row>
    <row r="6" ht="22.5" customHeight="1">
      <c r="A6" s="2">
        <v>46167.57076989583</v>
      </c>
      <c r="B6" s="3" t="s">
        <v>30</v>
      </c>
      <c r="C6" s="3" t="s">
        <v>31</v>
      </c>
      <c r="D6" s="3" t="str">
        <f t="shared" si="1"/>
        <v>AE-0005</v>
      </c>
      <c r="E6" s="3">
        <f t="array" ref="E6">IFERROR(XLOOKUP(D6,'Astronomy 101 Week 1 Quiz (Resp'!F:F,'Astronomy 101 Week 1 Quiz (Resp'!E:E),0)</f>
        <v>34</v>
      </c>
      <c r="F6" s="3" t="s">
        <v>14</v>
      </c>
      <c r="G6" s="3"/>
      <c r="H6" s="3">
        <v>8.088291584E9</v>
      </c>
      <c r="I6" s="3" t="s">
        <v>32</v>
      </c>
      <c r="J6" s="3" t="s">
        <v>33</v>
      </c>
      <c r="K6" s="3" t="s">
        <v>17</v>
      </c>
      <c r="L6" s="3" t="s">
        <v>34</v>
      </c>
    </row>
    <row r="7" ht="22.5" customHeight="1">
      <c r="A7" s="2">
        <v>46167.57240498843</v>
      </c>
      <c r="B7" s="3" t="s">
        <v>35</v>
      </c>
      <c r="C7" s="3" t="s">
        <v>36</v>
      </c>
      <c r="D7" s="3" t="str">
        <f t="shared" si="1"/>
        <v>AE-0006</v>
      </c>
      <c r="E7" s="3">
        <f t="array" ref="E7">IFERROR(XLOOKUP(D7,'Astronomy 101 Week 1 Quiz (Resp'!F:F,'Astronomy 101 Week 1 Quiz (Resp'!E:E),0)</f>
        <v>0</v>
      </c>
      <c r="F7" s="3" t="s">
        <v>14</v>
      </c>
      <c r="G7" s="3"/>
      <c r="H7" s="3">
        <v>9.999084219E9</v>
      </c>
      <c r="I7" s="3" t="s">
        <v>29</v>
      </c>
      <c r="J7" s="3" t="s">
        <v>33</v>
      </c>
      <c r="K7" s="3" t="s">
        <v>21</v>
      </c>
      <c r="L7" s="4"/>
    </row>
    <row r="8" ht="22.5" customHeight="1">
      <c r="A8" s="2">
        <v>46167.573553912036</v>
      </c>
      <c r="B8" s="3" t="s">
        <v>37</v>
      </c>
      <c r="C8" s="3" t="s">
        <v>38</v>
      </c>
      <c r="D8" s="3" t="str">
        <f t="shared" si="1"/>
        <v>AE-0007</v>
      </c>
      <c r="E8" s="3">
        <f t="array" ref="E8">IFERROR(XLOOKUP(D8,'Astronomy 101 Week 1 Quiz (Resp'!F:F,'Astronomy 101 Week 1 Quiz (Resp'!E:E),0)</f>
        <v>0</v>
      </c>
      <c r="F8" s="3" t="s">
        <v>14</v>
      </c>
      <c r="G8" s="3"/>
      <c r="H8" s="3">
        <v>9.279720376E9</v>
      </c>
      <c r="I8" s="3" t="s">
        <v>39</v>
      </c>
      <c r="J8" s="3" t="s">
        <v>16</v>
      </c>
      <c r="K8" s="3" t="s">
        <v>17</v>
      </c>
      <c r="L8" s="4"/>
    </row>
    <row r="9" ht="22.5" customHeight="1">
      <c r="A9" s="2">
        <v>46167.57509128472</v>
      </c>
      <c r="B9" s="3" t="s">
        <v>40</v>
      </c>
      <c r="C9" s="3" t="s">
        <v>41</v>
      </c>
      <c r="D9" s="3" t="str">
        <f t="shared" si="1"/>
        <v>AE-0008</v>
      </c>
      <c r="E9" s="3">
        <f t="array" ref="E9">IFERROR(XLOOKUP(D9,'Astronomy 101 Week 1 Quiz (Resp'!F:F,'Astronomy 101 Week 1 Quiz (Resp'!E:E),0)</f>
        <v>0</v>
      </c>
      <c r="F9" s="3" t="s">
        <v>14</v>
      </c>
      <c r="G9" s="3"/>
      <c r="H9" s="3">
        <v>8.767544954E9</v>
      </c>
      <c r="I9" s="3" t="s">
        <v>42</v>
      </c>
      <c r="J9" s="3" t="s">
        <v>16</v>
      </c>
      <c r="K9" s="3" t="s">
        <v>43</v>
      </c>
      <c r="L9" s="3" t="s">
        <v>44</v>
      </c>
    </row>
    <row r="10" ht="22.5" customHeight="1">
      <c r="A10" s="2">
        <v>46167.57544559028</v>
      </c>
      <c r="B10" s="3" t="s">
        <v>45</v>
      </c>
      <c r="C10" s="3" t="s">
        <v>46</v>
      </c>
      <c r="D10" s="3" t="str">
        <f t="shared" si="1"/>
        <v>AE-0009</v>
      </c>
      <c r="E10" s="3">
        <f t="array" ref="E10">IFERROR(XLOOKUP(D10,'Astronomy 101 Week 1 Quiz (Resp'!F:F,'Astronomy 101 Week 1 Quiz (Resp'!E:E),0)</f>
        <v>39</v>
      </c>
      <c r="F10" s="3" t="s">
        <v>14</v>
      </c>
      <c r="G10" s="3"/>
      <c r="H10" s="3">
        <v>9.928810449E9</v>
      </c>
      <c r="I10" s="3" t="s">
        <v>15</v>
      </c>
      <c r="J10" s="3" t="s">
        <v>33</v>
      </c>
      <c r="K10" s="3" t="s">
        <v>47</v>
      </c>
      <c r="L10" s="4"/>
    </row>
    <row r="11" ht="22.5" customHeight="1">
      <c r="A11" s="2">
        <v>46167.57714940972</v>
      </c>
      <c r="B11" s="3" t="s">
        <v>48</v>
      </c>
      <c r="C11" s="3" t="s">
        <v>49</v>
      </c>
      <c r="D11" s="3" t="str">
        <f t="shared" si="1"/>
        <v>AE-0010</v>
      </c>
      <c r="E11" s="3">
        <f t="array" ref="E11">IFERROR(XLOOKUP(D11,'Astronomy 101 Week 1 Quiz (Resp'!F:F,'Astronomy 101 Week 1 Quiz (Resp'!E:E),0)</f>
        <v>0</v>
      </c>
      <c r="F11" s="3" t="s">
        <v>14</v>
      </c>
      <c r="G11" s="3"/>
      <c r="H11" s="3">
        <v>9.294548721E9</v>
      </c>
      <c r="I11" s="3" t="s">
        <v>29</v>
      </c>
      <c r="J11" s="3" t="s">
        <v>16</v>
      </c>
      <c r="K11" s="3" t="s">
        <v>17</v>
      </c>
      <c r="L11" s="3" t="s">
        <v>50</v>
      </c>
    </row>
    <row r="12" ht="22.5" customHeight="1">
      <c r="A12" s="2">
        <v>46167.57742313658</v>
      </c>
      <c r="B12" s="3" t="s">
        <v>51</v>
      </c>
      <c r="C12" s="3" t="s">
        <v>52</v>
      </c>
      <c r="D12" s="3" t="str">
        <f t="shared" si="1"/>
        <v>AE-0011</v>
      </c>
      <c r="E12" s="3">
        <f t="array" ref="E12">IFERROR(XLOOKUP(D12,'Astronomy 101 Week 1 Quiz (Resp'!F:F,'Astronomy 101 Week 1 Quiz (Resp'!E:E),0)</f>
        <v>27</v>
      </c>
      <c r="F12" s="3" t="s">
        <v>14</v>
      </c>
      <c r="G12" s="3"/>
      <c r="H12" s="3">
        <v>8.118800749E9</v>
      </c>
      <c r="I12" s="3" t="s">
        <v>29</v>
      </c>
      <c r="J12" s="3" t="s">
        <v>33</v>
      </c>
      <c r="K12" s="3" t="s">
        <v>43</v>
      </c>
      <c r="L12" s="3" t="s">
        <v>53</v>
      </c>
    </row>
    <row r="13" ht="22.5" customHeight="1">
      <c r="A13" s="2">
        <v>46167.577878553246</v>
      </c>
      <c r="B13" s="3" t="s">
        <v>54</v>
      </c>
      <c r="C13" s="3" t="s">
        <v>55</v>
      </c>
      <c r="D13" s="3" t="str">
        <f t="shared" si="1"/>
        <v>AE-0012</v>
      </c>
      <c r="E13" s="3">
        <f t="array" ref="E13">IFERROR(XLOOKUP(D13,'Astronomy 101 Week 1 Quiz (Resp'!F:F,'Astronomy 101 Week 1 Quiz (Resp'!E:E),0)</f>
        <v>0</v>
      </c>
      <c r="F13" s="3" t="s">
        <v>14</v>
      </c>
      <c r="G13" s="3"/>
      <c r="H13" s="3">
        <v>8.000290081E9</v>
      </c>
      <c r="I13" s="3" t="s">
        <v>56</v>
      </c>
      <c r="J13" s="3" t="s">
        <v>16</v>
      </c>
      <c r="K13" s="3" t="s">
        <v>43</v>
      </c>
      <c r="L13" s="3" t="s">
        <v>57</v>
      </c>
    </row>
    <row r="14" ht="22.5" customHeight="1">
      <c r="A14" s="2">
        <v>46167.57802386574</v>
      </c>
      <c r="B14" s="3" t="s">
        <v>58</v>
      </c>
      <c r="C14" s="3" t="s">
        <v>59</v>
      </c>
      <c r="D14" s="3" t="str">
        <f t="shared" si="1"/>
        <v>AE-0013</v>
      </c>
      <c r="E14" s="3">
        <f t="array" ref="E14">IFERROR(XLOOKUP(D14,'Astronomy 101 Week 1 Quiz (Resp'!F:F,'Astronomy 101 Week 1 Quiz (Resp'!E:E),0)</f>
        <v>11</v>
      </c>
      <c r="F14" s="3" t="s">
        <v>14</v>
      </c>
      <c r="G14" s="3"/>
      <c r="H14" s="3">
        <v>8.982520245E9</v>
      </c>
      <c r="I14" s="3" t="s">
        <v>60</v>
      </c>
      <c r="J14" s="3" t="s">
        <v>33</v>
      </c>
      <c r="K14" s="3" t="s">
        <v>61</v>
      </c>
      <c r="L14" s="4"/>
    </row>
    <row r="15" ht="22.5" customHeight="1">
      <c r="A15" s="2">
        <v>46167.57926747685</v>
      </c>
      <c r="B15" s="3" t="s">
        <v>62</v>
      </c>
      <c r="C15" s="3" t="s">
        <v>63</v>
      </c>
      <c r="D15" s="3" t="str">
        <f t="shared" si="1"/>
        <v>AE-0014</v>
      </c>
      <c r="E15" s="3">
        <f t="array" ref="E15">IFERROR(XLOOKUP(D15,'Astronomy 101 Week 1 Quiz (Resp'!F:F,'Astronomy 101 Week 1 Quiz (Resp'!E:E),0)</f>
        <v>44</v>
      </c>
      <c r="F15" s="3" t="s">
        <v>14</v>
      </c>
      <c r="G15" s="3"/>
      <c r="H15" s="3">
        <v>8.840990927E9</v>
      </c>
      <c r="I15" s="3" t="s">
        <v>64</v>
      </c>
      <c r="J15" s="3" t="s">
        <v>16</v>
      </c>
      <c r="K15" s="3" t="s">
        <v>43</v>
      </c>
      <c r="L15" s="4"/>
    </row>
    <row r="16" ht="22.5" customHeight="1">
      <c r="A16" s="2">
        <v>46167.58213790509</v>
      </c>
      <c r="B16" s="3" t="s">
        <v>65</v>
      </c>
      <c r="C16" s="3" t="s">
        <v>66</v>
      </c>
      <c r="D16" s="3" t="str">
        <f t="shared" si="1"/>
        <v>AE-0015</v>
      </c>
      <c r="E16" s="3">
        <f t="array" ref="E16">IFERROR(XLOOKUP(D16,'Astronomy 101 Week 1 Quiz (Resp'!F:F,'Astronomy 101 Week 1 Quiz (Resp'!E:E),0)</f>
        <v>0</v>
      </c>
      <c r="F16" s="3" t="s">
        <v>14</v>
      </c>
      <c r="G16" s="3"/>
      <c r="H16" s="3">
        <v>7.849852991E9</v>
      </c>
      <c r="I16" s="3" t="s">
        <v>67</v>
      </c>
      <c r="J16" s="3" t="s">
        <v>16</v>
      </c>
      <c r="K16" s="3" t="s">
        <v>17</v>
      </c>
      <c r="L16" s="3" t="s">
        <v>68</v>
      </c>
    </row>
    <row r="17" ht="22.5" customHeight="1">
      <c r="A17" s="2">
        <v>46167.58353050926</v>
      </c>
      <c r="B17" s="3" t="s">
        <v>69</v>
      </c>
      <c r="C17" s="3" t="s">
        <v>70</v>
      </c>
      <c r="D17" s="3" t="str">
        <f t="shared" si="1"/>
        <v>AE-0016</v>
      </c>
      <c r="E17" s="3">
        <f t="array" ref="E17">IFERROR(XLOOKUP(D17,'Astronomy 101 Week 1 Quiz (Resp'!F:F,'Astronomy 101 Week 1 Quiz (Resp'!E:E),0)</f>
        <v>39</v>
      </c>
      <c r="F17" s="3" t="s">
        <v>14</v>
      </c>
      <c r="G17" s="3"/>
      <c r="H17" s="3">
        <v>8.867400191E9</v>
      </c>
      <c r="I17" s="3" t="s">
        <v>67</v>
      </c>
      <c r="J17" s="3" t="s">
        <v>33</v>
      </c>
      <c r="K17" s="3" t="s">
        <v>17</v>
      </c>
      <c r="L17" s="4"/>
    </row>
    <row r="18" ht="22.5" customHeight="1">
      <c r="A18" s="2">
        <v>46167.58444997686</v>
      </c>
      <c r="B18" s="3" t="s">
        <v>71</v>
      </c>
      <c r="C18" s="3" t="s">
        <v>72</v>
      </c>
      <c r="D18" s="3" t="str">
        <f t="shared" si="1"/>
        <v>AE-0017</v>
      </c>
      <c r="E18" s="3">
        <f t="array" ref="E18">IFERROR(XLOOKUP(D18,'Astronomy 101 Week 1 Quiz (Resp'!F:F,'Astronomy 101 Week 1 Quiz (Resp'!E:E),0)</f>
        <v>0</v>
      </c>
      <c r="F18" s="3" t="s">
        <v>14</v>
      </c>
      <c r="G18" s="3"/>
      <c r="H18" s="3">
        <v>7.389985731E9</v>
      </c>
      <c r="I18" s="3" t="s">
        <v>73</v>
      </c>
      <c r="J18" s="3" t="s">
        <v>16</v>
      </c>
      <c r="K18" s="3" t="s">
        <v>17</v>
      </c>
      <c r="L18" s="4"/>
    </row>
    <row r="19" ht="22.5" customHeight="1">
      <c r="A19" s="2">
        <v>46167.5864053588</v>
      </c>
      <c r="B19" s="3" t="s">
        <v>74</v>
      </c>
      <c r="C19" s="3" t="s">
        <v>75</v>
      </c>
      <c r="D19" s="3" t="str">
        <f t="shared" si="1"/>
        <v>AE-0018</v>
      </c>
      <c r="E19" s="3">
        <f t="array" ref="E19">IFERROR(XLOOKUP(D19,'Astronomy 101 Week 1 Quiz (Resp'!F:F,'Astronomy 101 Week 1 Quiz (Resp'!E:E),0)</f>
        <v>39</v>
      </c>
      <c r="F19" s="3" t="s">
        <v>14</v>
      </c>
      <c r="G19" s="3"/>
      <c r="H19" s="3">
        <v>7.014589274E9</v>
      </c>
      <c r="I19" s="3" t="s">
        <v>76</v>
      </c>
      <c r="J19" s="3" t="s">
        <v>16</v>
      </c>
      <c r="K19" s="3" t="s">
        <v>21</v>
      </c>
      <c r="L19" s="3" t="s">
        <v>77</v>
      </c>
    </row>
    <row r="20" ht="22.5" customHeight="1">
      <c r="A20" s="2">
        <v>46167.58672194445</v>
      </c>
      <c r="B20" s="3" t="s">
        <v>78</v>
      </c>
      <c r="C20" s="3" t="s">
        <v>79</v>
      </c>
      <c r="D20" s="3" t="str">
        <f t="shared" si="1"/>
        <v>AE-0019</v>
      </c>
      <c r="E20" s="3">
        <f t="array" ref="E20">IFERROR(XLOOKUP(D20,'Astronomy 101 Week 1 Quiz (Resp'!F:F,'Astronomy 101 Week 1 Quiz (Resp'!E:E),0)</f>
        <v>0</v>
      </c>
      <c r="F20" s="3" t="s">
        <v>14</v>
      </c>
      <c r="G20" s="3"/>
      <c r="H20" s="3">
        <v>8.897540718E9</v>
      </c>
      <c r="I20" s="3" t="s">
        <v>32</v>
      </c>
      <c r="J20" s="3" t="s">
        <v>33</v>
      </c>
      <c r="K20" s="3" t="s">
        <v>61</v>
      </c>
      <c r="L20" s="4"/>
    </row>
    <row r="21" ht="22.5" customHeight="1">
      <c r="A21" s="2">
        <v>46167.587545069444</v>
      </c>
      <c r="B21" s="3" t="s">
        <v>80</v>
      </c>
      <c r="C21" s="3" t="s">
        <v>81</v>
      </c>
      <c r="D21" s="3" t="str">
        <f t="shared" si="1"/>
        <v>AE-0020</v>
      </c>
      <c r="E21" s="3">
        <f t="array" ref="E21">IFERROR(XLOOKUP(D21,'Astronomy 101 Week 1 Quiz (Resp'!F:F,'Astronomy 101 Week 1 Quiz (Resp'!E:E),0)</f>
        <v>0</v>
      </c>
      <c r="F21" s="3" t="s">
        <v>14</v>
      </c>
      <c r="G21" s="3"/>
      <c r="H21" s="3">
        <v>9.604877398E9</v>
      </c>
      <c r="I21" s="3" t="s">
        <v>32</v>
      </c>
      <c r="J21" s="3" t="s">
        <v>16</v>
      </c>
      <c r="K21" s="3" t="s">
        <v>82</v>
      </c>
      <c r="L21" s="4"/>
    </row>
    <row r="22" ht="22.5" customHeight="1">
      <c r="A22" s="2">
        <v>46167.59132211805</v>
      </c>
      <c r="B22" s="3" t="s">
        <v>83</v>
      </c>
      <c r="C22" s="3" t="s">
        <v>84</v>
      </c>
      <c r="D22" s="3" t="str">
        <f t="shared" si="1"/>
        <v>AE-0021</v>
      </c>
      <c r="E22" s="3">
        <f t="array" ref="E22">IFERROR(XLOOKUP(D22,'Astronomy 101 Week 1 Quiz (Resp'!F:F,'Astronomy 101 Week 1 Quiz (Resp'!E:E),0)</f>
        <v>0</v>
      </c>
      <c r="F22" s="3" t="s">
        <v>14</v>
      </c>
      <c r="G22" s="3"/>
      <c r="H22" s="3">
        <v>9.330397631E9</v>
      </c>
      <c r="I22" s="3" t="s">
        <v>29</v>
      </c>
      <c r="J22" s="3" t="s">
        <v>16</v>
      </c>
      <c r="K22" s="3" t="s">
        <v>21</v>
      </c>
      <c r="L22" s="3" t="s">
        <v>85</v>
      </c>
    </row>
    <row r="23" ht="22.5" customHeight="1">
      <c r="A23" s="2">
        <v>46167.59146241898</v>
      </c>
      <c r="B23" s="3" t="s">
        <v>86</v>
      </c>
      <c r="C23" s="3" t="s">
        <v>87</v>
      </c>
      <c r="D23" s="3" t="str">
        <f t="shared" si="1"/>
        <v>AE-0022</v>
      </c>
      <c r="E23" s="3">
        <f t="array" ref="E23">IFERROR(XLOOKUP(D23,'Astronomy 101 Week 1 Quiz (Resp'!F:F,'Astronomy 101 Week 1 Quiz (Resp'!E:E),0)</f>
        <v>0</v>
      </c>
      <c r="F23" s="3" t="s">
        <v>14</v>
      </c>
      <c r="G23" s="3"/>
      <c r="H23" s="3">
        <v>9.47435941E9</v>
      </c>
      <c r="I23" s="3" t="s">
        <v>29</v>
      </c>
      <c r="J23" s="3" t="s">
        <v>16</v>
      </c>
      <c r="K23" s="3" t="s">
        <v>25</v>
      </c>
      <c r="L23" s="3" t="s">
        <v>88</v>
      </c>
    </row>
    <row r="24" ht="22.5" customHeight="1">
      <c r="A24" s="2">
        <v>46167.59229907407</v>
      </c>
      <c r="B24" s="3" t="s">
        <v>89</v>
      </c>
      <c r="C24" s="3" t="s">
        <v>90</v>
      </c>
      <c r="D24" s="3" t="str">
        <f t="shared" si="1"/>
        <v>AE-0023</v>
      </c>
      <c r="E24" s="3">
        <f t="array" ref="E24">IFERROR(XLOOKUP(D24,'Astronomy 101 Week 1 Quiz (Resp'!F:F,'Astronomy 101 Week 1 Quiz (Resp'!E:E),0)</f>
        <v>0</v>
      </c>
      <c r="F24" s="3" t="s">
        <v>14</v>
      </c>
      <c r="G24" s="3"/>
      <c r="H24" s="3">
        <v>7.483195454E9</v>
      </c>
      <c r="I24" s="3" t="s">
        <v>29</v>
      </c>
      <c r="J24" s="3" t="s">
        <v>16</v>
      </c>
      <c r="K24" s="3" t="s">
        <v>61</v>
      </c>
      <c r="L24" s="4"/>
    </row>
    <row r="25" ht="22.5" customHeight="1">
      <c r="A25" s="2">
        <v>46167.593377199075</v>
      </c>
      <c r="B25" s="3" t="s">
        <v>91</v>
      </c>
      <c r="C25" s="3" t="s">
        <v>92</v>
      </c>
      <c r="D25" s="3" t="str">
        <f t="shared" si="1"/>
        <v>AE-0024</v>
      </c>
      <c r="E25" s="3">
        <f t="array" ref="E25">IFERROR(XLOOKUP(D25,'Astronomy 101 Week 1 Quiz (Resp'!F:F,'Astronomy 101 Week 1 Quiz (Resp'!E:E),0)</f>
        <v>0</v>
      </c>
      <c r="F25" s="3" t="s">
        <v>14</v>
      </c>
      <c r="G25" s="3"/>
      <c r="H25" s="3">
        <v>9.166070127E9</v>
      </c>
      <c r="I25" s="3" t="s">
        <v>64</v>
      </c>
      <c r="J25" s="3" t="s">
        <v>16</v>
      </c>
      <c r="K25" s="3" t="s">
        <v>61</v>
      </c>
      <c r="L25" s="3" t="s">
        <v>93</v>
      </c>
    </row>
    <row r="26" ht="22.5" customHeight="1">
      <c r="A26" s="2">
        <v>46167.59385672453</v>
      </c>
      <c r="B26" s="3" t="s">
        <v>94</v>
      </c>
      <c r="C26" s="3" t="s">
        <v>95</v>
      </c>
      <c r="D26" s="3" t="str">
        <f t="shared" si="1"/>
        <v>AE-0025</v>
      </c>
      <c r="E26" s="3">
        <f t="array" ref="E26">IFERROR(XLOOKUP(D26,'Astronomy 101 Week 1 Quiz (Resp'!F:F,'Astronomy 101 Week 1 Quiz (Resp'!E:E),0)</f>
        <v>0</v>
      </c>
      <c r="F26" s="3" t="s">
        <v>14</v>
      </c>
      <c r="G26" s="3"/>
      <c r="H26" s="3">
        <v>9.828133998E9</v>
      </c>
      <c r="I26" s="3" t="s">
        <v>64</v>
      </c>
      <c r="J26" s="3" t="s">
        <v>33</v>
      </c>
      <c r="K26" s="3" t="s">
        <v>25</v>
      </c>
      <c r="L26" s="3" t="s">
        <v>96</v>
      </c>
    </row>
    <row r="27" ht="22.5" customHeight="1">
      <c r="A27" s="2">
        <v>46167.59424439815</v>
      </c>
      <c r="B27" s="3" t="s">
        <v>97</v>
      </c>
      <c r="C27" s="3" t="s">
        <v>98</v>
      </c>
      <c r="D27" s="3" t="str">
        <f t="shared" si="1"/>
        <v>AE-0026</v>
      </c>
      <c r="E27" s="3">
        <f t="array" ref="E27">IFERROR(XLOOKUP(D27,'Astronomy 101 Week 1 Quiz (Resp'!F:F,'Astronomy 101 Week 1 Quiz (Resp'!E:E),0)</f>
        <v>22</v>
      </c>
      <c r="F27" s="3" t="s">
        <v>14</v>
      </c>
      <c r="G27" s="3"/>
      <c r="H27" s="3">
        <v>9.441467276E9</v>
      </c>
      <c r="I27" s="3" t="s">
        <v>29</v>
      </c>
      <c r="J27" s="3" t="s">
        <v>16</v>
      </c>
      <c r="K27" s="3" t="s">
        <v>82</v>
      </c>
      <c r="L27" s="3" t="s">
        <v>99</v>
      </c>
    </row>
    <row r="28" ht="22.5" customHeight="1">
      <c r="A28" s="2">
        <v>46167.59824060185</v>
      </c>
      <c r="B28" s="3" t="s">
        <v>100</v>
      </c>
      <c r="C28" s="3" t="s">
        <v>101</v>
      </c>
      <c r="D28" s="3" t="str">
        <f t="shared" si="1"/>
        <v>AE-0027</v>
      </c>
      <c r="E28" s="3">
        <f t="array" ref="E28">IFERROR(XLOOKUP(D28,'Astronomy 101 Week 1 Quiz (Resp'!F:F,'Astronomy 101 Week 1 Quiz (Resp'!E:E),0)</f>
        <v>0</v>
      </c>
      <c r="F28" s="3" t="s">
        <v>14</v>
      </c>
      <c r="G28" s="3"/>
      <c r="H28" s="3">
        <v>9.239565239E9</v>
      </c>
      <c r="I28" s="3" t="s">
        <v>32</v>
      </c>
      <c r="J28" s="3" t="s">
        <v>16</v>
      </c>
      <c r="K28" s="3" t="s">
        <v>17</v>
      </c>
      <c r="L28" s="4"/>
    </row>
    <row r="29" ht="22.5" customHeight="1">
      <c r="A29" s="2">
        <v>46167.603862662036</v>
      </c>
      <c r="B29" s="3" t="s">
        <v>102</v>
      </c>
      <c r="C29" s="3" t="s">
        <v>103</v>
      </c>
      <c r="D29" s="3" t="str">
        <f t="shared" si="1"/>
        <v>AE-0028</v>
      </c>
      <c r="E29" s="3">
        <f t="array" ref="E29">IFERROR(XLOOKUP(D29,'Astronomy 101 Week 1 Quiz (Resp'!F:F,'Astronomy 101 Week 1 Quiz (Resp'!E:E),0)</f>
        <v>0</v>
      </c>
      <c r="F29" s="3" t="s">
        <v>14</v>
      </c>
      <c r="G29" s="3"/>
      <c r="H29" s="3">
        <v>7.977815011E9</v>
      </c>
      <c r="I29" s="3" t="s">
        <v>29</v>
      </c>
      <c r="J29" s="3" t="s">
        <v>16</v>
      </c>
      <c r="K29" s="3" t="s">
        <v>17</v>
      </c>
      <c r="L29" s="4"/>
    </row>
    <row r="30" ht="22.5" customHeight="1">
      <c r="A30" s="2">
        <v>46167.60549512731</v>
      </c>
      <c r="B30" s="3" t="s">
        <v>104</v>
      </c>
      <c r="C30" s="3" t="s">
        <v>105</v>
      </c>
      <c r="D30" s="3" t="str">
        <f t="shared" si="1"/>
        <v>AE-0029</v>
      </c>
      <c r="E30" s="3">
        <f t="array" ref="E30">IFERROR(XLOOKUP(D30,'Astronomy 101 Week 1 Quiz (Resp'!F:F,'Astronomy 101 Week 1 Quiz (Resp'!E:E),0)</f>
        <v>0</v>
      </c>
      <c r="F30" s="3" t="s">
        <v>14</v>
      </c>
      <c r="G30" s="3"/>
      <c r="H30" s="3">
        <v>8.822462331E9</v>
      </c>
      <c r="I30" s="3" t="s">
        <v>29</v>
      </c>
      <c r="J30" s="3" t="s">
        <v>16</v>
      </c>
      <c r="K30" s="3" t="s">
        <v>61</v>
      </c>
      <c r="L30" s="4"/>
    </row>
    <row r="31" ht="22.5" customHeight="1">
      <c r="A31" s="2">
        <v>46167.60661563657</v>
      </c>
      <c r="B31" s="3" t="s">
        <v>106</v>
      </c>
      <c r="C31" s="3" t="s">
        <v>107</v>
      </c>
      <c r="D31" s="3" t="str">
        <f t="shared" si="1"/>
        <v>AE-0030</v>
      </c>
      <c r="E31" s="3">
        <f t="array" ref="E31">IFERROR(XLOOKUP(D31,'Astronomy 101 Week 1 Quiz (Resp'!F:F,'Astronomy 101 Week 1 Quiz (Resp'!E:E),0)</f>
        <v>0</v>
      </c>
      <c r="F31" s="3" t="s">
        <v>14</v>
      </c>
      <c r="G31" s="3"/>
      <c r="H31" s="3">
        <v>8.866202885E9</v>
      </c>
      <c r="I31" s="3" t="s">
        <v>29</v>
      </c>
      <c r="J31" s="3" t="s">
        <v>16</v>
      </c>
      <c r="K31" s="3" t="s">
        <v>47</v>
      </c>
      <c r="L31" s="4"/>
    </row>
    <row r="32" ht="22.5" customHeight="1">
      <c r="A32" s="2">
        <v>46167.60754372685</v>
      </c>
      <c r="B32" s="3" t="s">
        <v>108</v>
      </c>
      <c r="C32" s="3" t="s">
        <v>109</v>
      </c>
      <c r="D32" s="3" t="str">
        <f t="shared" si="1"/>
        <v>AE-0031</v>
      </c>
      <c r="E32" s="3">
        <f t="array" ref="E32">IFERROR(XLOOKUP(D32,'Astronomy 101 Week 1 Quiz (Resp'!F:F,'Astronomy 101 Week 1 Quiz (Resp'!E:E),0)</f>
        <v>0</v>
      </c>
      <c r="F32" s="3" t="s">
        <v>14</v>
      </c>
      <c r="G32" s="3"/>
      <c r="H32" s="3">
        <v>9.685382808E9</v>
      </c>
      <c r="I32" s="3" t="s">
        <v>64</v>
      </c>
      <c r="J32" s="3" t="s">
        <v>33</v>
      </c>
      <c r="K32" s="3" t="s">
        <v>43</v>
      </c>
      <c r="L32" s="3" t="s">
        <v>110</v>
      </c>
    </row>
    <row r="33" ht="22.5" customHeight="1">
      <c r="A33" s="2">
        <v>46167.60857172454</v>
      </c>
      <c r="B33" s="3" t="s">
        <v>111</v>
      </c>
      <c r="C33" s="3" t="s">
        <v>112</v>
      </c>
      <c r="D33" s="3" t="str">
        <f t="shared" si="1"/>
        <v>AE-0032</v>
      </c>
      <c r="E33" s="3">
        <f t="array" ref="E33">IFERROR(XLOOKUP(D33,'Astronomy 101 Week 1 Quiz (Resp'!F:F,'Astronomy 101 Week 1 Quiz (Resp'!E:E),0)</f>
        <v>0</v>
      </c>
      <c r="F33" s="3" t="s">
        <v>14</v>
      </c>
      <c r="G33" s="3"/>
      <c r="H33" s="3">
        <v>8.374294794E9</v>
      </c>
      <c r="I33" s="3" t="s">
        <v>64</v>
      </c>
      <c r="J33" s="3" t="s">
        <v>16</v>
      </c>
      <c r="K33" s="3" t="s">
        <v>61</v>
      </c>
      <c r="L33" s="4"/>
    </row>
    <row r="34" ht="22.5" customHeight="1">
      <c r="A34" s="2">
        <v>46167.60886111111</v>
      </c>
      <c r="B34" s="3" t="s">
        <v>113</v>
      </c>
      <c r="C34" s="3" t="s">
        <v>114</v>
      </c>
      <c r="D34" s="3" t="str">
        <f t="shared" si="1"/>
        <v>AE-0033</v>
      </c>
      <c r="E34" s="3">
        <f t="array" ref="E34">IFERROR(XLOOKUP(D34,'Astronomy 101 Week 1 Quiz (Resp'!F:F,'Astronomy 101 Week 1 Quiz (Resp'!E:E),0)</f>
        <v>43</v>
      </c>
      <c r="F34" s="3" t="s">
        <v>14</v>
      </c>
      <c r="G34" s="3"/>
      <c r="H34" s="3">
        <v>9.664368547E9</v>
      </c>
      <c r="I34" s="3" t="s">
        <v>32</v>
      </c>
      <c r="J34" s="3" t="s">
        <v>16</v>
      </c>
      <c r="K34" s="3" t="s">
        <v>17</v>
      </c>
      <c r="L34" s="4"/>
    </row>
    <row r="35" ht="22.5" customHeight="1">
      <c r="A35" s="2">
        <v>46167.609930844905</v>
      </c>
      <c r="B35" s="3" t="s">
        <v>115</v>
      </c>
      <c r="C35" s="3" t="s">
        <v>116</v>
      </c>
      <c r="D35" s="3" t="str">
        <f t="shared" si="1"/>
        <v>AE-0034</v>
      </c>
      <c r="E35" s="3">
        <f t="array" ref="E35">IFERROR(XLOOKUP(D35,'Astronomy 101 Week 1 Quiz (Resp'!F:F,'Astronomy 101 Week 1 Quiz (Resp'!E:E),0)</f>
        <v>0</v>
      </c>
      <c r="F35" s="3" t="s">
        <v>14</v>
      </c>
      <c r="G35" s="3"/>
      <c r="H35" s="3">
        <v>6.39493763E9</v>
      </c>
      <c r="I35" s="3" t="s">
        <v>20</v>
      </c>
      <c r="J35" s="3" t="s">
        <v>16</v>
      </c>
      <c r="K35" s="3" t="s">
        <v>82</v>
      </c>
      <c r="L35" s="3" t="s">
        <v>117</v>
      </c>
    </row>
    <row r="36" ht="22.5" customHeight="1">
      <c r="A36" s="2">
        <v>46167.61638790509</v>
      </c>
      <c r="B36" s="3" t="s">
        <v>118</v>
      </c>
      <c r="C36" s="3" t="s">
        <v>119</v>
      </c>
      <c r="D36" s="3" t="str">
        <f t="shared" si="1"/>
        <v>AE-0035</v>
      </c>
      <c r="E36" s="3">
        <f t="array" ref="E36">IFERROR(XLOOKUP(D36,'Astronomy 101 Week 1 Quiz (Resp'!F:F,'Astronomy 101 Week 1 Quiz (Resp'!E:E),0)</f>
        <v>46</v>
      </c>
      <c r="F36" s="3" t="s">
        <v>14</v>
      </c>
      <c r="G36" s="3"/>
      <c r="H36" s="3">
        <v>9.629645373E9</v>
      </c>
      <c r="I36" s="3" t="s">
        <v>15</v>
      </c>
      <c r="J36" s="3" t="s">
        <v>16</v>
      </c>
      <c r="K36" s="3" t="s">
        <v>43</v>
      </c>
      <c r="L36" s="4"/>
    </row>
    <row r="37" ht="22.5" customHeight="1">
      <c r="A37" s="2">
        <v>46167.61960800926</v>
      </c>
      <c r="B37" s="3" t="s">
        <v>120</v>
      </c>
      <c r="C37" s="3" t="s">
        <v>121</v>
      </c>
      <c r="D37" s="3" t="str">
        <f t="shared" si="1"/>
        <v>AE-0036</v>
      </c>
      <c r="E37" s="3">
        <f t="array" ref="E37">IFERROR(XLOOKUP(D37,'Astronomy 101 Week 1 Quiz (Resp'!F:F,'Astronomy 101 Week 1 Quiz (Resp'!E:E),0)</f>
        <v>41</v>
      </c>
      <c r="F37" s="3" t="s">
        <v>14</v>
      </c>
      <c r="G37" s="3"/>
      <c r="H37" s="3">
        <v>9.426656212E9</v>
      </c>
      <c r="I37" s="3" t="s">
        <v>67</v>
      </c>
      <c r="J37" s="3" t="s">
        <v>16</v>
      </c>
      <c r="K37" s="3" t="s">
        <v>25</v>
      </c>
      <c r="L37" s="4"/>
    </row>
    <row r="38" ht="22.5" customHeight="1">
      <c r="A38" s="2">
        <v>46167.62243701389</v>
      </c>
      <c r="B38" s="3" t="s">
        <v>122</v>
      </c>
      <c r="C38" s="3" t="s">
        <v>123</v>
      </c>
      <c r="D38" s="3" t="str">
        <f t="shared" si="1"/>
        <v>AE-0037</v>
      </c>
      <c r="E38" s="3">
        <f t="array" ref="E38">IFERROR(XLOOKUP(D38,'Astronomy 101 Week 1 Quiz (Resp'!F:F,'Astronomy 101 Week 1 Quiz (Resp'!E:E),0)</f>
        <v>0</v>
      </c>
      <c r="F38" s="3" t="s">
        <v>14</v>
      </c>
      <c r="G38" s="3"/>
      <c r="H38" s="3">
        <v>9.69112047E9</v>
      </c>
      <c r="I38" s="3" t="s">
        <v>29</v>
      </c>
      <c r="J38" s="3" t="s">
        <v>33</v>
      </c>
      <c r="K38" s="3" t="s">
        <v>17</v>
      </c>
      <c r="L38" s="3" t="s">
        <v>53</v>
      </c>
    </row>
    <row r="39" ht="22.5" customHeight="1">
      <c r="A39" s="2">
        <v>46167.62447009259</v>
      </c>
      <c r="B39" s="3" t="s">
        <v>124</v>
      </c>
      <c r="C39" s="3" t="s">
        <v>125</v>
      </c>
      <c r="D39" s="3" t="str">
        <f t="shared" si="1"/>
        <v>AE-0038</v>
      </c>
      <c r="E39" s="3">
        <f t="array" ref="E39">IFERROR(XLOOKUP(D39,'Astronomy 101 Week 1 Quiz (Resp'!F:F,'Astronomy 101 Week 1 Quiz (Resp'!E:E),0)</f>
        <v>0</v>
      </c>
      <c r="F39" s="3" t="s">
        <v>14</v>
      </c>
      <c r="G39" s="3"/>
      <c r="H39" s="3">
        <v>9.31743345E9</v>
      </c>
      <c r="I39" s="3" t="s">
        <v>15</v>
      </c>
      <c r="J39" s="3" t="s">
        <v>33</v>
      </c>
      <c r="K39" s="3" t="s">
        <v>17</v>
      </c>
      <c r="L39" s="3" t="s">
        <v>126</v>
      </c>
    </row>
    <row r="40" ht="22.5" customHeight="1">
      <c r="A40" s="2">
        <v>46167.63541313657</v>
      </c>
      <c r="B40" s="3" t="s">
        <v>127</v>
      </c>
      <c r="C40" s="3" t="s">
        <v>128</v>
      </c>
      <c r="D40" s="3" t="str">
        <f t="shared" si="1"/>
        <v>AE-0039</v>
      </c>
      <c r="E40" s="3">
        <f t="array" ref="E40">IFERROR(XLOOKUP(D40,'Astronomy 101 Week 1 Quiz (Resp'!F:F,'Astronomy 101 Week 1 Quiz (Resp'!E:E),0)</f>
        <v>30</v>
      </c>
      <c r="F40" s="3" t="s">
        <v>14</v>
      </c>
      <c r="G40" s="3"/>
      <c r="H40" s="3">
        <v>9.396453012E9</v>
      </c>
      <c r="I40" s="3" t="s">
        <v>29</v>
      </c>
      <c r="J40" s="3" t="s">
        <v>16</v>
      </c>
      <c r="K40" s="3" t="s">
        <v>17</v>
      </c>
      <c r="L40" s="3" t="s">
        <v>129</v>
      </c>
    </row>
    <row r="41" ht="22.5" customHeight="1">
      <c r="A41" s="2">
        <v>46167.63987825232</v>
      </c>
      <c r="B41" s="3" t="s">
        <v>130</v>
      </c>
      <c r="C41" s="3" t="s">
        <v>131</v>
      </c>
      <c r="D41" s="3" t="str">
        <f t="shared" si="1"/>
        <v>AE-0040</v>
      </c>
      <c r="E41" s="3">
        <f t="array" ref="E41">IFERROR(XLOOKUP(D41,'Astronomy 101 Week 1 Quiz (Resp'!F:F,'Astronomy 101 Week 1 Quiz (Resp'!E:E),0)</f>
        <v>0</v>
      </c>
      <c r="F41" s="3" t="s">
        <v>14</v>
      </c>
      <c r="G41" s="3"/>
      <c r="H41" s="3">
        <v>8.920743909E9</v>
      </c>
      <c r="I41" s="3" t="s">
        <v>132</v>
      </c>
      <c r="J41" s="3" t="s">
        <v>16</v>
      </c>
      <c r="K41" s="3" t="s">
        <v>17</v>
      </c>
      <c r="L41" s="4"/>
    </row>
    <row r="42" ht="22.5" customHeight="1">
      <c r="A42" s="2">
        <v>46167.640094594906</v>
      </c>
      <c r="B42" s="3" t="s">
        <v>133</v>
      </c>
      <c r="C42" s="3" t="s">
        <v>134</v>
      </c>
      <c r="D42" s="3" t="str">
        <f t="shared" si="1"/>
        <v>AE-0041</v>
      </c>
      <c r="E42" s="3">
        <f t="array" ref="E42">IFERROR(XLOOKUP(D42,'Astronomy 101 Week 1 Quiz (Resp'!F:F,'Astronomy 101 Week 1 Quiz (Resp'!E:E),0)</f>
        <v>0</v>
      </c>
      <c r="F42" s="3" t="s">
        <v>14</v>
      </c>
      <c r="G42" s="3"/>
      <c r="H42" s="3">
        <v>8.209564239E9</v>
      </c>
      <c r="I42" s="3" t="s">
        <v>15</v>
      </c>
      <c r="J42" s="3" t="s">
        <v>16</v>
      </c>
      <c r="K42" s="3" t="s">
        <v>43</v>
      </c>
      <c r="L42" s="4"/>
    </row>
    <row r="43" ht="22.5" customHeight="1">
      <c r="A43" s="2">
        <v>46167.65986871527</v>
      </c>
      <c r="B43" s="3" t="s">
        <v>135</v>
      </c>
      <c r="C43" s="3" t="s">
        <v>136</v>
      </c>
      <c r="D43" s="3" t="str">
        <f t="shared" si="1"/>
        <v>AE-0042</v>
      </c>
      <c r="E43" s="3">
        <f t="array" ref="E43">IFERROR(XLOOKUP(D43,'Astronomy 101 Week 1 Quiz (Resp'!F:F,'Astronomy 101 Week 1 Quiz (Resp'!E:E),0)</f>
        <v>0</v>
      </c>
      <c r="F43" s="3" t="s">
        <v>14</v>
      </c>
      <c r="G43" s="3"/>
      <c r="H43" s="3">
        <v>9.70734093E9</v>
      </c>
      <c r="I43" s="3" t="s">
        <v>15</v>
      </c>
      <c r="J43" s="3" t="s">
        <v>16</v>
      </c>
      <c r="K43" s="3" t="s">
        <v>21</v>
      </c>
      <c r="L43" s="4"/>
    </row>
    <row r="44" ht="22.5" customHeight="1">
      <c r="A44" s="5">
        <v>46167.67283952546</v>
      </c>
      <c r="B44" s="6" t="s">
        <v>137</v>
      </c>
      <c r="C44" s="6" t="s">
        <v>138</v>
      </c>
      <c r="D44" s="3" t="str">
        <f t="shared" si="1"/>
        <v>AE-0043</v>
      </c>
      <c r="E44" s="3">
        <f t="array" ref="E44">IFERROR(XLOOKUP(D44,'Astronomy 101 Week 1 Quiz (Resp'!F:F,'Astronomy 101 Week 1 Quiz (Resp'!E:E),0)</f>
        <v>0</v>
      </c>
      <c r="F44" s="3" t="s">
        <v>14</v>
      </c>
      <c r="G44" s="3"/>
      <c r="H44" s="6">
        <v>7.014003657E9</v>
      </c>
      <c r="I44" s="6" t="s">
        <v>29</v>
      </c>
      <c r="J44" s="6" t="s">
        <v>33</v>
      </c>
      <c r="K44" s="6" t="s">
        <v>25</v>
      </c>
    </row>
    <row r="45" ht="22.5" customHeight="1">
      <c r="A45" s="5">
        <v>46167.67794822917</v>
      </c>
      <c r="B45" s="6" t="s">
        <v>139</v>
      </c>
      <c r="C45" s="6" t="s">
        <v>140</v>
      </c>
      <c r="D45" s="3" t="str">
        <f t="shared" si="1"/>
        <v>AE-0044</v>
      </c>
      <c r="E45" s="3">
        <f t="array" ref="E45">IFERROR(XLOOKUP(D45,'Astronomy 101 Week 1 Quiz (Resp'!F:F,'Astronomy 101 Week 1 Quiz (Resp'!E:E),0)</f>
        <v>46</v>
      </c>
      <c r="F45" s="3" t="s">
        <v>14</v>
      </c>
      <c r="G45" s="3"/>
      <c r="H45" s="6">
        <v>9.239001518E9</v>
      </c>
      <c r="I45" s="6" t="s">
        <v>29</v>
      </c>
      <c r="J45" s="6" t="s">
        <v>33</v>
      </c>
      <c r="K45" s="6" t="s">
        <v>21</v>
      </c>
    </row>
    <row r="46" ht="22.5" customHeight="1">
      <c r="A46" s="5">
        <v>46167.69193990741</v>
      </c>
      <c r="B46" s="6" t="s">
        <v>141</v>
      </c>
      <c r="C46" s="6" t="s">
        <v>142</v>
      </c>
      <c r="D46" s="3" t="str">
        <f t="shared" si="1"/>
        <v>AE-0045</v>
      </c>
      <c r="E46" s="3">
        <f t="array" ref="E46">IFERROR(XLOOKUP(D46,'Astronomy 101 Week 1 Quiz (Resp'!F:F,'Astronomy 101 Week 1 Quiz (Resp'!E:E),0)</f>
        <v>42</v>
      </c>
      <c r="F46" s="3" t="s">
        <v>14</v>
      </c>
      <c r="G46" s="3"/>
      <c r="H46" s="6">
        <v>9.46991882E9</v>
      </c>
      <c r="I46" s="6" t="s">
        <v>143</v>
      </c>
      <c r="J46" s="6" t="s">
        <v>33</v>
      </c>
      <c r="K46" s="6" t="s">
        <v>17</v>
      </c>
    </row>
    <row r="47" ht="22.5" customHeight="1">
      <c r="A47" s="5">
        <v>46167.6979524537</v>
      </c>
      <c r="B47" s="6" t="s">
        <v>144</v>
      </c>
      <c r="C47" s="6" t="s">
        <v>145</v>
      </c>
      <c r="D47" s="3" t="str">
        <f t="shared" si="1"/>
        <v>AE-0046</v>
      </c>
      <c r="E47" s="3">
        <f t="array" ref="E47">IFERROR(XLOOKUP(D47,'Astronomy 101 Week 1 Quiz (Resp'!F:F,'Astronomy 101 Week 1 Quiz (Resp'!E:E),0)</f>
        <v>39</v>
      </c>
      <c r="F47" s="3" t="s">
        <v>14</v>
      </c>
      <c r="G47" s="3"/>
      <c r="H47" s="6">
        <v>7.070883463E9</v>
      </c>
      <c r="I47" s="6" t="s">
        <v>15</v>
      </c>
      <c r="J47" s="6" t="s">
        <v>33</v>
      </c>
      <c r="K47" s="6" t="s">
        <v>82</v>
      </c>
    </row>
    <row r="48" ht="22.5" customHeight="1">
      <c r="A48" s="5">
        <v>46167.724342824076</v>
      </c>
      <c r="B48" s="6" t="s">
        <v>146</v>
      </c>
      <c r="C48" s="6" t="s">
        <v>147</v>
      </c>
      <c r="D48" s="3" t="str">
        <f t="shared" si="1"/>
        <v>AE-0047</v>
      </c>
      <c r="E48" s="3">
        <f t="array" ref="E48">IFERROR(XLOOKUP(D48,'Astronomy 101 Week 1 Quiz (Resp'!F:F,'Astronomy 101 Week 1 Quiz (Resp'!E:E),0)</f>
        <v>0</v>
      </c>
      <c r="F48" s="3" t="s">
        <v>14</v>
      </c>
      <c r="G48" s="3"/>
      <c r="H48" s="6">
        <v>9.661255684E9</v>
      </c>
      <c r="I48" s="6" t="s">
        <v>32</v>
      </c>
      <c r="J48" s="6" t="s">
        <v>16</v>
      </c>
      <c r="K48" s="6" t="s">
        <v>25</v>
      </c>
      <c r="L48" s="6" t="s">
        <v>148</v>
      </c>
    </row>
    <row r="49" ht="22.5" customHeight="1">
      <c r="A49" s="5">
        <v>46167.736194074074</v>
      </c>
      <c r="B49" s="6" t="s">
        <v>149</v>
      </c>
      <c r="C49" s="6" t="s">
        <v>150</v>
      </c>
      <c r="D49" s="3" t="str">
        <f t="shared" si="1"/>
        <v>AE-0048</v>
      </c>
      <c r="E49" s="3">
        <f t="array" ref="E49">IFERROR(XLOOKUP(D49,'Astronomy 101 Week 1 Quiz (Resp'!F:F,'Astronomy 101 Week 1 Quiz (Resp'!E:E),0)</f>
        <v>44</v>
      </c>
      <c r="F49" s="3" t="s">
        <v>14</v>
      </c>
      <c r="G49" s="3"/>
      <c r="H49" s="6">
        <v>9.063701484E9</v>
      </c>
      <c r="I49" s="6" t="s">
        <v>29</v>
      </c>
      <c r="J49" s="6" t="s">
        <v>33</v>
      </c>
      <c r="K49" s="6" t="s">
        <v>17</v>
      </c>
    </row>
    <row r="50" ht="22.5" customHeight="1">
      <c r="A50" s="5">
        <v>46167.74087298611</v>
      </c>
      <c r="B50" s="6" t="s">
        <v>151</v>
      </c>
      <c r="C50" s="6" t="s">
        <v>152</v>
      </c>
      <c r="D50" s="3" t="str">
        <f t="shared" si="1"/>
        <v>AE-0049</v>
      </c>
      <c r="E50" s="3">
        <f t="array" ref="E50">IFERROR(XLOOKUP(D50,'Astronomy 101 Week 1 Quiz (Resp'!F:F,'Astronomy 101 Week 1 Quiz (Resp'!E:E),0)</f>
        <v>41</v>
      </c>
      <c r="F50" s="3" t="s">
        <v>14</v>
      </c>
      <c r="G50" s="3"/>
      <c r="H50" s="6">
        <v>9.049571315E9</v>
      </c>
      <c r="I50" s="6" t="s">
        <v>153</v>
      </c>
      <c r="J50" s="6" t="s">
        <v>16</v>
      </c>
      <c r="K50" s="6" t="s">
        <v>17</v>
      </c>
    </row>
    <row r="51" ht="22.5" customHeight="1">
      <c r="A51" s="5">
        <v>46167.75363152778</v>
      </c>
      <c r="B51" s="6" t="s">
        <v>154</v>
      </c>
      <c r="C51" s="6" t="s">
        <v>155</v>
      </c>
      <c r="D51" s="3" t="str">
        <f t="shared" si="1"/>
        <v>AE-0050</v>
      </c>
      <c r="E51" s="3">
        <f t="array" ref="E51">IFERROR(XLOOKUP(D51,'Astronomy 101 Week 1 Quiz (Resp'!F:F,'Astronomy 101 Week 1 Quiz (Resp'!E:E),0)</f>
        <v>0</v>
      </c>
      <c r="F51" s="3" t="s">
        <v>14</v>
      </c>
      <c r="G51" s="3"/>
      <c r="H51" s="6">
        <v>7.739098638E9</v>
      </c>
      <c r="I51" s="6" t="s">
        <v>15</v>
      </c>
      <c r="J51" s="6" t="s">
        <v>16</v>
      </c>
      <c r="K51" s="6" t="s">
        <v>17</v>
      </c>
    </row>
    <row r="52" ht="22.5" customHeight="1">
      <c r="A52" s="5">
        <v>46167.75693232639</v>
      </c>
      <c r="B52" s="6" t="s">
        <v>156</v>
      </c>
      <c r="C52" s="6" t="s">
        <v>157</v>
      </c>
      <c r="D52" s="3" t="str">
        <f t="shared" si="1"/>
        <v>AE-0051</v>
      </c>
      <c r="E52" s="3">
        <f t="array" ref="E52">IFERROR(XLOOKUP(D52,'Astronomy 101 Week 1 Quiz (Resp'!F:F,'Astronomy 101 Week 1 Quiz (Resp'!E:E),0)</f>
        <v>0</v>
      </c>
      <c r="F52" s="3" t="s">
        <v>14</v>
      </c>
      <c r="G52" s="3"/>
      <c r="H52" s="6">
        <v>8.69669294E9</v>
      </c>
      <c r="I52" s="6" t="s">
        <v>42</v>
      </c>
      <c r="J52" s="6" t="s">
        <v>16</v>
      </c>
      <c r="K52" s="6" t="s">
        <v>43</v>
      </c>
    </row>
    <row r="53" ht="22.5" customHeight="1">
      <c r="A53" s="5">
        <v>46167.76027953703</v>
      </c>
      <c r="B53" s="6" t="s">
        <v>158</v>
      </c>
      <c r="C53" s="6" t="s">
        <v>159</v>
      </c>
      <c r="D53" s="3" t="str">
        <f t="shared" si="1"/>
        <v>AE-0052</v>
      </c>
      <c r="E53" s="3">
        <f t="array" ref="E53">IFERROR(XLOOKUP(D53,'Astronomy 101 Week 1 Quiz (Resp'!F:F,'Astronomy 101 Week 1 Quiz (Resp'!E:E),0)</f>
        <v>0</v>
      </c>
      <c r="F53" s="3" t="s">
        <v>14</v>
      </c>
      <c r="G53" s="3"/>
      <c r="H53" s="6">
        <v>9.142696275E9</v>
      </c>
      <c r="I53" s="6" t="s">
        <v>64</v>
      </c>
      <c r="J53" s="6" t="s">
        <v>16</v>
      </c>
      <c r="K53" s="6" t="s">
        <v>43</v>
      </c>
    </row>
    <row r="54" ht="22.5" customHeight="1">
      <c r="A54" s="5">
        <v>46167.78730481482</v>
      </c>
      <c r="B54" s="6" t="s">
        <v>160</v>
      </c>
      <c r="C54" s="6" t="s">
        <v>161</v>
      </c>
      <c r="D54" s="3" t="str">
        <f t="shared" si="1"/>
        <v>AE-0053</v>
      </c>
      <c r="E54" s="3">
        <f t="array" ref="E54">IFERROR(XLOOKUP(D54,'Astronomy 101 Week 1 Quiz (Resp'!F:F,'Astronomy 101 Week 1 Quiz (Resp'!E:E),0)</f>
        <v>0</v>
      </c>
      <c r="F54" s="3" t="s">
        <v>14</v>
      </c>
      <c r="G54" s="3"/>
      <c r="H54" s="6">
        <v>9.875853683E9</v>
      </c>
      <c r="I54" s="6" t="s">
        <v>64</v>
      </c>
      <c r="J54" s="6" t="s">
        <v>33</v>
      </c>
      <c r="K54" s="6" t="s">
        <v>17</v>
      </c>
    </row>
    <row r="55" ht="22.5" customHeight="1">
      <c r="A55" s="5">
        <v>46167.78764606481</v>
      </c>
      <c r="B55" s="6" t="s">
        <v>162</v>
      </c>
      <c r="C55" s="6" t="s">
        <v>163</v>
      </c>
      <c r="D55" s="3" t="str">
        <f t="shared" si="1"/>
        <v>AE-0054</v>
      </c>
      <c r="E55" s="3">
        <f t="array" ref="E55">IFERROR(XLOOKUP(D55,'Astronomy 101 Week 1 Quiz (Resp'!F:F,'Astronomy 101 Week 1 Quiz (Resp'!E:E),0)</f>
        <v>44</v>
      </c>
      <c r="F55" s="3" t="s">
        <v>14</v>
      </c>
      <c r="G55" s="3"/>
      <c r="H55" s="6">
        <v>7.498063055E9</v>
      </c>
      <c r="I55" s="6" t="s">
        <v>29</v>
      </c>
      <c r="J55" s="6" t="s">
        <v>33</v>
      </c>
      <c r="K55" s="6" t="s">
        <v>61</v>
      </c>
    </row>
    <row r="56" ht="22.5" customHeight="1">
      <c r="A56" s="5">
        <v>46167.78927796296</v>
      </c>
      <c r="B56" s="6" t="s">
        <v>164</v>
      </c>
      <c r="C56" s="6" t="s">
        <v>165</v>
      </c>
      <c r="D56" s="3" t="str">
        <f t="shared" si="1"/>
        <v>AE-0055</v>
      </c>
      <c r="E56" s="3">
        <f t="array" ref="E56">IFERROR(XLOOKUP(D56,'Astronomy 101 Week 1 Quiz (Resp'!F:F,'Astronomy 101 Week 1 Quiz (Resp'!E:E),0)</f>
        <v>34</v>
      </c>
      <c r="F56" s="3" t="s">
        <v>14</v>
      </c>
      <c r="G56" s="3"/>
      <c r="H56" s="6">
        <v>9.706969976E9</v>
      </c>
      <c r="I56" s="6" t="s">
        <v>153</v>
      </c>
      <c r="J56" s="6" t="s">
        <v>16</v>
      </c>
      <c r="K56" s="6" t="s">
        <v>61</v>
      </c>
    </row>
    <row r="57" ht="22.5" customHeight="1">
      <c r="A57" s="5">
        <v>46167.79156370371</v>
      </c>
      <c r="B57" s="6" t="s">
        <v>166</v>
      </c>
      <c r="C57" s="6" t="s">
        <v>167</v>
      </c>
      <c r="D57" s="3" t="str">
        <f t="shared" si="1"/>
        <v>AE-0056</v>
      </c>
      <c r="E57" s="3">
        <f t="array" ref="E57">IFERROR(XLOOKUP(D57,'Astronomy 101 Week 1 Quiz (Resp'!F:F,'Astronomy 101 Week 1 Quiz (Resp'!E:E),0)</f>
        <v>0</v>
      </c>
      <c r="F57" s="3" t="s">
        <v>14</v>
      </c>
      <c r="G57" s="3"/>
      <c r="H57" s="6">
        <v>9.172632677E9</v>
      </c>
      <c r="I57" s="6" t="s">
        <v>143</v>
      </c>
      <c r="J57" s="6" t="s">
        <v>16</v>
      </c>
      <c r="K57" s="6" t="s">
        <v>43</v>
      </c>
      <c r="L57" s="6" t="s">
        <v>168</v>
      </c>
    </row>
    <row r="58" ht="22.5" customHeight="1">
      <c r="A58" s="5">
        <v>46167.80714711806</v>
      </c>
      <c r="B58" s="6" t="s">
        <v>169</v>
      </c>
      <c r="C58" s="6" t="s">
        <v>170</v>
      </c>
      <c r="D58" s="3" t="str">
        <f t="shared" si="1"/>
        <v>AE-0057</v>
      </c>
      <c r="E58" s="3">
        <f t="array" ref="E58">IFERROR(XLOOKUP(D58,'Astronomy 101 Week 1 Quiz (Resp'!F:F,'Astronomy 101 Week 1 Quiz (Resp'!E:E),0)</f>
        <v>0</v>
      </c>
      <c r="F58" s="3" t="s">
        <v>14</v>
      </c>
      <c r="G58" s="3"/>
      <c r="H58" s="6">
        <v>9.444927162E9</v>
      </c>
      <c r="I58" s="6" t="s">
        <v>64</v>
      </c>
      <c r="J58" s="6" t="s">
        <v>16</v>
      </c>
      <c r="K58" s="6" t="s">
        <v>17</v>
      </c>
      <c r="L58" s="6" t="s">
        <v>171</v>
      </c>
    </row>
    <row r="59" ht="22.5" customHeight="1">
      <c r="A59" s="5">
        <v>46167.81782898148</v>
      </c>
      <c r="B59" s="6" t="s">
        <v>172</v>
      </c>
      <c r="C59" s="6" t="s">
        <v>173</v>
      </c>
      <c r="D59" s="3" t="str">
        <f t="shared" si="1"/>
        <v>AE-0058</v>
      </c>
      <c r="E59" s="3">
        <f t="array" ref="E59">IFERROR(XLOOKUP(D59,'Astronomy 101 Week 1 Quiz (Resp'!F:F,'Astronomy 101 Week 1 Quiz (Resp'!E:E),0)</f>
        <v>41</v>
      </c>
      <c r="F59" s="3" t="s">
        <v>14</v>
      </c>
      <c r="G59" s="3"/>
      <c r="H59" s="6">
        <v>7.674053888E9</v>
      </c>
      <c r="I59" s="6" t="s">
        <v>64</v>
      </c>
      <c r="J59" s="6" t="s">
        <v>33</v>
      </c>
      <c r="K59" s="6" t="s">
        <v>25</v>
      </c>
    </row>
    <row r="60" ht="22.5" customHeight="1">
      <c r="A60" s="5">
        <v>46167.82912483797</v>
      </c>
      <c r="B60" s="6" t="s">
        <v>174</v>
      </c>
      <c r="C60" s="6" t="s">
        <v>175</v>
      </c>
      <c r="D60" s="3" t="str">
        <f t="shared" si="1"/>
        <v>AE-0059</v>
      </c>
      <c r="E60" s="3">
        <f t="array" ref="E60">IFERROR(XLOOKUP(D60,'Astronomy 101 Week 1 Quiz (Resp'!F:F,'Astronomy 101 Week 1 Quiz (Resp'!E:E),0)</f>
        <v>43</v>
      </c>
      <c r="F60" s="3" t="s">
        <v>14</v>
      </c>
      <c r="G60" s="3"/>
      <c r="H60" s="6">
        <v>9.387069293E9</v>
      </c>
      <c r="I60" s="6" t="s">
        <v>64</v>
      </c>
      <c r="J60" s="6" t="s">
        <v>33</v>
      </c>
      <c r="K60" s="6" t="s">
        <v>82</v>
      </c>
      <c r="L60" s="6" t="s">
        <v>176</v>
      </c>
    </row>
    <row r="61" ht="22.5" customHeight="1">
      <c r="A61" s="5">
        <v>46167.8790065162</v>
      </c>
      <c r="B61" s="6" t="s">
        <v>177</v>
      </c>
      <c r="C61" s="6" t="s">
        <v>178</v>
      </c>
      <c r="D61" s="3" t="str">
        <f t="shared" si="1"/>
        <v>AE-0060</v>
      </c>
      <c r="E61" s="3">
        <f t="array" ref="E61">IFERROR(XLOOKUP(D61,'Astronomy 101 Week 1 Quiz (Resp'!F:F,'Astronomy 101 Week 1 Quiz (Resp'!E:E),0)</f>
        <v>0</v>
      </c>
      <c r="F61" s="3" t="s">
        <v>14</v>
      </c>
      <c r="G61" s="3"/>
      <c r="H61" s="6">
        <v>9.661393965E9</v>
      </c>
      <c r="I61" s="6" t="s">
        <v>64</v>
      </c>
      <c r="J61" s="6" t="s">
        <v>33</v>
      </c>
      <c r="K61" s="6" t="s">
        <v>17</v>
      </c>
    </row>
    <row r="62" ht="22.5" customHeight="1">
      <c r="A62" s="5">
        <v>46167.888522152774</v>
      </c>
      <c r="B62" s="6" t="s">
        <v>179</v>
      </c>
      <c r="C62" s="6" t="s">
        <v>180</v>
      </c>
      <c r="D62" s="3" t="str">
        <f t="shared" si="1"/>
        <v>AE-0061</v>
      </c>
      <c r="E62" s="3">
        <f t="array" ref="E62">IFERROR(XLOOKUP(D62,'Astronomy 101 Week 1 Quiz (Resp'!F:F,'Astronomy 101 Week 1 Quiz (Resp'!E:E),0)</f>
        <v>9</v>
      </c>
      <c r="F62" s="3" t="s">
        <v>14</v>
      </c>
      <c r="G62" s="3"/>
      <c r="H62" s="6">
        <v>9.796701028E9</v>
      </c>
      <c r="I62" s="6" t="s">
        <v>64</v>
      </c>
      <c r="J62" s="6" t="s">
        <v>33</v>
      </c>
      <c r="K62" s="6" t="s">
        <v>43</v>
      </c>
    </row>
    <row r="63" ht="22.5" customHeight="1">
      <c r="A63" s="5">
        <v>46167.89543822917</v>
      </c>
      <c r="B63" s="6" t="s">
        <v>181</v>
      </c>
      <c r="C63" s="6" t="s">
        <v>182</v>
      </c>
      <c r="D63" s="3" t="str">
        <f t="shared" si="1"/>
        <v>AE-0062</v>
      </c>
      <c r="E63" s="3">
        <f t="array" ref="E63">IFERROR(XLOOKUP(D63,'Astronomy 101 Week 1 Quiz (Resp'!F:F,'Astronomy 101 Week 1 Quiz (Resp'!E:E),0)</f>
        <v>0</v>
      </c>
      <c r="F63" s="3" t="s">
        <v>14</v>
      </c>
      <c r="G63" s="3"/>
      <c r="H63" s="6">
        <v>9.552372063E9</v>
      </c>
      <c r="I63" s="6" t="s">
        <v>64</v>
      </c>
      <c r="J63" s="6" t="s">
        <v>33</v>
      </c>
      <c r="K63" s="6" t="s">
        <v>61</v>
      </c>
    </row>
    <row r="64" ht="22.5" customHeight="1">
      <c r="A64" s="5">
        <v>46167.904333611106</v>
      </c>
      <c r="B64" s="6" t="s">
        <v>183</v>
      </c>
      <c r="C64" s="6" t="s">
        <v>184</v>
      </c>
      <c r="D64" s="3" t="str">
        <f t="shared" si="1"/>
        <v>AE-0063</v>
      </c>
      <c r="E64" s="3">
        <f t="array" ref="E64">IFERROR(XLOOKUP(D64,'Astronomy 101 Week 1 Quiz (Resp'!F:F,'Astronomy 101 Week 1 Quiz (Resp'!E:E),0)</f>
        <v>0</v>
      </c>
      <c r="F64" s="3" t="s">
        <v>14</v>
      </c>
      <c r="G64" s="3"/>
      <c r="H64" s="6">
        <v>7.579931539E9</v>
      </c>
      <c r="I64" s="6" t="s">
        <v>185</v>
      </c>
      <c r="J64" s="6" t="s">
        <v>16</v>
      </c>
      <c r="K64" s="6" t="s">
        <v>61</v>
      </c>
      <c r="L64" s="6" t="s">
        <v>186</v>
      </c>
    </row>
    <row r="65" ht="22.5" customHeight="1">
      <c r="A65" s="5">
        <v>46167.92805615741</v>
      </c>
      <c r="B65" s="6" t="s">
        <v>187</v>
      </c>
      <c r="C65" s="6" t="s">
        <v>188</v>
      </c>
      <c r="D65" s="3" t="str">
        <f t="shared" si="1"/>
        <v>AE-0064</v>
      </c>
      <c r="E65" s="3">
        <f t="array" ref="E65">IFERROR(XLOOKUP(D65,'Astronomy 101 Week 1 Quiz (Resp'!F:F,'Astronomy 101 Week 1 Quiz (Resp'!E:E),0)</f>
        <v>0</v>
      </c>
      <c r="F65" s="3" t="s">
        <v>14</v>
      </c>
      <c r="G65" s="3"/>
      <c r="H65" s="6">
        <v>8.788270374E9</v>
      </c>
      <c r="I65" s="6" t="s">
        <v>29</v>
      </c>
      <c r="J65" s="6" t="s">
        <v>33</v>
      </c>
      <c r="K65" s="6" t="s">
        <v>43</v>
      </c>
    </row>
    <row r="66" ht="22.5" customHeight="1">
      <c r="A66" s="5">
        <v>46167.94819431713</v>
      </c>
      <c r="B66" s="6" t="s">
        <v>189</v>
      </c>
      <c r="C66" s="6" t="s">
        <v>190</v>
      </c>
      <c r="D66" s="3" t="str">
        <f t="shared" si="1"/>
        <v>AE-0065</v>
      </c>
      <c r="E66" s="3">
        <f t="array" ref="E66">IFERROR(XLOOKUP(D66,'Astronomy 101 Week 1 Quiz (Resp'!F:F,'Astronomy 101 Week 1 Quiz (Resp'!E:E),0)</f>
        <v>0</v>
      </c>
      <c r="F66" s="3" t="s">
        <v>14</v>
      </c>
      <c r="G66" s="3"/>
      <c r="H66" s="6">
        <v>9.369820561E9</v>
      </c>
      <c r="I66" s="6" t="s">
        <v>191</v>
      </c>
      <c r="J66" s="6" t="s">
        <v>16</v>
      </c>
      <c r="K66" s="6" t="s">
        <v>17</v>
      </c>
      <c r="L66" s="6" t="s">
        <v>192</v>
      </c>
    </row>
    <row r="67" ht="22.5" customHeight="1">
      <c r="A67" s="5">
        <v>46167.9663407176</v>
      </c>
      <c r="B67" s="6" t="s">
        <v>193</v>
      </c>
      <c r="C67" s="6" t="s">
        <v>194</v>
      </c>
      <c r="D67" s="3" t="str">
        <f t="shared" si="1"/>
        <v>AE-0066</v>
      </c>
      <c r="E67" s="3">
        <f t="array" ref="E67">IFERROR(XLOOKUP(D67,'Astronomy 101 Week 1 Quiz (Resp'!F:F,'Astronomy 101 Week 1 Quiz (Resp'!E:E),0)</f>
        <v>0</v>
      </c>
      <c r="F67" s="3" t="s">
        <v>14</v>
      </c>
      <c r="G67" s="3"/>
      <c r="H67" s="6">
        <v>6.2071297E9</v>
      </c>
      <c r="I67" s="6" t="s">
        <v>29</v>
      </c>
      <c r="J67" s="6" t="s">
        <v>33</v>
      </c>
      <c r="K67" s="6" t="s">
        <v>43</v>
      </c>
    </row>
    <row r="68" ht="22.5" customHeight="1">
      <c r="A68" s="5">
        <v>46167.991616875</v>
      </c>
      <c r="B68" s="6" t="s">
        <v>195</v>
      </c>
      <c r="C68" s="6" t="s">
        <v>196</v>
      </c>
      <c r="D68" s="3" t="str">
        <f t="shared" si="1"/>
        <v>AE-0067</v>
      </c>
      <c r="E68" s="3">
        <f t="array" ref="E68">IFERROR(XLOOKUP(D68,'Astronomy 101 Week 1 Quiz (Resp'!F:F,'Astronomy 101 Week 1 Quiz (Resp'!E:E),0)</f>
        <v>0</v>
      </c>
      <c r="F68" s="3" t="s">
        <v>14</v>
      </c>
      <c r="G68" s="3"/>
      <c r="H68" s="6">
        <v>9.321154399E9</v>
      </c>
      <c r="I68" s="6" t="s">
        <v>29</v>
      </c>
      <c r="J68" s="6" t="s">
        <v>16</v>
      </c>
      <c r="K68" s="6" t="s">
        <v>17</v>
      </c>
      <c r="L68" s="6" t="s">
        <v>197</v>
      </c>
    </row>
    <row r="69" ht="22.5" customHeight="1">
      <c r="A69" s="5">
        <v>46168.01121619213</v>
      </c>
      <c r="B69" s="6" t="s">
        <v>198</v>
      </c>
      <c r="C69" s="6" t="s">
        <v>199</v>
      </c>
      <c r="D69" s="3" t="str">
        <f t="shared" si="1"/>
        <v>AE-0068</v>
      </c>
      <c r="E69" s="3">
        <f t="array" ref="E69">IFERROR(XLOOKUP(D69,'Astronomy 101 Week 1 Quiz (Resp'!F:F,'Astronomy 101 Week 1 Quiz (Resp'!E:E),0)</f>
        <v>0</v>
      </c>
      <c r="F69" s="3" t="s">
        <v>14</v>
      </c>
      <c r="G69" s="3"/>
      <c r="H69" s="6">
        <v>9.257943628E9</v>
      </c>
      <c r="I69" s="6" t="s">
        <v>200</v>
      </c>
      <c r="J69" s="6" t="s">
        <v>33</v>
      </c>
      <c r="K69" s="6" t="s">
        <v>43</v>
      </c>
    </row>
    <row r="70" ht="22.5" customHeight="1">
      <c r="A70" s="5">
        <v>46168.02336859953</v>
      </c>
      <c r="B70" s="6" t="s">
        <v>201</v>
      </c>
      <c r="C70" s="6" t="s">
        <v>202</v>
      </c>
      <c r="D70" s="3" t="str">
        <f t="shared" si="1"/>
        <v>AE-0069</v>
      </c>
      <c r="E70" s="3">
        <f t="array" ref="E70">IFERROR(XLOOKUP(D70,'Astronomy 101 Week 1 Quiz (Resp'!F:F,'Astronomy 101 Week 1 Quiz (Resp'!E:E),0)</f>
        <v>45</v>
      </c>
      <c r="F70" s="3" t="s">
        <v>14</v>
      </c>
      <c r="G70" s="3"/>
      <c r="H70" s="6">
        <v>6.283639868E9</v>
      </c>
      <c r="I70" s="6" t="s">
        <v>153</v>
      </c>
      <c r="J70" s="6" t="s">
        <v>33</v>
      </c>
      <c r="K70" s="6" t="s">
        <v>43</v>
      </c>
    </row>
    <row r="71" ht="22.5" customHeight="1">
      <c r="A71" s="5">
        <v>46168.47575888889</v>
      </c>
      <c r="B71" s="6" t="s">
        <v>203</v>
      </c>
      <c r="C71" s="6" t="s">
        <v>204</v>
      </c>
      <c r="D71" s="3" t="str">
        <f t="shared" si="1"/>
        <v>AE-0070</v>
      </c>
      <c r="E71" s="3">
        <f t="array" ref="E71">IFERROR(XLOOKUP(D71,'Astronomy 101 Week 1 Quiz (Resp'!F:F,'Astronomy 101 Week 1 Quiz (Resp'!E:E),0)</f>
        <v>0</v>
      </c>
      <c r="F71" s="3" t="s">
        <v>14</v>
      </c>
      <c r="G71" s="3"/>
      <c r="H71" s="6">
        <v>8.142806087E9</v>
      </c>
      <c r="I71" s="6" t="s">
        <v>32</v>
      </c>
      <c r="J71" s="6" t="s">
        <v>16</v>
      </c>
      <c r="K71" s="6" t="s">
        <v>17</v>
      </c>
      <c r="L71" s="6" t="s">
        <v>205</v>
      </c>
    </row>
    <row r="72" ht="22.5" customHeight="1">
      <c r="A72" s="5">
        <v>46168.86017255787</v>
      </c>
      <c r="B72" s="6" t="s">
        <v>154</v>
      </c>
      <c r="C72" s="6" t="s">
        <v>206</v>
      </c>
      <c r="D72" s="3" t="str">
        <f t="shared" si="1"/>
        <v>AE-0071</v>
      </c>
      <c r="E72" s="3">
        <f t="array" ref="E72">IFERROR(XLOOKUP(D72,'Astronomy 101 Week 1 Quiz (Resp'!F:F,'Astronomy 101 Week 1 Quiz (Resp'!E:E),0)</f>
        <v>0</v>
      </c>
      <c r="F72" s="3" t="s">
        <v>14</v>
      </c>
      <c r="G72" s="3"/>
      <c r="H72" s="6">
        <v>7.739098638E9</v>
      </c>
      <c r="I72" s="6" t="s">
        <v>15</v>
      </c>
      <c r="J72" s="6" t="s">
        <v>16</v>
      </c>
      <c r="K72" s="6" t="s">
        <v>17</v>
      </c>
    </row>
    <row r="73" ht="22.5" customHeight="1">
      <c r="A73" s="5">
        <v>46168.980306701385</v>
      </c>
      <c r="B73" s="6" t="s">
        <v>207</v>
      </c>
      <c r="C73" s="6" t="s">
        <v>208</v>
      </c>
      <c r="D73" s="3" t="str">
        <f t="shared" si="1"/>
        <v>AE-0072</v>
      </c>
      <c r="E73" s="3">
        <f t="array" ref="E73">IFERROR(XLOOKUP(D73,'Astronomy 101 Week 1 Quiz (Resp'!F:F,'Astronomy 101 Week 1 Quiz (Resp'!E:E),0)</f>
        <v>0</v>
      </c>
      <c r="F73" s="3" t="s">
        <v>14</v>
      </c>
      <c r="G73" s="3"/>
      <c r="H73" s="6">
        <v>7.326086433E9</v>
      </c>
      <c r="I73" s="6" t="s">
        <v>209</v>
      </c>
      <c r="J73" s="6" t="s">
        <v>16</v>
      </c>
      <c r="K73" s="6" t="s">
        <v>25</v>
      </c>
    </row>
    <row r="74" ht="22.5" customHeight="1">
      <c r="A74" s="5">
        <v>46168.99059003472</v>
      </c>
      <c r="B74" s="6" t="s">
        <v>210</v>
      </c>
      <c r="C74" s="6" t="s">
        <v>211</v>
      </c>
      <c r="D74" s="3" t="str">
        <f t="shared" si="1"/>
        <v>AE-0073</v>
      </c>
      <c r="E74" s="3">
        <f t="array" ref="E74">IFERROR(XLOOKUP(D74,'Astronomy 101 Week 1 Quiz (Resp'!F:F,'Astronomy 101 Week 1 Quiz (Resp'!E:E),0)</f>
        <v>0</v>
      </c>
      <c r="F74" s="3" t="s">
        <v>14</v>
      </c>
      <c r="G74" s="3"/>
      <c r="H74" s="6">
        <v>6.3700587E9</v>
      </c>
      <c r="I74" s="6" t="s">
        <v>212</v>
      </c>
      <c r="J74" s="6" t="s">
        <v>16</v>
      </c>
      <c r="K74" s="6" t="s">
        <v>47</v>
      </c>
    </row>
    <row r="75" ht="22.5" customHeight="1">
      <c r="A75" s="5">
        <v>46168.99416584491</v>
      </c>
      <c r="B75" s="6" t="s">
        <v>213</v>
      </c>
      <c r="C75" s="6" t="s">
        <v>214</v>
      </c>
      <c r="D75" s="3" t="str">
        <f t="shared" si="1"/>
        <v>AE-0074</v>
      </c>
      <c r="E75" s="3">
        <f t="array" ref="E75">IFERROR(XLOOKUP(D75,'Astronomy 101 Week 1 Quiz (Resp'!F:F,'Astronomy 101 Week 1 Quiz (Resp'!E:E),0)</f>
        <v>0</v>
      </c>
      <c r="F75" s="3" t="s">
        <v>14</v>
      </c>
      <c r="G75" s="3"/>
      <c r="H75" s="6">
        <v>8.895617835E9</v>
      </c>
      <c r="I75" s="6" t="s">
        <v>209</v>
      </c>
      <c r="J75" s="6" t="s">
        <v>16</v>
      </c>
      <c r="K75" s="6" t="s">
        <v>17</v>
      </c>
      <c r="L75" s="6" t="s">
        <v>215</v>
      </c>
    </row>
    <row r="76" ht="22.5" customHeight="1">
      <c r="A76" s="5">
        <v>46169.03188653935</v>
      </c>
      <c r="B76" s="6" t="s">
        <v>216</v>
      </c>
      <c r="C76" s="6" t="s">
        <v>217</v>
      </c>
      <c r="D76" s="3" t="str">
        <f t="shared" si="1"/>
        <v>AE-0075</v>
      </c>
      <c r="E76" s="3">
        <f t="array" ref="E76">IFERROR(XLOOKUP(D76,'Astronomy 101 Week 1 Quiz (Resp'!F:F,'Astronomy 101 Week 1 Quiz (Resp'!E:E),0)</f>
        <v>0</v>
      </c>
      <c r="F76" s="3" t="s">
        <v>14</v>
      </c>
      <c r="G76" s="3"/>
      <c r="H76" s="6">
        <v>9.920845248E9</v>
      </c>
      <c r="I76" s="6" t="s">
        <v>218</v>
      </c>
      <c r="J76" s="6" t="s">
        <v>16</v>
      </c>
      <c r="K76" s="6" t="s">
        <v>43</v>
      </c>
      <c r="L76" s="6" t="s">
        <v>219</v>
      </c>
    </row>
    <row r="77" ht="22.5" customHeight="1">
      <c r="A77" s="5">
        <v>46169.05343054398</v>
      </c>
      <c r="B77" s="6" t="s">
        <v>220</v>
      </c>
      <c r="C77" s="6" t="s">
        <v>221</v>
      </c>
      <c r="D77" s="3" t="str">
        <f t="shared" si="1"/>
        <v>AE-0076</v>
      </c>
      <c r="E77" s="3">
        <f t="array" ref="E77">IFERROR(XLOOKUP(D77,'Astronomy 101 Week 1 Quiz (Resp'!F:F,'Astronomy 101 Week 1 Quiz (Resp'!E:E),0)</f>
        <v>46</v>
      </c>
      <c r="F77" s="3" t="s">
        <v>14</v>
      </c>
      <c r="G77" s="3"/>
      <c r="H77" s="6">
        <v>9.98130377E9</v>
      </c>
      <c r="I77" s="6" t="s">
        <v>222</v>
      </c>
      <c r="J77" s="6" t="s">
        <v>16</v>
      </c>
      <c r="K77" s="6" t="s">
        <v>61</v>
      </c>
      <c r="L77" s="6" t="s">
        <v>223</v>
      </c>
    </row>
    <row r="78" ht="22.5" customHeight="1">
      <c r="A78" s="5">
        <v>46169.06540076389</v>
      </c>
      <c r="B78" s="6" t="s">
        <v>224</v>
      </c>
      <c r="C78" s="6" t="s">
        <v>225</v>
      </c>
      <c r="D78" s="3" t="str">
        <f t="shared" si="1"/>
        <v>AE-0077</v>
      </c>
      <c r="E78" s="3">
        <f t="array" ref="E78">IFERROR(XLOOKUP(D78,'Astronomy 101 Week 1 Quiz (Resp'!F:F,'Astronomy 101 Week 1 Quiz (Resp'!E:E),0)</f>
        <v>0</v>
      </c>
      <c r="F78" s="3" t="s">
        <v>14</v>
      </c>
      <c r="G78" s="3"/>
      <c r="H78" s="6">
        <v>9.630808399E9</v>
      </c>
      <c r="I78" s="6" t="s">
        <v>226</v>
      </c>
      <c r="J78" s="6" t="s">
        <v>16</v>
      </c>
      <c r="K78" s="6" t="s">
        <v>21</v>
      </c>
      <c r="L78" s="6" t="s">
        <v>227</v>
      </c>
    </row>
    <row r="79" ht="22.5" customHeight="1">
      <c r="A79" s="5">
        <v>46169.066273425924</v>
      </c>
      <c r="B79" s="6" t="s">
        <v>228</v>
      </c>
      <c r="C79" s="6" t="s">
        <v>229</v>
      </c>
      <c r="D79" s="3" t="str">
        <f t="shared" si="1"/>
        <v>AE-0078</v>
      </c>
      <c r="E79" s="3">
        <f t="array" ref="E79">IFERROR(XLOOKUP(D79,'Astronomy 101 Week 1 Quiz (Resp'!F:F,'Astronomy 101 Week 1 Quiz (Resp'!E:E),0)</f>
        <v>0</v>
      </c>
      <c r="F79" s="3" t="s">
        <v>14</v>
      </c>
      <c r="G79" s="3"/>
      <c r="H79" s="6">
        <v>9.431255973E9</v>
      </c>
      <c r="I79" s="6" t="s">
        <v>230</v>
      </c>
      <c r="J79" s="6" t="s">
        <v>16</v>
      </c>
      <c r="K79" s="6" t="s">
        <v>17</v>
      </c>
    </row>
    <row r="80" ht="22.5" customHeight="1">
      <c r="A80" s="5">
        <v>46169.06750362269</v>
      </c>
      <c r="B80" s="6" t="s">
        <v>231</v>
      </c>
      <c r="C80" s="6" t="s">
        <v>232</v>
      </c>
      <c r="D80" s="3" t="str">
        <f t="shared" si="1"/>
        <v>AE-0079</v>
      </c>
      <c r="E80" s="3">
        <f t="array" ref="E80">IFERROR(XLOOKUP(D80,'Astronomy 101 Week 1 Quiz (Resp'!F:F,'Astronomy 101 Week 1 Quiz (Resp'!E:E),0)</f>
        <v>0</v>
      </c>
      <c r="F80" s="3" t="s">
        <v>14</v>
      </c>
      <c r="G80" s="3"/>
      <c r="H80" s="6">
        <v>7.387166279E9</v>
      </c>
      <c r="I80" s="6" t="s">
        <v>233</v>
      </c>
      <c r="J80" s="6" t="s">
        <v>16</v>
      </c>
      <c r="K80" s="6" t="s">
        <v>25</v>
      </c>
      <c r="L80" s="6" t="s">
        <v>234</v>
      </c>
    </row>
    <row r="81" ht="22.5" customHeight="1">
      <c r="A81" s="5">
        <v>46169.0738962037</v>
      </c>
      <c r="B81" s="6" t="s">
        <v>235</v>
      </c>
      <c r="C81" s="6" t="s">
        <v>236</v>
      </c>
      <c r="D81" s="3" t="str">
        <f t="shared" si="1"/>
        <v>AE-0080</v>
      </c>
      <c r="E81" s="3">
        <f t="array" ref="E81">IFERROR(XLOOKUP(D81,'Astronomy 101 Week 1 Quiz (Resp'!F:F,'Astronomy 101 Week 1 Quiz (Resp'!E:E),0)</f>
        <v>0</v>
      </c>
      <c r="F81" s="3" t="s">
        <v>14</v>
      </c>
      <c r="G81" s="3"/>
      <c r="H81" s="6">
        <v>9.501889938E9</v>
      </c>
      <c r="I81" s="6" t="s">
        <v>233</v>
      </c>
      <c r="J81" s="6" t="s">
        <v>16</v>
      </c>
      <c r="K81" s="6" t="s">
        <v>61</v>
      </c>
    </row>
    <row r="82" ht="22.5" customHeight="1">
      <c r="A82" s="5">
        <v>46169.093236967594</v>
      </c>
      <c r="B82" s="6" t="s">
        <v>237</v>
      </c>
      <c r="C82" s="6" t="s">
        <v>238</v>
      </c>
      <c r="D82" s="3" t="str">
        <f t="shared" si="1"/>
        <v>AE-0081</v>
      </c>
      <c r="E82" s="3">
        <f t="array" ref="E82">IFERROR(XLOOKUP(D82,'Astronomy 101 Week 1 Quiz (Resp'!F:F,'Astronomy 101 Week 1 Quiz (Resp'!E:E),0)</f>
        <v>0</v>
      </c>
      <c r="F82" s="3" t="s">
        <v>14</v>
      </c>
      <c r="G82" s="3"/>
      <c r="H82" s="6">
        <v>7.597209911E9</v>
      </c>
      <c r="I82" s="6" t="s">
        <v>233</v>
      </c>
      <c r="J82" s="6" t="s">
        <v>16</v>
      </c>
      <c r="K82" s="6" t="s">
        <v>17</v>
      </c>
    </row>
    <row r="83" ht="22.5" customHeight="1">
      <c r="A83" s="5">
        <v>46169.09387357639</v>
      </c>
      <c r="B83" s="6" t="s">
        <v>239</v>
      </c>
      <c r="C83" s="6" t="s">
        <v>240</v>
      </c>
      <c r="D83" s="3" t="str">
        <f t="shared" si="1"/>
        <v>AE-0082</v>
      </c>
      <c r="E83" s="3">
        <f t="array" ref="E83">IFERROR(XLOOKUP(D83,'Astronomy 101 Week 1 Quiz (Resp'!F:F,'Astronomy 101 Week 1 Quiz (Resp'!E:E),0)</f>
        <v>0</v>
      </c>
      <c r="F83" s="3" t="s">
        <v>14</v>
      </c>
      <c r="G83" s="3"/>
      <c r="H83" s="6">
        <v>9.109059666E9</v>
      </c>
      <c r="I83" s="6" t="s">
        <v>226</v>
      </c>
      <c r="J83" s="6" t="s">
        <v>16</v>
      </c>
      <c r="K83" s="6" t="s">
        <v>21</v>
      </c>
      <c r="L83" s="6" t="s">
        <v>241</v>
      </c>
    </row>
    <row r="84" ht="22.5" customHeight="1">
      <c r="A84" s="5">
        <v>46169.12889984954</v>
      </c>
      <c r="B84" s="6" t="s">
        <v>242</v>
      </c>
      <c r="C84" s="6" t="s">
        <v>243</v>
      </c>
      <c r="D84" s="3" t="str">
        <f t="shared" si="1"/>
        <v>AE-0083</v>
      </c>
      <c r="E84" s="3">
        <f t="array" ref="E84">IFERROR(XLOOKUP(D84,'Astronomy 101 Week 1 Quiz (Resp'!F:F,'Astronomy 101 Week 1 Quiz (Resp'!E:E),0)</f>
        <v>44</v>
      </c>
      <c r="F84" s="3" t="s">
        <v>14</v>
      </c>
      <c r="G84" s="3"/>
      <c r="H84" s="6">
        <v>9.870444706E9</v>
      </c>
      <c r="I84" s="6" t="s">
        <v>64</v>
      </c>
      <c r="J84" s="6" t="s">
        <v>16</v>
      </c>
    </row>
    <row r="85" ht="22.5" customHeight="1">
      <c r="A85" s="5">
        <v>46169.22094644676</v>
      </c>
      <c r="B85" s="6" t="s">
        <v>244</v>
      </c>
      <c r="C85" s="6" t="s">
        <v>245</v>
      </c>
      <c r="D85" s="3" t="str">
        <f t="shared" si="1"/>
        <v>AE-0084</v>
      </c>
      <c r="E85" s="3">
        <f t="array" ref="E85">IFERROR(XLOOKUP(D85,'Astronomy 101 Week 1 Quiz (Resp'!F:F,'Astronomy 101 Week 1 Quiz (Resp'!E:E),0)</f>
        <v>0</v>
      </c>
      <c r="F85" s="3" t="s">
        <v>14</v>
      </c>
      <c r="G85" s="3"/>
      <c r="H85" s="6">
        <v>6.377863683E9</v>
      </c>
      <c r="I85" s="6" t="s">
        <v>246</v>
      </c>
      <c r="J85" s="6" t="s">
        <v>16</v>
      </c>
      <c r="K85" s="6" t="s">
        <v>82</v>
      </c>
    </row>
    <row r="86" ht="22.5" customHeight="1">
      <c r="A86" s="5">
        <v>46169.253298553245</v>
      </c>
      <c r="B86" s="6" t="s">
        <v>247</v>
      </c>
      <c r="C86" s="6" t="s">
        <v>248</v>
      </c>
      <c r="D86" s="3" t="str">
        <f t="shared" si="1"/>
        <v>AE-0085</v>
      </c>
      <c r="E86" s="3">
        <f t="array" ref="E86">IFERROR(XLOOKUP(D86,'Astronomy 101 Week 1 Quiz (Resp'!F:F,'Astronomy 101 Week 1 Quiz (Resp'!E:E),0)</f>
        <v>0</v>
      </c>
      <c r="F86" s="3" t="s">
        <v>14</v>
      </c>
      <c r="G86" s="3"/>
      <c r="H86" s="6">
        <v>9.4600084E9</v>
      </c>
      <c r="I86" s="6" t="s">
        <v>15</v>
      </c>
      <c r="J86" s="6" t="s">
        <v>16</v>
      </c>
      <c r="K86" s="6" t="s">
        <v>17</v>
      </c>
      <c r="L86" s="6" t="s">
        <v>249</v>
      </c>
    </row>
    <row r="87" ht="22.5" customHeight="1">
      <c r="A87" s="5">
        <v>46169.28412778935</v>
      </c>
      <c r="B87" s="6" t="s">
        <v>250</v>
      </c>
      <c r="C87" s="6" t="s">
        <v>251</v>
      </c>
      <c r="D87" s="3" t="str">
        <f t="shared" si="1"/>
        <v>AE-0086</v>
      </c>
      <c r="E87" s="3">
        <f t="array" ref="E87">IFERROR(XLOOKUP(D87,'Astronomy 101 Week 1 Quiz (Resp'!F:F,'Astronomy 101 Week 1 Quiz (Resp'!E:E),0)</f>
        <v>0</v>
      </c>
      <c r="F87" s="3" t="s">
        <v>14</v>
      </c>
      <c r="G87" s="3"/>
      <c r="H87" s="6">
        <v>8.520826757E9</v>
      </c>
      <c r="I87" s="6" t="s">
        <v>252</v>
      </c>
      <c r="J87" s="6" t="s">
        <v>16</v>
      </c>
      <c r="K87" s="6" t="s">
        <v>82</v>
      </c>
      <c r="L87" s="6" t="s">
        <v>253</v>
      </c>
    </row>
    <row r="88" ht="22.5" customHeight="1">
      <c r="A88" s="5">
        <v>46169.3197767824</v>
      </c>
      <c r="B88" s="6" t="s">
        <v>254</v>
      </c>
      <c r="C88" s="6" t="s">
        <v>255</v>
      </c>
      <c r="D88" s="3" t="str">
        <f t="shared" si="1"/>
        <v>AE-0087</v>
      </c>
      <c r="E88" s="3">
        <f t="array" ref="E88">IFERROR(XLOOKUP(D88,'Astronomy 101 Week 1 Quiz (Resp'!F:F,'Astronomy 101 Week 1 Quiz (Resp'!E:E),0)</f>
        <v>0</v>
      </c>
      <c r="F88" s="3" t="s">
        <v>14</v>
      </c>
      <c r="G88" s="3"/>
      <c r="H88" s="6">
        <v>9.413844456E9</v>
      </c>
      <c r="I88" s="6" t="s">
        <v>233</v>
      </c>
      <c r="J88" s="6" t="s">
        <v>16</v>
      </c>
      <c r="K88" s="6" t="s">
        <v>21</v>
      </c>
    </row>
    <row r="89" ht="22.5" customHeight="1">
      <c r="A89" s="5">
        <v>46169.3333584838</v>
      </c>
      <c r="B89" s="6" t="s">
        <v>256</v>
      </c>
      <c r="C89" s="6" t="s">
        <v>257</v>
      </c>
      <c r="D89" s="3" t="str">
        <f t="shared" si="1"/>
        <v>AE-0088</v>
      </c>
      <c r="E89" s="3">
        <f t="array" ref="E89">IFERROR(XLOOKUP(D89,'Astronomy 101 Week 1 Quiz (Resp'!F:F,'Astronomy 101 Week 1 Quiz (Resp'!E:E),0)</f>
        <v>0</v>
      </c>
      <c r="F89" s="3" t="s">
        <v>14</v>
      </c>
      <c r="G89" s="3"/>
      <c r="H89" s="6">
        <v>8.109517118E9</v>
      </c>
      <c r="I89" s="6" t="s">
        <v>258</v>
      </c>
      <c r="J89" s="6" t="s">
        <v>16</v>
      </c>
      <c r="K89" s="6" t="s">
        <v>61</v>
      </c>
      <c r="L89" s="6" t="s">
        <v>259</v>
      </c>
    </row>
    <row r="90" ht="22.5" customHeight="1">
      <c r="A90" s="5">
        <v>46169.34640712963</v>
      </c>
      <c r="B90" s="6" t="s">
        <v>260</v>
      </c>
      <c r="C90" s="6" t="s">
        <v>261</v>
      </c>
      <c r="D90" s="3" t="str">
        <f t="shared" si="1"/>
        <v>AE-0089</v>
      </c>
      <c r="E90" s="3">
        <f t="array" ref="E90">IFERROR(XLOOKUP(D90,'Astronomy 101 Week 1 Quiz (Resp'!F:F,'Astronomy 101 Week 1 Quiz (Resp'!E:E),0)</f>
        <v>45</v>
      </c>
      <c r="F90" s="3" t="s">
        <v>14</v>
      </c>
      <c r="G90" s="3"/>
      <c r="H90" s="6">
        <v>9.942169891E9</v>
      </c>
      <c r="I90" s="6" t="s">
        <v>262</v>
      </c>
      <c r="J90" s="6" t="s">
        <v>16</v>
      </c>
      <c r="K90" s="6" t="s">
        <v>17</v>
      </c>
      <c r="L90" s="6" t="s">
        <v>263</v>
      </c>
    </row>
    <row r="91" ht="22.5" customHeight="1">
      <c r="A91" s="5">
        <v>46169.351121099535</v>
      </c>
      <c r="B91" s="6" t="s">
        <v>264</v>
      </c>
      <c r="C91" s="6" t="s">
        <v>265</v>
      </c>
      <c r="D91" s="3" t="str">
        <f t="shared" si="1"/>
        <v>AE-0090</v>
      </c>
      <c r="E91" s="3">
        <f t="array" ref="E91">IFERROR(XLOOKUP(D91,'Astronomy 101 Week 1 Quiz (Resp'!F:F,'Astronomy 101 Week 1 Quiz (Resp'!E:E),0)</f>
        <v>0</v>
      </c>
      <c r="F91" s="3" t="s">
        <v>14</v>
      </c>
      <c r="G91" s="3"/>
      <c r="H91" s="6">
        <v>8.168339952E9</v>
      </c>
      <c r="I91" s="6" t="s">
        <v>67</v>
      </c>
      <c r="J91" s="6" t="s">
        <v>16</v>
      </c>
      <c r="K91" s="6" t="s">
        <v>25</v>
      </c>
    </row>
    <row r="92" ht="22.5" customHeight="1">
      <c r="A92" s="5">
        <v>46169.36730810185</v>
      </c>
      <c r="B92" s="6" t="s">
        <v>266</v>
      </c>
      <c r="C92" s="6" t="s">
        <v>267</v>
      </c>
      <c r="D92" s="3" t="str">
        <f t="shared" si="1"/>
        <v>AE-0091</v>
      </c>
      <c r="E92" s="3">
        <f t="array" ref="E92">IFERROR(XLOOKUP(D92,'Astronomy 101 Week 1 Quiz (Resp'!F:F,'Astronomy 101 Week 1 Quiz (Resp'!E:E),0)</f>
        <v>0</v>
      </c>
      <c r="F92" s="3" t="s">
        <v>14</v>
      </c>
      <c r="G92" s="3"/>
      <c r="H92" s="6">
        <v>8.303492872E9</v>
      </c>
      <c r="I92" s="6" t="s">
        <v>29</v>
      </c>
      <c r="J92" s="6" t="s">
        <v>16</v>
      </c>
      <c r="K92" s="6" t="s">
        <v>61</v>
      </c>
    </row>
    <row r="93" ht="22.5" customHeight="1">
      <c r="A93" s="5">
        <v>46169.37475366898</v>
      </c>
      <c r="B93" s="6" t="s">
        <v>268</v>
      </c>
      <c r="C93" s="6" t="s">
        <v>269</v>
      </c>
      <c r="D93" s="3" t="str">
        <f t="shared" si="1"/>
        <v>AE-0092</v>
      </c>
      <c r="E93" s="3">
        <f t="array" ref="E93">IFERROR(XLOOKUP(D93,'Astronomy 101 Week 1 Quiz (Resp'!F:F,'Astronomy 101 Week 1 Quiz (Resp'!E:E),0)</f>
        <v>0</v>
      </c>
      <c r="F93" s="3" t="s">
        <v>14</v>
      </c>
      <c r="G93" s="3"/>
      <c r="H93" s="6">
        <v>9.07293816E9</v>
      </c>
      <c r="I93" s="6" t="s">
        <v>270</v>
      </c>
      <c r="J93" s="6" t="s">
        <v>16</v>
      </c>
      <c r="K93" s="6" t="s">
        <v>21</v>
      </c>
    </row>
    <row r="94" ht="22.5" customHeight="1">
      <c r="A94" s="5">
        <v>46169.387235092596</v>
      </c>
      <c r="B94" s="6" t="s">
        <v>271</v>
      </c>
      <c r="C94" s="6" t="s">
        <v>272</v>
      </c>
      <c r="D94" s="3" t="str">
        <f t="shared" si="1"/>
        <v>AE-0093</v>
      </c>
      <c r="E94" s="3">
        <f t="array" ref="E94">IFERROR(XLOOKUP(D94,'Astronomy 101 Week 1 Quiz (Resp'!F:F,'Astronomy 101 Week 1 Quiz (Resp'!E:E),0)</f>
        <v>0</v>
      </c>
      <c r="F94" s="3" t="s">
        <v>14</v>
      </c>
      <c r="G94" s="3"/>
      <c r="H94" s="6">
        <v>7.428485611E9</v>
      </c>
      <c r="I94" s="6" t="s">
        <v>273</v>
      </c>
      <c r="J94" s="6" t="s">
        <v>16</v>
      </c>
      <c r="K94" s="6" t="s">
        <v>61</v>
      </c>
      <c r="L94" s="6" t="s">
        <v>274</v>
      </c>
    </row>
    <row r="95" ht="22.5" customHeight="1">
      <c r="A95" s="5">
        <v>46169.396732407404</v>
      </c>
      <c r="B95" s="6" t="s">
        <v>275</v>
      </c>
      <c r="C95" s="6" t="s">
        <v>276</v>
      </c>
      <c r="D95" s="3" t="str">
        <f t="shared" si="1"/>
        <v>AE-0094</v>
      </c>
      <c r="E95" s="3">
        <f t="array" ref="E95">IFERROR(XLOOKUP(D95,'Astronomy 101 Week 1 Quiz (Resp'!F:F,'Astronomy 101 Week 1 Quiz (Resp'!E:E),0)</f>
        <v>33</v>
      </c>
      <c r="F95" s="3" t="s">
        <v>14</v>
      </c>
      <c r="G95" s="3"/>
      <c r="H95" s="6">
        <v>7.41557649E9</v>
      </c>
      <c r="I95" s="6" t="s">
        <v>277</v>
      </c>
      <c r="J95" s="6" t="s">
        <v>16</v>
      </c>
      <c r="K95" s="6" t="s">
        <v>25</v>
      </c>
      <c r="L95" s="6" t="s">
        <v>278</v>
      </c>
    </row>
    <row r="96" ht="22.5" customHeight="1">
      <c r="A96" s="5">
        <v>46169.39773952546</v>
      </c>
      <c r="B96" s="6" t="s">
        <v>279</v>
      </c>
      <c r="C96" s="6" t="s">
        <v>280</v>
      </c>
      <c r="D96" s="3" t="str">
        <f t="shared" si="1"/>
        <v>AE-0095</v>
      </c>
      <c r="E96" s="3">
        <f t="array" ref="E96">IFERROR(XLOOKUP(D96,'Astronomy 101 Week 1 Quiz (Resp'!F:F,'Astronomy 101 Week 1 Quiz (Resp'!E:E),0)</f>
        <v>44</v>
      </c>
      <c r="F96" s="3" t="s">
        <v>14</v>
      </c>
      <c r="G96" s="3"/>
      <c r="H96" s="6">
        <v>8.999457297E9</v>
      </c>
      <c r="I96" s="6" t="s">
        <v>281</v>
      </c>
      <c r="J96" s="6" t="s">
        <v>16</v>
      </c>
      <c r="K96" s="6" t="s">
        <v>47</v>
      </c>
      <c r="L96" s="6" t="s">
        <v>282</v>
      </c>
    </row>
    <row r="97" ht="22.5" customHeight="1">
      <c r="A97" s="5">
        <v>46169.40586996528</v>
      </c>
      <c r="B97" s="6" t="s">
        <v>283</v>
      </c>
      <c r="C97" s="6" t="s">
        <v>284</v>
      </c>
      <c r="D97" s="3" t="str">
        <f t="shared" si="1"/>
        <v>AE-0096</v>
      </c>
      <c r="E97" s="3">
        <f t="array" ref="E97">IFERROR(XLOOKUP(D97,'Astronomy 101 Week 1 Quiz (Resp'!F:F,'Astronomy 101 Week 1 Quiz (Resp'!E:E),0)</f>
        <v>0</v>
      </c>
      <c r="F97" s="3" t="s">
        <v>14</v>
      </c>
      <c r="G97" s="3"/>
      <c r="H97" s="6">
        <v>9.774525452E9</v>
      </c>
      <c r="I97" s="6" t="s">
        <v>285</v>
      </c>
      <c r="J97" s="6" t="s">
        <v>16</v>
      </c>
      <c r="K97" s="6" t="s">
        <v>17</v>
      </c>
    </row>
    <row r="98" ht="22.5" customHeight="1">
      <c r="A98" s="5">
        <v>46169.406393576384</v>
      </c>
      <c r="B98" s="6" t="s">
        <v>286</v>
      </c>
      <c r="C98" s="6" t="s">
        <v>287</v>
      </c>
      <c r="D98" s="3" t="str">
        <f t="shared" si="1"/>
        <v>AE-0097</v>
      </c>
      <c r="E98" s="3">
        <f t="array" ref="E98">IFERROR(XLOOKUP(D98,'Astronomy 101 Week 1 Quiz (Resp'!F:F,'Astronomy 101 Week 1 Quiz (Resp'!E:E),0)</f>
        <v>0</v>
      </c>
      <c r="F98" s="3" t="s">
        <v>14</v>
      </c>
      <c r="G98" s="3"/>
      <c r="H98" s="6">
        <v>9.495692653E9</v>
      </c>
      <c r="I98" s="6" t="s">
        <v>288</v>
      </c>
      <c r="J98" s="6" t="s">
        <v>16</v>
      </c>
      <c r="K98" s="6" t="s">
        <v>25</v>
      </c>
    </row>
    <row r="99" ht="22.5" customHeight="1">
      <c r="A99" s="5">
        <v>46169.40659366898</v>
      </c>
      <c r="B99" s="6" t="s">
        <v>289</v>
      </c>
      <c r="C99" s="6" t="s">
        <v>290</v>
      </c>
      <c r="D99" s="3" t="str">
        <f t="shared" si="1"/>
        <v>AE-0098</v>
      </c>
      <c r="E99" s="3">
        <f t="array" ref="E99">IFERROR(XLOOKUP(D99,'Astronomy 101 Week 1 Quiz (Resp'!F:F,'Astronomy 101 Week 1 Quiz (Resp'!E:E),0)</f>
        <v>38</v>
      </c>
      <c r="F99" s="3" t="s">
        <v>14</v>
      </c>
      <c r="G99" s="3"/>
      <c r="H99" s="6">
        <v>9.074737289E9</v>
      </c>
      <c r="I99" s="6" t="s">
        <v>291</v>
      </c>
      <c r="J99" s="6" t="s">
        <v>16</v>
      </c>
      <c r="K99" s="6" t="s">
        <v>47</v>
      </c>
      <c r="L99" s="6" t="s">
        <v>292</v>
      </c>
    </row>
    <row r="100" ht="22.5" customHeight="1">
      <c r="A100" s="5">
        <v>46169.4107621875</v>
      </c>
      <c r="B100" s="6" t="s">
        <v>293</v>
      </c>
      <c r="C100" s="6" t="s">
        <v>294</v>
      </c>
      <c r="D100" s="3" t="str">
        <f t="shared" si="1"/>
        <v>AE-0099</v>
      </c>
      <c r="E100" s="3">
        <f t="array" ref="E100">IFERROR(XLOOKUP(D100,'Astronomy 101 Week 1 Quiz (Resp'!F:F,'Astronomy 101 Week 1 Quiz (Resp'!E:E),0)</f>
        <v>0</v>
      </c>
      <c r="F100" s="3" t="s">
        <v>14</v>
      </c>
      <c r="G100" s="3"/>
      <c r="H100" s="6">
        <v>9.366573924E9</v>
      </c>
      <c r="I100" s="6" t="s">
        <v>295</v>
      </c>
      <c r="J100" s="6" t="s">
        <v>16</v>
      </c>
      <c r="K100" s="6" t="s">
        <v>17</v>
      </c>
      <c r="L100" s="6" t="s">
        <v>296</v>
      </c>
    </row>
    <row r="101" ht="22.5" customHeight="1">
      <c r="A101" s="5">
        <v>46169.4142134838</v>
      </c>
      <c r="B101" s="6" t="s">
        <v>297</v>
      </c>
      <c r="C101" s="6" t="s">
        <v>298</v>
      </c>
      <c r="D101" s="3" t="str">
        <f t="shared" si="1"/>
        <v>AE-0100</v>
      </c>
      <c r="E101" s="3">
        <f t="array" ref="E101">IFERROR(XLOOKUP(D101,'Astronomy 101 Week 1 Quiz (Resp'!F:F,'Astronomy 101 Week 1 Quiz (Resp'!E:E),0)</f>
        <v>36</v>
      </c>
      <c r="F101" s="3" t="s">
        <v>14</v>
      </c>
      <c r="G101" s="3"/>
      <c r="H101" s="6">
        <v>7.085980742E9</v>
      </c>
      <c r="I101" s="6" t="s">
        <v>299</v>
      </c>
      <c r="J101" s="6" t="s">
        <v>16</v>
      </c>
      <c r="K101" s="6" t="s">
        <v>43</v>
      </c>
      <c r="L101" s="6" t="s">
        <v>300</v>
      </c>
    </row>
    <row r="102" ht="22.5" customHeight="1">
      <c r="A102" s="5">
        <v>46169.4167553588</v>
      </c>
      <c r="B102" s="6" t="s">
        <v>301</v>
      </c>
      <c r="C102" s="6" t="s">
        <v>302</v>
      </c>
      <c r="D102" s="3" t="str">
        <f t="shared" si="1"/>
        <v>AE-0101</v>
      </c>
      <c r="E102" s="3">
        <f t="array" ref="E102">IFERROR(XLOOKUP(D102,'Astronomy 101 Week 1 Quiz (Resp'!F:F,'Astronomy 101 Week 1 Quiz (Resp'!E:E),0)</f>
        <v>9</v>
      </c>
      <c r="F102" s="3" t="s">
        <v>14</v>
      </c>
      <c r="G102" s="3"/>
      <c r="H102" s="7" t="s">
        <v>303</v>
      </c>
      <c r="I102" s="6" t="s">
        <v>304</v>
      </c>
      <c r="J102" s="6" t="s">
        <v>16</v>
      </c>
      <c r="K102" s="6" t="s">
        <v>17</v>
      </c>
      <c r="L102" s="6" t="s">
        <v>305</v>
      </c>
    </row>
    <row r="103" ht="22.5" customHeight="1">
      <c r="A103" s="5">
        <v>46169.41961179399</v>
      </c>
      <c r="B103" s="6" t="s">
        <v>306</v>
      </c>
      <c r="C103" s="6" t="s">
        <v>307</v>
      </c>
      <c r="D103" s="3" t="str">
        <f t="shared" si="1"/>
        <v>AE-0102</v>
      </c>
      <c r="E103" s="3">
        <f t="array" ref="E103">IFERROR(XLOOKUP(D103,'Astronomy 101 Week 1 Quiz (Resp'!F:F,'Astronomy 101 Week 1 Quiz (Resp'!E:E),0)</f>
        <v>0</v>
      </c>
      <c r="F103" s="3" t="s">
        <v>14</v>
      </c>
      <c r="G103" s="3"/>
      <c r="H103" s="6">
        <v>9.1821759E9</v>
      </c>
      <c r="I103" s="6" t="s">
        <v>308</v>
      </c>
      <c r="J103" s="6" t="s">
        <v>16</v>
      </c>
      <c r="K103" s="6" t="s">
        <v>47</v>
      </c>
    </row>
    <row r="104" ht="22.5" customHeight="1">
      <c r="A104" s="5">
        <v>46169.42291028935</v>
      </c>
      <c r="B104" s="6" t="s">
        <v>309</v>
      </c>
      <c r="C104" s="6" t="s">
        <v>310</v>
      </c>
      <c r="D104" s="3" t="str">
        <f t="shared" si="1"/>
        <v>AE-0103</v>
      </c>
      <c r="E104" s="3">
        <f t="array" ref="E104">IFERROR(XLOOKUP(D104,'Astronomy 101 Week 1 Quiz (Resp'!F:F,'Astronomy 101 Week 1 Quiz (Resp'!E:E),0)</f>
        <v>45</v>
      </c>
      <c r="F104" s="3" t="s">
        <v>14</v>
      </c>
      <c r="G104" s="3"/>
      <c r="H104" s="6">
        <v>9.366616155E9</v>
      </c>
      <c r="I104" s="6" t="s">
        <v>311</v>
      </c>
      <c r="J104" s="6" t="s">
        <v>16</v>
      </c>
      <c r="K104" s="6" t="s">
        <v>61</v>
      </c>
      <c r="L104" s="6" t="s">
        <v>312</v>
      </c>
    </row>
    <row r="105" ht="22.5" customHeight="1">
      <c r="A105" s="5">
        <v>46169.42788833333</v>
      </c>
      <c r="B105" s="6" t="s">
        <v>313</v>
      </c>
      <c r="C105" s="6" t="s">
        <v>314</v>
      </c>
      <c r="D105" s="3" t="str">
        <f t="shared" si="1"/>
        <v>AE-0104</v>
      </c>
      <c r="E105" s="3">
        <f t="array" ref="E105">IFERROR(XLOOKUP(D105,'Astronomy 101 Week 1 Quiz (Resp'!F:F,'Astronomy 101 Week 1 Quiz (Resp'!E:E),0)</f>
        <v>0</v>
      </c>
      <c r="F105" s="3" t="s">
        <v>14</v>
      </c>
      <c r="G105" s="3"/>
      <c r="H105" s="6">
        <v>9.433853134E9</v>
      </c>
      <c r="I105" s="6" t="s">
        <v>315</v>
      </c>
      <c r="J105" s="6" t="s">
        <v>16</v>
      </c>
      <c r="K105" s="6" t="s">
        <v>17</v>
      </c>
    </row>
    <row r="106" ht="22.5" customHeight="1">
      <c r="A106" s="5">
        <v>46169.42971189815</v>
      </c>
      <c r="B106" s="6" t="s">
        <v>316</v>
      </c>
      <c r="C106" s="6" t="s">
        <v>317</v>
      </c>
      <c r="D106" s="3" t="str">
        <f t="shared" si="1"/>
        <v>AE-0105</v>
      </c>
      <c r="E106" s="3">
        <f t="array" ref="E106">IFERROR(XLOOKUP(D106,'Astronomy 101 Week 1 Quiz (Resp'!F:F,'Astronomy 101 Week 1 Quiz (Resp'!E:E),0)</f>
        <v>38</v>
      </c>
      <c r="F106" s="3" t="s">
        <v>14</v>
      </c>
      <c r="G106" s="3"/>
      <c r="H106" s="6">
        <v>9.57119388E9</v>
      </c>
      <c r="I106" s="6" t="s">
        <v>246</v>
      </c>
      <c r="J106" s="6" t="s">
        <v>16</v>
      </c>
      <c r="K106" s="6" t="s">
        <v>21</v>
      </c>
    </row>
    <row r="107" ht="22.5" customHeight="1">
      <c r="A107" s="5">
        <v>46169.43115824074</v>
      </c>
      <c r="B107" s="6" t="s">
        <v>318</v>
      </c>
      <c r="C107" s="6" t="s">
        <v>319</v>
      </c>
      <c r="D107" s="3" t="str">
        <f t="shared" si="1"/>
        <v>AE-0106</v>
      </c>
      <c r="E107" s="3">
        <f t="array" ref="E107">IFERROR(XLOOKUP(D107,'Astronomy 101 Week 1 Quiz (Resp'!F:F,'Astronomy 101 Week 1 Quiz (Resp'!E:E),0)</f>
        <v>0</v>
      </c>
      <c r="F107" s="3" t="s">
        <v>14</v>
      </c>
      <c r="G107" s="3"/>
      <c r="H107" s="6">
        <v>8.221848159E9</v>
      </c>
      <c r="I107" s="6" t="s">
        <v>29</v>
      </c>
      <c r="J107" s="6" t="s">
        <v>33</v>
      </c>
      <c r="K107" s="6" t="s">
        <v>61</v>
      </c>
    </row>
    <row r="108" ht="22.5" customHeight="1">
      <c r="A108" s="5">
        <v>46169.44228981482</v>
      </c>
      <c r="B108" s="6" t="s">
        <v>320</v>
      </c>
      <c r="C108" s="6" t="s">
        <v>321</v>
      </c>
      <c r="D108" s="3" t="str">
        <f t="shared" si="1"/>
        <v>AE-0107</v>
      </c>
      <c r="E108" s="3">
        <f t="array" ref="E108">IFERROR(XLOOKUP(D108,'Astronomy 101 Week 1 Quiz (Resp'!F:F,'Astronomy 101 Week 1 Quiz (Resp'!E:E),0)</f>
        <v>0</v>
      </c>
      <c r="F108" s="3" t="s">
        <v>14</v>
      </c>
      <c r="G108" s="3"/>
      <c r="H108" s="6">
        <v>9.211634672E9</v>
      </c>
      <c r="I108" s="6" t="s">
        <v>143</v>
      </c>
      <c r="J108" s="6" t="s">
        <v>33</v>
      </c>
      <c r="K108" s="6" t="s">
        <v>43</v>
      </c>
      <c r="L108" s="6" t="s">
        <v>322</v>
      </c>
    </row>
    <row r="109" ht="22.5" customHeight="1">
      <c r="A109" s="5">
        <v>46169.44423907407</v>
      </c>
      <c r="B109" s="6" t="s">
        <v>323</v>
      </c>
      <c r="C109" s="6" t="s">
        <v>324</v>
      </c>
      <c r="D109" s="3" t="str">
        <f t="shared" si="1"/>
        <v>AE-0108</v>
      </c>
      <c r="E109" s="3">
        <f t="array" ref="E109">IFERROR(XLOOKUP(D109,'Astronomy 101 Week 1 Quiz (Resp'!F:F,'Astronomy 101 Week 1 Quiz (Resp'!E:E),0)</f>
        <v>0</v>
      </c>
      <c r="F109" s="3" t="s">
        <v>14</v>
      </c>
      <c r="G109" s="3"/>
      <c r="H109" s="6">
        <v>9.340565652E9</v>
      </c>
      <c r="I109" s="6" t="s">
        <v>325</v>
      </c>
      <c r="J109" s="6" t="s">
        <v>16</v>
      </c>
      <c r="K109" s="6" t="s">
        <v>61</v>
      </c>
    </row>
    <row r="110" ht="22.5" customHeight="1">
      <c r="A110" s="5">
        <v>46169.44872556713</v>
      </c>
      <c r="B110" s="6" t="s">
        <v>326</v>
      </c>
      <c r="C110" s="6" t="s">
        <v>327</v>
      </c>
      <c r="D110" s="3" t="str">
        <f t="shared" si="1"/>
        <v>AE-0109</v>
      </c>
      <c r="E110" s="3">
        <f t="array" ref="E110">IFERROR(XLOOKUP(D110,'Astronomy 101 Week 1 Quiz (Resp'!F:F,'Astronomy 101 Week 1 Quiz (Resp'!E:E),0)</f>
        <v>0</v>
      </c>
      <c r="F110" s="3" t="s">
        <v>14</v>
      </c>
      <c r="G110" s="3"/>
      <c r="H110" s="6">
        <v>7.995500815E9</v>
      </c>
      <c r="I110" s="6" t="s">
        <v>15</v>
      </c>
      <c r="J110" s="6" t="s">
        <v>33</v>
      </c>
      <c r="K110" s="6" t="s">
        <v>25</v>
      </c>
      <c r="L110" s="6" t="s">
        <v>328</v>
      </c>
    </row>
    <row r="111" ht="22.5" customHeight="1">
      <c r="A111" s="5">
        <v>46169.45176299768</v>
      </c>
      <c r="B111" s="6" t="s">
        <v>329</v>
      </c>
      <c r="C111" s="6" t="s">
        <v>330</v>
      </c>
      <c r="D111" s="3" t="str">
        <f t="shared" si="1"/>
        <v>AE-0110</v>
      </c>
      <c r="E111" s="3">
        <f t="array" ref="E111">IFERROR(XLOOKUP(D111,'Astronomy 101 Week 1 Quiz (Resp'!F:F,'Astronomy 101 Week 1 Quiz (Resp'!E:E),0)</f>
        <v>43</v>
      </c>
      <c r="F111" s="3" t="s">
        <v>14</v>
      </c>
      <c r="G111" s="3"/>
      <c r="H111" s="6">
        <v>8.788396505E9</v>
      </c>
      <c r="I111" s="6" t="s">
        <v>15</v>
      </c>
      <c r="J111" s="6" t="s">
        <v>33</v>
      </c>
      <c r="K111" s="6" t="s">
        <v>21</v>
      </c>
    </row>
    <row r="112" ht="22.5" customHeight="1">
      <c r="A112" s="5">
        <v>46169.46066672454</v>
      </c>
      <c r="B112" s="6" t="s">
        <v>331</v>
      </c>
      <c r="C112" s="6" t="s">
        <v>332</v>
      </c>
      <c r="D112" s="3" t="str">
        <f t="shared" si="1"/>
        <v>AE-0111</v>
      </c>
      <c r="E112" s="3">
        <f t="array" ref="E112">IFERROR(XLOOKUP(D112,'Astronomy 101 Week 1 Quiz (Resp'!F:F,'Astronomy 101 Week 1 Quiz (Resp'!E:E),0)</f>
        <v>0</v>
      </c>
      <c r="F112" s="3" t="s">
        <v>14</v>
      </c>
      <c r="G112" s="3"/>
      <c r="H112" s="6">
        <v>9.079942727E9</v>
      </c>
      <c r="I112" s="6" t="s">
        <v>333</v>
      </c>
      <c r="J112" s="6" t="s">
        <v>16</v>
      </c>
      <c r="K112" s="6" t="s">
        <v>17</v>
      </c>
      <c r="L112" s="6" t="s">
        <v>334</v>
      </c>
    </row>
    <row r="113" ht="22.5" customHeight="1">
      <c r="A113" s="5">
        <v>46169.466285636576</v>
      </c>
      <c r="B113" s="6" t="s">
        <v>335</v>
      </c>
      <c r="C113" s="6" t="s">
        <v>336</v>
      </c>
      <c r="D113" s="3" t="str">
        <f t="shared" si="1"/>
        <v>AE-0112</v>
      </c>
      <c r="E113" s="3">
        <f t="array" ref="E113">IFERROR(XLOOKUP(D113,'Astronomy 101 Week 1 Quiz (Resp'!F:F,'Astronomy 101 Week 1 Quiz (Resp'!E:E),0)</f>
        <v>0</v>
      </c>
      <c r="F113" s="3" t="s">
        <v>14</v>
      </c>
      <c r="G113" s="3"/>
      <c r="H113" s="6">
        <v>8.17800615E9</v>
      </c>
      <c r="I113" s="6" t="s">
        <v>29</v>
      </c>
      <c r="J113" s="6" t="s">
        <v>16</v>
      </c>
      <c r="K113" s="6" t="s">
        <v>25</v>
      </c>
      <c r="L113" s="6" t="s">
        <v>337</v>
      </c>
    </row>
    <row r="114" ht="22.5" customHeight="1">
      <c r="A114" s="5">
        <v>46169.48132226852</v>
      </c>
      <c r="B114" s="6" t="s">
        <v>338</v>
      </c>
      <c r="C114" s="6" t="s">
        <v>339</v>
      </c>
      <c r="D114" s="3" t="str">
        <f t="shared" si="1"/>
        <v>AE-0113</v>
      </c>
      <c r="E114" s="3">
        <f t="array" ref="E114">IFERROR(XLOOKUP(D114,'Astronomy 101 Week 1 Quiz (Resp'!F:F,'Astronomy 101 Week 1 Quiz (Resp'!E:E),0)</f>
        <v>0</v>
      </c>
      <c r="F114" s="3" t="s">
        <v>14</v>
      </c>
      <c r="G114" s="3"/>
      <c r="H114" s="6">
        <v>9.863452651E9</v>
      </c>
      <c r="I114" s="6" t="s">
        <v>340</v>
      </c>
      <c r="J114" s="6" t="s">
        <v>16</v>
      </c>
      <c r="K114" s="6" t="s">
        <v>61</v>
      </c>
      <c r="L114" s="6" t="s">
        <v>341</v>
      </c>
    </row>
    <row r="115" ht="22.5" customHeight="1">
      <c r="A115" s="5">
        <v>46169.482485636574</v>
      </c>
      <c r="B115" s="6" t="s">
        <v>342</v>
      </c>
      <c r="C115" s="6" t="s">
        <v>343</v>
      </c>
      <c r="D115" s="3" t="str">
        <f t="shared" si="1"/>
        <v>AE-0114</v>
      </c>
      <c r="E115" s="3">
        <f t="array" ref="E115">IFERROR(XLOOKUP(D115,'Astronomy 101 Week 1 Quiz (Resp'!F:F,'Astronomy 101 Week 1 Quiz (Resp'!E:E),0)</f>
        <v>39</v>
      </c>
      <c r="F115" s="3" t="s">
        <v>14</v>
      </c>
      <c r="G115" s="3"/>
      <c r="H115" s="6">
        <v>8.606865067E9</v>
      </c>
      <c r="I115" s="6" t="s">
        <v>344</v>
      </c>
      <c r="J115" s="6" t="s">
        <v>16</v>
      </c>
      <c r="K115" s="6" t="s">
        <v>61</v>
      </c>
      <c r="L115" s="6" t="s">
        <v>345</v>
      </c>
    </row>
    <row r="116" ht="22.5" customHeight="1">
      <c r="A116" s="5">
        <v>46169.49046483796</v>
      </c>
      <c r="B116" s="6" t="s">
        <v>346</v>
      </c>
      <c r="C116" s="6" t="s">
        <v>347</v>
      </c>
      <c r="D116" s="3" t="str">
        <f t="shared" si="1"/>
        <v>AE-0115</v>
      </c>
      <c r="E116" s="3">
        <f t="array" ref="E116">IFERROR(XLOOKUP(D116,'Astronomy 101 Week 1 Quiz (Resp'!F:F,'Astronomy 101 Week 1 Quiz (Resp'!E:E),0)</f>
        <v>0</v>
      </c>
      <c r="F116" s="3" t="s">
        <v>14</v>
      </c>
      <c r="G116" s="3"/>
      <c r="H116" s="6">
        <v>9.422420066E9</v>
      </c>
      <c r="I116" s="6" t="s">
        <v>218</v>
      </c>
      <c r="J116" s="6" t="s">
        <v>16</v>
      </c>
      <c r="K116" s="6" t="s">
        <v>47</v>
      </c>
    </row>
    <row r="117" ht="22.5" customHeight="1">
      <c r="A117" s="5">
        <v>46169.49584181713</v>
      </c>
      <c r="B117" s="6" t="s">
        <v>348</v>
      </c>
      <c r="C117" s="6" t="s">
        <v>349</v>
      </c>
      <c r="D117" s="3" t="str">
        <f t="shared" si="1"/>
        <v>AE-0116</v>
      </c>
      <c r="E117" s="3">
        <f t="array" ref="E117">IFERROR(XLOOKUP(D117,'Astronomy 101 Week 1 Quiz (Resp'!F:F,'Astronomy 101 Week 1 Quiz (Resp'!E:E),0)</f>
        <v>44</v>
      </c>
      <c r="F117" s="3" t="s">
        <v>14</v>
      </c>
      <c r="G117" s="3"/>
      <c r="H117" s="6">
        <v>9.607227534E9</v>
      </c>
      <c r="I117" s="6" t="s">
        <v>29</v>
      </c>
      <c r="J117" s="6" t="s">
        <v>16</v>
      </c>
      <c r="K117" s="6" t="s">
        <v>25</v>
      </c>
    </row>
    <row r="118" ht="22.5" customHeight="1">
      <c r="A118" s="5">
        <v>46169.49779620371</v>
      </c>
      <c r="B118" s="6" t="s">
        <v>350</v>
      </c>
      <c r="C118" s="6" t="s">
        <v>351</v>
      </c>
      <c r="D118" s="3" t="str">
        <f t="shared" si="1"/>
        <v>AE-0117</v>
      </c>
      <c r="E118" s="3">
        <f t="array" ref="E118">IFERROR(XLOOKUP(D118,'Astronomy 101 Week 1 Quiz (Resp'!F:F,'Astronomy 101 Week 1 Quiz (Resp'!E:E),0)</f>
        <v>25</v>
      </c>
      <c r="F118" s="3" t="s">
        <v>14</v>
      </c>
      <c r="G118" s="3"/>
      <c r="H118" s="6">
        <v>7.079377976E9</v>
      </c>
      <c r="I118" s="6" t="s">
        <v>352</v>
      </c>
      <c r="J118" s="6" t="s">
        <v>33</v>
      </c>
      <c r="K118" s="6" t="s">
        <v>43</v>
      </c>
    </row>
    <row r="119" ht="22.5" customHeight="1">
      <c r="A119" s="5">
        <v>46169.50929711806</v>
      </c>
      <c r="B119" s="6" t="s">
        <v>353</v>
      </c>
      <c r="C119" s="6" t="s">
        <v>354</v>
      </c>
      <c r="D119" s="3" t="str">
        <f t="shared" si="1"/>
        <v>AE-0118</v>
      </c>
      <c r="E119" s="3">
        <f t="array" ref="E119">IFERROR(XLOOKUP(D119,'Astronomy 101 Week 1 Quiz (Resp'!F:F,'Astronomy 101 Week 1 Quiz (Resp'!E:E),0)</f>
        <v>25</v>
      </c>
      <c r="F119" s="3" t="s">
        <v>14</v>
      </c>
      <c r="G119" s="3"/>
      <c r="H119" s="7" t="s">
        <v>355</v>
      </c>
      <c r="I119" s="6" t="s">
        <v>356</v>
      </c>
      <c r="J119" s="6" t="s">
        <v>16</v>
      </c>
      <c r="K119" s="6" t="s">
        <v>47</v>
      </c>
      <c r="L119" s="6" t="s">
        <v>357</v>
      </c>
    </row>
    <row r="120" ht="22.5" customHeight="1">
      <c r="A120" s="5">
        <v>46169.510223460646</v>
      </c>
      <c r="B120" s="6" t="s">
        <v>358</v>
      </c>
      <c r="C120" s="6" t="s">
        <v>359</v>
      </c>
      <c r="D120" s="3" t="str">
        <f t="shared" si="1"/>
        <v>AE-0119</v>
      </c>
      <c r="E120" s="3">
        <f t="array" ref="E120">IFERROR(XLOOKUP(D120,'Astronomy 101 Week 1 Quiz (Resp'!F:F,'Astronomy 101 Week 1 Quiz (Resp'!E:E),0)</f>
        <v>33</v>
      </c>
      <c r="F120" s="3" t="s">
        <v>14</v>
      </c>
      <c r="G120" s="3"/>
      <c r="H120" s="6">
        <v>6.39306537E9</v>
      </c>
      <c r="I120" s="6" t="s">
        <v>360</v>
      </c>
      <c r="J120" s="6" t="s">
        <v>16</v>
      </c>
      <c r="K120" s="6" t="s">
        <v>61</v>
      </c>
      <c r="L120" s="6" t="s">
        <v>361</v>
      </c>
    </row>
    <row r="121" ht="22.5" customHeight="1">
      <c r="A121" s="5">
        <v>46169.513092256944</v>
      </c>
      <c r="B121" s="6" t="s">
        <v>362</v>
      </c>
      <c r="C121" s="6" t="s">
        <v>363</v>
      </c>
      <c r="D121" s="3" t="str">
        <f t="shared" si="1"/>
        <v>AE-0120</v>
      </c>
      <c r="E121" s="3">
        <f t="array" ref="E121">IFERROR(XLOOKUP(D121,'Astronomy 101 Week 1 Quiz (Resp'!F:F,'Astronomy 101 Week 1 Quiz (Resp'!E:E),0)</f>
        <v>0</v>
      </c>
      <c r="F121" s="3" t="s">
        <v>14</v>
      </c>
      <c r="G121" s="3"/>
      <c r="H121" s="6">
        <v>9.996678874E9</v>
      </c>
      <c r="I121" s="6" t="s">
        <v>73</v>
      </c>
      <c r="J121" s="6" t="s">
        <v>33</v>
      </c>
      <c r="K121" s="6" t="s">
        <v>43</v>
      </c>
    </row>
    <row r="122" ht="22.5" customHeight="1">
      <c r="A122" s="5">
        <v>46169.58894962963</v>
      </c>
      <c r="B122" s="6" t="s">
        <v>364</v>
      </c>
      <c r="C122" s="6" t="s">
        <v>365</v>
      </c>
      <c r="D122" s="3" t="str">
        <f t="shared" si="1"/>
        <v>AE-0121</v>
      </c>
      <c r="E122" s="3">
        <f t="array" ref="E122">IFERROR(XLOOKUP(D122,'Astronomy 101 Week 1 Quiz (Resp'!F:F,'Astronomy 101 Week 1 Quiz (Resp'!E:E),0)</f>
        <v>30</v>
      </c>
      <c r="F122" s="3" t="s">
        <v>14</v>
      </c>
      <c r="G122" s="3"/>
      <c r="H122" s="6">
        <v>7.852070366E9</v>
      </c>
      <c r="I122" s="6" t="s">
        <v>15</v>
      </c>
      <c r="J122" s="6" t="s">
        <v>33</v>
      </c>
      <c r="K122" s="6" t="s">
        <v>43</v>
      </c>
      <c r="L122" s="6" t="s">
        <v>366</v>
      </c>
    </row>
    <row r="123" ht="22.5" customHeight="1">
      <c r="A123" s="5">
        <v>46169.590761064814</v>
      </c>
      <c r="B123" s="6" t="s">
        <v>367</v>
      </c>
      <c r="C123" s="6" t="s">
        <v>368</v>
      </c>
      <c r="D123" s="3" t="str">
        <f t="shared" si="1"/>
        <v>AE-0122</v>
      </c>
      <c r="E123" s="3">
        <f t="array" ref="E123">IFERROR(XLOOKUP(D123,'Astronomy 101 Week 1 Quiz (Resp'!F:F,'Astronomy 101 Week 1 Quiz (Resp'!E:E),0)</f>
        <v>0</v>
      </c>
      <c r="F123" s="3" t="s">
        <v>14</v>
      </c>
      <c r="G123" s="3"/>
      <c r="H123" s="6">
        <v>9.207607833E9</v>
      </c>
      <c r="I123" s="6" t="s">
        <v>369</v>
      </c>
      <c r="J123" s="6" t="s">
        <v>16</v>
      </c>
      <c r="K123" s="6" t="s">
        <v>61</v>
      </c>
    </row>
    <row r="124" ht="22.5" customHeight="1">
      <c r="A124" s="5">
        <v>46169.60485913194</v>
      </c>
      <c r="B124" s="6" t="s">
        <v>370</v>
      </c>
      <c r="C124" s="6" t="s">
        <v>371</v>
      </c>
      <c r="D124" s="3" t="str">
        <f t="shared" si="1"/>
        <v>AE-0123</v>
      </c>
      <c r="E124" s="3">
        <f t="array" ref="E124">IFERROR(XLOOKUP(D124,'Astronomy 101 Week 1 Quiz (Resp'!F:F,'Astronomy 101 Week 1 Quiz (Resp'!E:E),0)</f>
        <v>0</v>
      </c>
      <c r="F124" s="3" t="s">
        <v>14</v>
      </c>
      <c r="G124" s="3"/>
      <c r="H124" s="6">
        <v>9.420386106E9</v>
      </c>
      <c r="I124" s="6" t="s">
        <v>29</v>
      </c>
      <c r="J124" s="6" t="s">
        <v>33</v>
      </c>
      <c r="K124" s="6" t="s">
        <v>82</v>
      </c>
    </row>
    <row r="125" ht="22.5" customHeight="1">
      <c r="A125" s="5">
        <v>46169.61084277778</v>
      </c>
      <c r="B125" s="6" t="s">
        <v>372</v>
      </c>
      <c r="C125" s="6" t="s">
        <v>373</v>
      </c>
      <c r="D125" s="3" t="str">
        <f t="shared" si="1"/>
        <v>AE-0124</v>
      </c>
      <c r="E125" s="3">
        <f t="array" ref="E125">IFERROR(XLOOKUP(D125,'Astronomy 101 Week 1 Quiz (Resp'!F:F,'Astronomy 101 Week 1 Quiz (Resp'!E:E),0)</f>
        <v>0</v>
      </c>
      <c r="F125" s="3" t="s">
        <v>14</v>
      </c>
      <c r="G125" s="3"/>
      <c r="H125" s="6">
        <v>6.302571492E9</v>
      </c>
      <c r="I125" s="6" t="s">
        <v>374</v>
      </c>
      <c r="J125" s="6" t="s">
        <v>16</v>
      </c>
      <c r="K125" s="6" t="s">
        <v>43</v>
      </c>
      <c r="L125" s="6" t="s">
        <v>375</v>
      </c>
    </row>
    <row r="126" ht="22.5" customHeight="1">
      <c r="A126" s="5">
        <v>46169.611278993056</v>
      </c>
      <c r="B126" s="6" t="s">
        <v>376</v>
      </c>
      <c r="C126" s="6" t="s">
        <v>377</v>
      </c>
      <c r="D126" s="3" t="str">
        <f t="shared" si="1"/>
        <v>AE-0125</v>
      </c>
      <c r="E126" s="3">
        <f t="array" ref="E126">IFERROR(XLOOKUP(D126,'Astronomy 101 Week 1 Quiz (Resp'!F:F,'Astronomy 101 Week 1 Quiz (Resp'!E:E),0)</f>
        <v>0</v>
      </c>
      <c r="F126" s="3" t="s">
        <v>14</v>
      </c>
      <c r="G126" s="3"/>
      <c r="H126" s="6">
        <v>7.45487079E9</v>
      </c>
      <c r="I126" s="6" t="s">
        <v>378</v>
      </c>
      <c r="J126" s="6" t="s">
        <v>16</v>
      </c>
      <c r="K126" s="6" t="s">
        <v>61</v>
      </c>
    </row>
    <row r="127" ht="22.5" customHeight="1">
      <c r="A127" s="5">
        <v>46169.6220394213</v>
      </c>
      <c r="B127" s="6" t="s">
        <v>379</v>
      </c>
      <c r="C127" s="6" t="s">
        <v>380</v>
      </c>
      <c r="D127" s="3" t="str">
        <f t="shared" si="1"/>
        <v>AE-0126</v>
      </c>
      <c r="E127" s="3">
        <f t="array" ref="E127">IFERROR(XLOOKUP(D127,'Astronomy 101 Week 1 Quiz (Resp'!F:F,'Astronomy 101 Week 1 Quiz (Resp'!E:E),0)</f>
        <v>0</v>
      </c>
      <c r="F127" s="3" t="s">
        <v>14</v>
      </c>
      <c r="G127" s="3"/>
      <c r="H127" s="6">
        <v>6.364512271E9</v>
      </c>
      <c r="I127" s="6" t="s">
        <v>381</v>
      </c>
      <c r="J127" s="6" t="s">
        <v>16</v>
      </c>
      <c r="K127" s="6" t="s">
        <v>17</v>
      </c>
    </row>
    <row r="128" ht="22.5" customHeight="1">
      <c r="A128" s="5">
        <v>46169.63623833333</v>
      </c>
      <c r="B128" s="6" t="s">
        <v>382</v>
      </c>
      <c r="C128" s="6" t="s">
        <v>383</v>
      </c>
      <c r="D128" s="3" t="str">
        <f t="shared" si="1"/>
        <v>AE-0127</v>
      </c>
      <c r="E128" s="3">
        <f t="array" ref="E128">IFERROR(XLOOKUP(D128,'Astronomy 101 Week 1 Quiz (Resp'!F:F,'Astronomy 101 Week 1 Quiz (Resp'!E:E),0)</f>
        <v>0</v>
      </c>
      <c r="F128" s="3" t="s">
        <v>14</v>
      </c>
      <c r="G128" s="3"/>
      <c r="H128" s="6">
        <v>9.29696682E9</v>
      </c>
      <c r="I128" s="6" t="s">
        <v>384</v>
      </c>
      <c r="J128" s="6" t="s">
        <v>16</v>
      </c>
      <c r="K128" s="6" t="s">
        <v>61</v>
      </c>
    </row>
    <row r="129" ht="22.5" customHeight="1">
      <c r="A129" s="5">
        <v>46169.636650092594</v>
      </c>
      <c r="B129" s="6" t="s">
        <v>385</v>
      </c>
      <c r="C129" s="6" t="s">
        <v>386</v>
      </c>
      <c r="D129" s="3" t="str">
        <f t="shared" si="1"/>
        <v>AE-0128</v>
      </c>
      <c r="E129" s="3">
        <f t="array" ref="E129">IFERROR(XLOOKUP(D129,'Astronomy 101 Week 1 Quiz (Resp'!F:F,'Astronomy 101 Week 1 Quiz (Resp'!E:E),0)</f>
        <v>39</v>
      </c>
      <c r="F129" s="3" t="s">
        <v>14</v>
      </c>
      <c r="G129" s="3"/>
      <c r="H129" s="6">
        <v>9.835327053E9</v>
      </c>
      <c r="I129" s="6" t="s">
        <v>387</v>
      </c>
      <c r="J129" s="6" t="s">
        <v>16</v>
      </c>
      <c r="K129" s="6" t="s">
        <v>61</v>
      </c>
      <c r="L129" s="6" t="s">
        <v>388</v>
      </c>
    </row>
    <row r="130" ht="22.5" customHeight="1">
      <c r="A130" s="5">
        <v>46169.636943935184</v>
      </c>
      <c r="B130" s="6" t="s">
        <v>389</v>
      </c>
      <c r="C130" s="6" t="s">
        <v>390</v>
      </c>
      <c r="D130" s="3" t="str">
        <f t="shared" si="1"/>
        <v>AE-0129</v>
      </c>
      <c r="E130" s="3">
        <f t="array" ref="E130">IFERROR(XLOOKUP(D130,'Astronomy 101 Week 1 Quiz (Resp'!F:F,'Astronomy 101 Week 1 Quiz (Resp'!E:E),0)</f>
        <v>0</v>
      </c>
      <c r="F130" s="3" t="s">
        <v>14</v>
      </c>
      <c r="G130" s="3"/>
      <c r="H130" s="6">
        <v>7.63397425E9</v>
      </c>
      <c r="I130" s="6" t="s">
        <v>387</v>
      </c>
      <c r="J130" s="6" t="s">
        <v>16</v>
      </c>
      <c r="K130" s="6" t="s">
        <v>47</v>
      </c>
    </row>
    <row r="131" ht="22.5" customHeight="1">
      <c r="A131" s="5">
        <v>46169.63809476852</v>
      </c>
      <c r="B131" s="6" t="s">
        <v>391</v>
      </c>
      <c r="C131" s="6" t="s">
        <v>392</v>
      </c>
      <c r="D131" s="3" t="str">
        <f t="shared" si="1"/>
        <v>AE-0130</v>
      </c>
      <c r="E131" s="3">
        <f t="array" ref="E131">IFERROR(XLOOKUP(D131,'Astronomy 101 Week 1 Quiz (Resp'!F:F,'Astronomy 101 Week 1 Quiz (Resp'!E:E),0)</f>
        <v>15</v>
      </c>
      <c r="F131" s="3" t="s">
        <v>14</v>
      </c>
      <c r="G131" s="3"/>
      <c r="H131" s="6">
        <v>8.530683333E9</v>
      </c>
      <c r="I131" s="6" t="s">
        <v>29</v>
      </c>
      <c r="J131" s="6" t="s">
        <v>33</v>
      </c>
      <c r="K131" s="6" t="s">
        <v>61</v>
      </c>
    </row>
    <row r="132" ht="22.5" customHeight="1">
      <c r="A132" s="5">
        <v>46169.638268344905</v>
      </c>
      <c r="B132" s="6" t="s">
        <v>393</v>
      </c>
      <c r="C132" s="6" t="s">
        <v>394</v>
      </c>
      <c r="D132" s="3" t="str">
        <f t="shared" si="1"/>
        <v>AE-0131</v>
      </c>
      <c r="E132" s="3">
        <f t="array" ref="E132">IFERROR(XLOOKUP(D132,'Astronomy 101 Week 1 Quiz (Resp'!F:F,'Astronomy 101 Week 1 Quiz (Resp'!E:E),0)</f>
        <v>39</v>
      </c>
      <c r="F132" s="3" t="s">
        <v>14</v>
      </c>
      <c r="G132" s="3"/>
      <c r="H132" s="6">
        <v>8.01038184E9</v>
      </c>
      <c r="I132" s="6" t="s">
        <v>395</v>
      </c>
      <c r="J132" s="6" t="s">
        <v>16</v>
      </c>
      <c r="K132" s="6" t="s">
        <v>47</v>
      </c>
      <c r="L132" s="6" t="s">
        <v>396</v>
      </c>
    </row>
    <row r="133" ht="22.5" customHeight="1">
      <c r="A133" s="5">
        <v>46169.63831247685</v>
      </c>
      <c r="B133" s="6" t="s">
        <v>397</v>
      </c>
      <c r="C133" s="6" t="s">
        <v>398</v>
      </c>
      <c r="D133" s="3" t="str">
        <f t="shared" si="1"/>
        <v>AE-0132</v>
      </c>
      <c r="E133" s="3">
        <f t="array" ref="E133">IFERROR(XLOOKUP(D133,'Astronomy 101 Week 1 Quiz (Resp'!F:F,'Astronomy 101 Week 1 Quiz (Resp'!E:E),0)</f>
        <v>43</v>
      </c>
      <c r="F133" s="3" t="s">
        <v>14</v>
      </c>
      <c r="G133" s="3"/>
      <c r="H133" s="6">
        <v>9.103381056E9</v>
      </c>
      <c r="I133" s="6" t="s">
        <v>360</v>
      </c>
      <c r="J133" s="6" t="s">
        <v>16</v>
      </c>
      <c r="K133" s="6" t="s">
        <v>61</v>
      </c>
      <c r="L133" s="6" t="s">
        <v>399</v>
      </c>
    </row>
    <row r="134" ht="22.5" customHeight="1">
      <c r="A134" s="5">
        <v>46169.638773530096</v>
      </c>
      <c r="B134" s="6" t="s">
        <v>400</v>
      </c>
      <c r="C134" s="6" t="s">
        <v>401</v>
      </c>
      <c r="D134" s="3" t="str">
        <f t="shared" si="1"/>
        <v>AE-0133</v>
      </c>
      <c r="E134" s="3">
        <f t="array" ref="E134">IFERROR(XLOOKUP(D134,'Astronomy 101 Week 1 Quiz (Resp'!F:F,'Astronomy 101 Week 1 Quiz (Resp'!E:E),0)</f>
        <v>0</v>
      </c>
      <c r="F134" s="3" t="s">
        <v>14</v>
      </c>
      <c r="G134" s="3"/>
      <c r="H134" s="6">
        <v>8.247231957E9</v>
      </c>
      <c r="I134" s="6" t="s">
        <v>384</v>
      </c>
      <c r="J134" s="6" t="s">
        <v>16</v>
      </c>
      <c r="K134" s="6" t="s">
        <v>17</v>
      </c>
    </row>
    <row r="135" ht="22.5" customHeight="1">
      <c r="A135" s="5">
        <v>46169.63894636574</v>
      </c>
      <c r="B135" s="6" t="s">
        <v>402</v>
      </c>
      <c r="C135" s="6" t="s">
        <v>403</v>
      </c>
      <c r="D135" s="3" t="str">
        <f t="shared" si="1"/>
        <v>AE-0134</v>
      </c>
      <c r="E135" s="3">
        <f t="array" ref="E135">IFERROR(XLOOKUP(D135,'Astronomy 101 Week 1 Quiz (Resp'!F:F,'Astronomy 101 Week 1 Quiz (Resp'!E:E),0)</f>
        <v>0</v>
      </c>
      <c r="F135" s="3" t="s">
        <v>14</v>
      </c>
      <c r="G135" s="3"/>
      <c r="H135" s="6">
        <v>9.140752179E9</v>
      </c>
      <c r="I135" s="6" t="s">
        <v>360</v>
      </c>
      <c r="J135" s="6" t="s">
        <v>16</v>
      </c>
      <c r="K135" s="6" t="s">
        <v>61</v>
      </c>
      <c r="L135" s="6" t="s">
        <v>404</v>
      </c>
    </row>
    <row r="136" ht="22.5" customHeight="1">
      <c r="A136" s="5">
        <v>46169.639532395835</v>
      </c>
      <c r="B136" s="6" t="s">
        <v>405</v>
      </c>
      <c r="C136" s="6" t="s">
        <v>406</v>
      </c>
      <c r="D136" s="3" t="str">
        <f t="shared" si="1"/>
        <v>AE-0135</v>
      </c>
      <c r="E136" s="3">
        <f t="array" ref="E136">IFERROR(XLOOKUP(D136,'Astronomy 101 Week 1 Quiz (Resp'!F:F,'Astronomy 101 Week 1 Quiz (Resp'!E:E),0)</f>
        <v>0</v>
      </c>
      <c r="F136" s="3" t="s">
        <v>14</v>
      </c>
      <c r="G136" s="3"/>
      <c r="H136" s="6">
        <v>6.305189413E9</v>
      </c>
      <c r="I136" s="6" t="s">
        <v>407</v>
      </c>
      <c r="J136" s="6" t="s">
        <v>16</v>
      </c>
      <c r="K136" s="6" t="s">
        <v>61</v>
      </c>
      <c r="L136" s="6" t="s">
        <v>408</v>
      </c>
    </row>
    <row r="137" ht="22.5" customHeight="1">
      <c r="A137" s="5">
        <v>46169.63986408565</v>
      </c>
      <c r="B137" s="6" t="s">
        <v>409</v>
      </c>
      <c r="C137" s="6" t="s">
        <v>410</v>
      </c>
      <c r="D137" s="3" t="str">
        <f t="shared" si="1"/>
        <v>AE-0136</v>
      </c>
      <c r="E137" s="3">
        <f t="array" ref="E137">IFERROR(XLOOKUP(D137,'Astronomy 101 Week 1 Quiz (Resp'!F:F,'Astronomy 101 Week 1 Quiz (Resp'!E:E),0)</f>
        <v>0</v>
      </c>
      <c r="F137" s="3" t="s">
        <v>14</v>
      </c>
      <c r="G137" s="3"/>
      <c r="H137" s="6">
        <v>8.58053292E9</v>
      </c>
      <c r="I137" s="6" t="s">
        <v>411</v>
      </c>
      <c r="J137" s="6" t="s">
        <v>16</v>
      </c>
      <c r="K137" s="6" t="s">
        <v>17</v>
      </c>
    </row>
    <row r="138" ht="22.5" customHeight="1">
      <c r="A138" s="5">
        <v>46169.640364942126</v>
      </c>
      <c r="B138" s="6" t="s">
        <v>412</v>
      </c>
      <c r="C138" s="6" t="s">
        <v>413</v>
      </c>
      <c r="D138" s="3" t="str">
        <f t="shared" si="1"/>
        <v>AE-0137</v>
      </c>
      <c r="E138" s="3">
        <f t="array" ref="E138">IFERROR(XLOOKUP(D138,'Astronomy 101 Week 1 Quiz (Resp'!F:F,'Astronomy 101 Week 1 Quiz (Resp'!E:E),0)</f>
        <v>0</v>
      </c>
      <c r="F138" s="3" t="s">
        <v>14</v>
      </c>
      <c r="G138" s="3"/>
      <c r="H138" s="6">
        <v>9.93129584E9</v>
      </c>
      <c r="I138" s="6" t="s">
        <v>414</v>
      </c>
      <c r="J138" s="6" t="s">
        <v>16</v>
      </c>
      <c r="K138" s="6" t="s">
        <v>82</v>
      </c>
    </row>
    <row r="139" ht="22.5" customHeight="1">
      <c r="A139" s="5">
        <v>46169.64090238426</v>
      </c>
      <c r="B139" s="6" t="s">
        <v>415</v>
      </c>
      <c r="C139" s="6" t="s">
        <v>416</v>
      </c>
      <c r="D139" s="3" t="str">
        <f t="shared" si="1"/>
        <v>AE-0138</v>
      </c>
      <c r="E139" s="3">
        <f t="array" ref="E139">IFERROR(XLOOKUP(D139,'Astronomy 101 Week 1 Quiz (Resp'!F:F,'Astronomy 101 Week 1 Quiz (Resp'!E:E),0)</f>
        <v>0</v>
      </c>
      <c r="F139" s="3" t="s">
        <v>14</v>
      </c>
      <c r="G139" s="3"/>
      <c r="H139" s="6">
        <v>8.926344797E9</v>
      </c>
      <c r="I139" s="6" t="s">
        <v>417</v>
      </c>
      <c r="J139" s="6" t="s">
        <v>16</v>
      </c>
      <c r="K139" s="6" t="s">
        <v>61</v>
      </c>
      <c r="L139" s="6" t="s">
        <v>418</v>
      </c>
    </row>
    <row r="140" ht="22.5" customHeight="1">
      <c r="A140" s="5">
        <v>46169.64090375</v>
      </c>
      <c r="B140" s="6" t="s">
        <v>419</v>
      </c>
      <c r="C140" s="6" t="s">
        <v>420</v>
      </c>
      <c r="D140" s="3" t="str">
        <f t="shared" si="1"/>
        <v>AE-0139</v>
      </c>
      <c r="E140" s="3">
        <f t="array" ref="E140">IFERROR(XLOOKUP(D140,'Astronomy 101 Week 1 Quiz (Resp'!F:F,'Astronomy 101 Week 1 Quiz (Resp'!E:E),0)</f>
        <v>0</v>
      </c>
      <c r="F140" s="3" t="s">
        <v>14</v>
      </c>
      <c r="G140" s="3"/>
      <c r="H140" s="7" t="s">
        <v>421</v>
      </c>
      <c r="I140" s="6" t="s">
        <v>422</v>
      </c>
      <c r="J140" s="6" t="s">
        <v>16</v>
      </c>
      <c r="K140" s="6" t="s">
        <v>17</v>
      </c>
    </row>
    <row r="141" ht="22.5" customHeight="1">
      <c r="A141" s="5">
        <v>46169.64161903935</v>
      </c>
      <c r="B141" s="6" t="s">
        <v>423</v>
      </c>
      <c r="C141" s="6" t="s">
        <v>424</v>
      </c>
      <c r="D141" s="3" t="str">
        <f t="shared" si="1"/>
        <v>AE-0140</v>
      </c>
      <c r="E141" s="3">
        <f t="array" ref="E141">IFERROR(XLOOKUP(D141,'Astronomy 101 Week 1 Quiz (Resp'!F:F,'Astronomy 101 Week 1 Quiz (Resp'!E:E),0)</f>
        <v>0</v>
      </c>
      <c r="F141" s="3" t="s">
        <v>14</v>
      </c>
      <c r="G141" s="3"/>
      <c r="H141" s="6">
        <v>7.004170671E9</v>
      </c>
      <c r="I141" s="6" t="s">
        <v>425</v>
      </c>
      <c r="J141" s="6" t="s">
        <v>16</v>
      </c>
      <c r="K141" s="6" t="s">
        <v>17</v>
      </c>
      <c r="L141" s="6" t="s">
        <v>426</v>
      </c>
    </row>
    <row r="142" ht="22.5" customHeight="1">
      <c r="A142" s="5">
        <v>46169.641919699076</v>
      </c>
      <c r="B142" s="6" t="s">
        <v>427</v>
      </c>
      <c r="C142" s="6" t="s">
        <v>428</v>
      </c>
      <c r="D142" s="3" t="str">
        <f t="shared" si="1"/>
        <v>AE-0141</v>
      </c>
      <c r="E142" s="3">
        <f t="array" ref="E142">IFERROR(XLOOKUP(D142,'Astronomy 101 Week 1 Quiz (Resp'!F:F,'Astronomy 101 Week 1 Quiz (Resp'!E:E),0)</f>
        <v>0</v>
      </c>
      <c r="F142" s="3" t="s">
        <v>14</v>
      </c>
      <c r="G142" s="3"/>
      <c r="H142" s="6">
        <v>9.006695381E9</v>
      </c>
      <c r="I142" s="6" t="s">
        <v>429</v>
      </c>
      <c r="J142" s="6" t="s">
        <v>16</v>
      </c>
      <c r="K142" s="6" t="s">
        <v>61</v>
      </c>
      <c r="L142" s="6" t="s">
        <v>430</v>
      </c>
    </row>
    <row r="143" ht="22.5" customHeight="1">
      <c r="A143" s="5">
        <v>46169.642058240745</v>
      </c>
      <c r="B143" s="6" t="s">
        <v>431</v>
      </c>
      <c r="C143" s="6" t="s">
        <v>432</v>
      </c>
      <c r="D143" s="3" t="str">
        <f t="shared" si="1"/>
        <v>AE-0142</v>
      </c>
      <c r="E143" s="3">
        <f t="array" ref="E143">IFERROR(XLOOKUP(D143,'Astronomy 101 Week 1 Quiz (Resp'!F:F,'Astronomy 101 Week 1 Quiz (Resp'!E:E),0)</f>
        <v>0</v>
      </c>
      <c r="F143" s="3" t="s">
        <v>14</v>
      </c>
      <c r="G143" s="3"/>
      <c r="H143" s="6">
        <v>7.014126515E9</v>
      </c>
      <c r="I143" s="6" t="s">
        <v>387</v>
      </c>
      <c r="J143" s="6" t="s">
        <v>16</v>
      </c>
      <c r="K143" s="6" t="s">
        <v>17</v>
      </c>
      <c r="L143" s="6" t="s">
        <v>433</v>
      </c>
    </row>
    <row r="144" ht="22.5" customHeight="1">
      <c r="A144" s="5">
        <v>46169.643221527775</v>
      </c>
      <c r="B144" s="6" t="s">
        <v>434</v>
      </c>
      <c r="C144" s="6" t="s">
        <v>435</v>
      </c>
      <c r="D144" s="3" t="str">
        <f t="shared" si="1"/>
        <v>AE-0143</v>
      </c>
      <c r="E144" s="3">
        <f t="array" ref="E144">IFERROR(XLOOKUP(D144,'Astronomy 101 Week 1 Quiz (Resp'!F:F,'Astronomy 101 Week 1 Quiz (Resp'!E:E),0)</f>
        <v>0</v>
      </c>
      <c r="F144" s="3" t="s">
        <v>14</v>
      </c>
      <c r="G144" s="3"/>
      <c r="H144" s="6">
        <v>9.199847599E9</v>
      </c>
      <c r="I144" s="6" t="s">
        <v>436</v>
      </c>
      <c r="J144" s="6" t="s">
        <v>16</v>
      </c>
      <c r="K144" s="6" t="s">
        <v>17</v>
      </c>
      <c r="L144" s="6" t="s">
        <v>437</v>
      </c>
    </row>
    <row r="145" ht="22.5" customHeight="1">
      <c r="A145" s="5">
        <v>46169.64432518519</v>
      </c>
      <c r="B145" s="6" t="s">
        <v>438</v>
      </c>
      <c r="C145" s="6" t="s">
        <v>439</v>
      </c>
      <c r="D145" s="3" t="str">
        <f t="shared" si="1"/>
        <v>AE-0144</v>
      </c>
      <c r="E145" s="3">
        <f t="array" ref="E145">IFERROR(XLOOKUP(D145,'Astronomy 101 Week 1 Quiz (Resp'!F:F,'Astronomy 101 Week 1 Quiz (Resp'!E:E),0)</f>
        <v>0</v>
      </c>
      <c r="F145" s="3" t="s">
        <v>14</v>
      </c>
      <c r="G145" s="3"/>
      <c r="H145" s="6">
        <v>9.430035988E9</v>
      </c>
      <c r="I145" s="6" t="s">
        <v>273</v>
      </c>
      <c r="J145" s="6" t="s">
        <v>16</v>
      </c>
      <c r="K145" s="6" t="s">
        <v>17</v>
      </c>
    </row>
    <row r="146" ht="22.5" customHeight="1">
      <c r="A146" s="5">
        <v>46169.6457716088</v>
      </c>
      <c r="B146" s="6" t="s">
        <v>440</v>
      </c>
      <c r="C146" s="6" t="s">
        <v>441</v>
      </c>
      <c r="D146" s="3" t="str">
        <f t="shared" si="1"/>
        <v>AE-0145</v>
      </c>
      <c r="E146" s="3">
        <f t="array" ref="E146">IFERROR(XLOOKUP(D146,'Astronomy 101 Week 1 Quiz (Resp'!F:F,'Astronomy 101 Week 1 Quiz (Resp'!E:E),0)</f>
        <v>0</v>
      </c>
      <c r="F146" s="3" t="s">
        <v>14</v>
      </c>
      <c r="G146" s="3"/>
      <c r="H146" s="6">
        <v>6.201668378E9</v>
      </c>
      <c r="I146" s="6" t="s">
        <v>387</v>
      </c>
      <c r="J146" s="6" t="s">
        <v>16</v>
      </c>
      <c r="K146" s="6" t="s">
        <v>17</v>
      </c>
    </row>
    <row r="147" ht="22.5" customHeight="1">
      <c r="A147" s="5">
        <v>46169.647478506944</v>
      </c>
      <c r="B147" s="6" t="s">
        <v>442</v>
      </c>
      <c r="C147" s="6" t="s">
        <v>443</v>
      </c>
      <c r="D147" s="3" t="str">
        <f t="shared" si="1"/>
        <v>AE-0146</v>
      </c>
      <c r="E147" s="3">
        <f t="array" ref="E147">IFERROR(XLOOKUP(D147,'Astronomy 101 Week 1 Quiz (Resp'!F:F,'Astronomy 101 Week 1 Quiz (Resp'!E:E),0)</f>
        <v>44</v>
      </c>
      <c r="F147" s="3" t="s">
        <v>14</v>
      </c>
      <c r="G147" s="3"/>
      <c r="H147" s="6">
        <v>8.865900019E9</v>
      </c>
      <c r="I147" s="6" t="s">
        <v>444</v>
      </c>
      <c r="J147" s="6" t="s">
        <v>16</v>
      </c>
      <c r="K147" s="6" t="s">
        <v>61</v>
      </c>
      <c r="L147" s="6" t="s">
        <v>445</v>
      </c>
    </row>
    <row r="148" ht="22.5" customHeight="1">
      <c r="A148" s="5">
        <v>46169.64828436343</v>
      </c>
      <c r="B148" s="6" t="s">
        <v>446</v>
      </c>
      <c r="C148" s="6" t="s">
        <v>447</v>
      </c>
      <c r="D148" s="3" t="str">
        <f t="shared" si="1"/>
        <v>AE-0147</v>
      </c>
      <c r="E148" s="3">
        <f t="array" ref="E148">IFERROR(XLOOKUP(D148,'Astronomy 101 Week 1 Quiz (Resp'!F:F,'Astronomy 101 Week 1 Quiz (Resp'!E:E),0)</f>
        <v>0</v>
      </c>
      <c r="F148" s="3" t="s">
        <v>14</v>
      </c>
      <c r="G148" s="3"/>
      <c r="H148" s="6">
        <v>8.355005926E9</v>
      </c>
      <c r="I148" s="6" t="s">
        <v>387</v>
      </c>
      <c r="J148" s="6" t="s">
        <v>16</v>
      </c>
      <c r="K148" s="6" t="s">
        <v>17</v>
      </c>
      <c r="L148" s="6" t="s">
        <v>448</v>
      </c>
    </row>
    <row r="149" ht="22.5" customHeight="1">
      <c r="A149" s="5">
        <v>46169.651640324075</v>
      </c>
      <c r="B149" s="6" t="s">
        <v>449</v>
      </c>
      <c r="C149" s="6" t="s">
        <v>450</v>
      </c>
      <c r="D149" s="3" t="str">
        <f t="shared" si="1"/>
        <v>AE-0148</v>
      </c>
      <c r="E149" s="3">
        <f t="array" ref="E149">IFERROR(XLOOKUP(D149,'Astronomy 101 Week 1 Quiz (Resp'!F:F,'Astronomy 101 Week 1 Quiz (Resp'!E:E),0)</f>
        <v>44</v>
      </c>
      <c r="F149" s="3" t="s">
        <v>14</v>
      </c>
      <c r="G149" s="3"/>
      <c r="H149" s="6">
        <v>7.294999155E9</v>
      </c>
      <c r="I149" s="6" t="s">
        <v>395</v>
      </c>
      <c r="J149" s="6" t="s">
        <v>16</v>
      </c>
      <c r="K149" s="6" t="s">
        <v>17</v>
      </c>
      <c r="L149" s="6" t="s">
        <v>451</v>
      </c>
    </row>
    <row r="150" ht="22.5" customHeight="1">
      <c r="A150" s="5">
        <v>46169.65184967592</v>
      </c>
      <c r="B150" s="6" t="s">
        <v>452</v>
      </c>
      <c r="C150" s="6" t="s">
        <v>453</v>
      </c>
      <c r="D150" s="3" t="str">
        <f t="shared" si="1"/>
        <v>AE-0149</v>
      </c>
      <c r="E150" s="3">
        <f t="array" ref="E150">IFERROR(XLOOKUP(D150,'Astronomy 101 Week 1 Quiz (Resp'!F:F,'Astronomy 101 Week 1 Quiz (Resp'!E:E),0)</f>
        <v>0</v>
      </c>
      <c r="F150" s="3" t="s">
        <v>14</v>
      </c>
      <c r="G150" s="3"/>
      <c r="H150" s="6">
        <v>9.708852517E9</v>
      </c>
      <c r="I150" s="6" t="s">
        <v>262</v>
      </c>
      <c r="J150" s="6" t="s">
        <v>16</v>
      </c>
      <c r="K150" s="6" t="s">
        <v>17</v>
      </c>
      <c r="L150" s="6" t="s">
        <v>454</v>
      </c>
    </row>
    <row r="151" ht="22.5" customHeight="1">
      <c r="A151" s="5">
        <v>46169.65374</v>
      </c>
      <c r="B151" s="6" t="s">
        <v>455</v>
      </c>
      <c r="C151" s="6" t="s">
        <v>456</v>
      </c>
      <c r="D151" s="3" t="str">
        <f t="shared" si="1"/>
        <v>AE-0150</v>
      </c>
      <c r="E151" s="3">
        <f t="array" ref="E151">IFERROR(XLOOKUP(D151,'Astronomy 101 Week 1 Quiz (Resp'!F:F,'Astronomy 101 Week 1 Quiz (Resp'!E:E),0)</f>
        <v>0</v>
      </c>
      <c r="F151" s="3" t="s">
        <v>14</v>
      </c>
      <c r="G151" s="3"/>
      <c r="H151" s="6">
        <v>9.14234195E9</v>
      </c>
      <c r="I151" s="6" t="s">
        <v>457</v>
      </c>
      <c r="J151" s="6" t="s">
        <v>16</v>
      </c>
      <c r="K151" s="6" t="s">
        <v>17</v>
      </c>
      <c r="L151" s="6" t="s">
        <v>458</v>
      </c>
    </row>
    <row r="152" ht="22.5" customHeight="1">
      <c r="A152" s="5">
        <v>46169.654792939815</v>
      </c>
      <c r="B152" s="6" t="s">
        <v>459</v>
      </c>
      <c r="C152" s="6" t="s">
        <v>460</v>
      </c>
      <c r="D152" s="3" t="str">
        <f t="shared" si="1"/>
        <v>AE-0151</v>
      </c>
      <c r="E152" s="3">
        <f t="array" ref="E152">IFERROR(XLOOKUP(D152,'Astronomy 101 Week 1 Quiz (Resp'!F:F,'Astronomy 101 Week 1 Quiz (Resp'!E:E),0)</f>
        <v>39</v>
      </c>
      <c r="F152" s="3" t="s">
        <v>14</v>
      </c>
      <c r="G152" s="3"/>
      <c r="H152" s="6">
        <v>8.059073452E9</v>
      </c>
      <c r="I152" s="6" t="s">
        <v>461</v>
      </c>
      <c r="J152" s="6" t="s">
        <v>16</v>
      </c>
      <c r="K152" s="6" t="s">
        <v>61</v>
      </c>
      <c r="L152" s="6" t="s">
        <v>462</v>
      </c>
    </row>
    <row r="153" ht="22.5" customHeight="1">
      <c r="A153" s="5">
        <v>46169.65500048611</v>
      </c>
      <c r="B153" s="6" t="s">
        <v>463</v>
      </c>
      <c r="C153" s="6" t="s">
        <v>464</v>
      </c>
      <c r="D153" s="3" t="str">
        <f t="shared" si="1"/>
        <v>AE-0152</v>
      </c>
      <c r="E153" s="3">
        <f t="array" ref="E153">IFERROR(XLOOKUP(D153,'Astronomy 101 Week 1 Quiz (Resp'!F:F,'Astronomy 101 Week 1 Quiz (Resp'!E:E),0)</f>
        <v>0</v>
      </c>
      <c r="F153" s="3" t="s">
        <v>14</v>
      </c>
      <c r="G153" s="3"/>
      <c r="H153" s="6">
        <v>8.70925297E9</v>
      </c>
      <c r="I153" s="6" t="s">
        <v>465</v>
      </c>
      <c r="J153" s="6" t="s">
        <v>16</v>
      </c>
      <c r="K153" s="6" t="s">
        <v>61</v>
      </c>
      <c r="L153" s="6" t="s">
        <v>466</v>
      </c>
    </row>
    <row r="154" ht="22.5" customHeight="1">
      <c r="A154" s="5">
        <v>46169.65501150463</v>
      </c>
      <c r="B154" s="6" t="s">
        <v>467</v>
      </c>
      <c r="C154" s="6" t="s">
        <v>468</v>
      </c>
      <c r="D154" s="3" t="str">
        <f t="shared" si="1"/>
        <v>AE-0153</v>
      </c>
      <c r="E154" s="3">
        <f t="array" ref="E154">IFERROR(XLOOKUP(D154,'Astronomy 101 Week 1 Quiz (Resp'!F:F,'Astronomy 101 Week 1 Quiz (Resp'!E:E),0)</f>
        <v>0</v>
      </c>
      <c r="F154" s="3" t="s">
        <v>14</v>
      </c>
      <c r="G154" s="3"/>
      <c r="H154" s="6">
        <v>8.709758247E9</v>
      </c>
      <c r="I154" s="6" t="s">
        <v>360</v>
      </c>
      <c r="J154" s="6" t="s">
        <v>16</v>
      </c>
      <c r="K154" s="6" t="s">
        <v>61</v>
      </c>
      <c r="L154" s="6" t="s">
        <v>469</v>
      </c>
    </row>
    <row r="155" ht="22.5" customHeight="1">
      <c r="A155" s="5">
        <v>46169.6570799537</v>
      </c>
      <c r="B155" s="6" t="s">
        <v>470</v>
      </c>
      <c r="C155" s="6" t="s">
        <v>471</v>
      </c>
      <c r="D155" s="3" t="str">
        <f t="shared" si="1"/>
        <v>AE-0154</v>
      </c>
      <c r="E155" s="3">
        <f t="array" ref="E155">IFERROR(XLOOKUP(D155,'Astronomy 101 Week 1 Quiz (Resp'!F:F,'Astronomy 101 Week 1 Quiz (Resp'!E:E),0)</f>
        <v>0</v>
      </c>
      <c r="F155" s="3" t="s">
        <v>14</v>
      </c>
      <c r="G155" s="3"/>
      <c r="H155" s="6">
        <v>7.050505011E9</v>
      </c>
      <c r="I155" s="6" t="s">
        <v>472</v>
      </c>
      <c r="J155" s="6" t="s">
        <v>16</v>
      </c>
      <c r="K155" s="6" t="s">
        <v>17</v>
      </c>
      <c r="L155" s="6" t="s">
        <v>473</v>
      </c>
    </row>
    <row r="156" ht="22.5" customHeight="1">
      <c r="A156" s="5">
        <v>46169.65713431713</v>
      </c>
      <c r="B156" s="6" t="s">
        <v>474</v>
      </c>
      <c r="C156" s="6" t="s">
        <v>475</v>
      </c>
      <c r="D156" s="3" t="str">
        <f t="shared" si="1"/>
        <v>AE-0155</v>
      </c>
      <c r="E156" s="3">
        <f t="array" ref="E156">IFERROR(XLOOKUP(D156,'Astronomy 101 Week 1 Quiz (Resp'!F:F,'Astronomy 101 Week 1 Quiz (Resp'!E:E),0)</f>
        <v>0</v>
      </c>
      <c r="F156" s="3" t="s">
        <v>14</v>
      </c>
      <c r="G156" s="3"/>
      <c r="H156" s="6">
        <v>9.3089831E9</v>
      </c>
      <c r="I156" s="6" t="s">
        <v>387</v>
      </c>
      <c r="J156" s="6" t="s">
        <v>16</v>
      </c>
      <c r="K156" s="6" t="s">
        <v>43</v>
      </c>
    </row>
    <row r="157" ht="22.5" customHeight="1">
      <c r="A157" s="5">
        <v>46169.65852412037</v>
      </c>
      <c r="B157" s="6" t="s">
        <v>476</v>
      </c>
      <c r="C157" s="6" t="s">
        <v>477</v>
      </c>
      <c r="D157" s="3" t="str">
        <f t="shared" si="1"/>
        <v>AE-0156</v>
      </c>
      <c r="E157" s="3">
        <f t="array" ref="E157">IFERROR(XLOOKUP(D157,'Astronomy 101 Week 1 Quiz (Resp'!F:F,'Astronomy 101 Week 1 Quiz (Resp'!E:E),0)</f>
        <v>0</v>
      </c>
      <c r="F157" s="3" t="s">
        <v>14</v>
      </c>
      <c r="G157" s="3"/>
      <c r="H157" s="6">
        <v>7.070305233E9</v>
      </c>
      <c r="I157" s="6" t="s">
        <v>478</v>
      </c>
      <c r="J157" s="6" t="s">
        <v>16</v>
      </c>
      <c r="K157" s="6" t="s">
        <v>61</v>
      </c>
      <c r="L157" s="6" t="s">
        <v>479</v>
      </c>
    </row>
    <row r="158" ht="22.5" customHeight="1">
      <c r="A158" s="5">
        <v>46169.66173814815</v>
      </c>
      <c r="B158" s="6" t="s">
        <v>480</v>
      </c>
      <c r="C158" s="6" t="s">
        <v>481</v>
      </c>
      <c r="D158" s="3" t="str">
        <f t="shared" si="1"/>
        <v>AE-0157</v>
      </c>
      <c r="E158" s="3">
        <f t="array" ref="E158">IFERROR(XLOOKUP(D158,'Astronomy 101 Week 1 Quiz (Resp'!F:F,'Astronomy 101 Week 1 Quiz (Resp'!E:E),0)</f>
        <v>0</v>
      </c>
      <c r="F158" s="3" t="s">
        <v>14</v>
      </c>
      <c r="G158" s="3"/>
      <c r="H158" s="6">
        <v>8.084016025E9</v>
      </c>
      <c r="I158" s="6" t="s">
        <v>387</v>
      </c>
      <c r="J158" s="6" t="s">
        <v>16</v>
      </c>
      <c r="K158" s="6" t="s">
        <v>82</v>
      </c>
      <c r="L158" s="6" t="s">
        <v>482</v>
      </c>
    </row>
    <row r="159" ht="22.5" customHeight="1">
      <c r="A159" s="5">
        <v>46169.66594258102</v>
      </c>
      <c r="B159" s="6" t="s">
        <v>483</v>
      </c>
      <c r="C159" s="6" t="s">
        <v>484</v>
      </c>
      <c r="D159" s="3" t="str">
        <f t="shared" si="1"/>
        <v>AE-0158</v>
      </c>
      <c r="E159" s="3">
        <f t="array" ref="E159">IFERROR(XLOOKUP(D159,'Astronomy 101 Week 1 Quiz (Resp'!F:F,'Astronomy 101 Week 1 Quiz (Resp'!E:E),0)</f>
        <v>0</v>
      </c>
      <c r="F159" s="3" t="s">
        <v>14</v>
      </c>
      <c r="G159" s="3"/>
      <c r="H159" s="6">
        <v>9.835411468E9</v>
      </c>
      <c r="I159" s="6" t="s">
        <v>360</v>
      </c>
      <c r="J159" s="6" t="s">
        <v>16</v>
      </c>
      <c r="K159" s="6" t="s">
        <v>17</v>
      </c>
      <c r="L159" s="6" t="s">
        <v>485</v>
      </c>
    </row>
    <row r="160" ht="22.5" customHeight="1">
      <c r="A160" s="5">
        <v>46169.66904018518</v>
      </c>
      <c r="B160" s="6" t="s">
        <v>486</v>
      </c>
      <c r="C160" s="6" t="s">
        <v>487</v>
      </c>
      <c r="D160" s="3" t="str">
        <f t="shared" si="1"/>
        <v>AE-0159</v>
      </c>
      <c r="E160" s="3">
        <f t="array" ref="E160">IFERROR(XLOOKUP(D160,'Astronomy 101 Week 1 Quiz (Resp'!F:F,'Astronomy 101 Week 1 Quiz (Resp'!E:E),0)</f>
        <v>0</v>
      </c>
      <c r="F160" s="3" t="s">
        <v>14</v>
      </c>
      <c r="G160" s="3"/>
      <c r="H160" s="6">
        <v>7.366855971E9</v>
      </c>
      <c r="I160" s="6" t="s">
        <v>488</v>
      </c>
      <c r="J160" s="6" t="s">
        <v>16</v>
      </c>
      <c r="K160" s="6" t="s">
        <v>17</v>
      </c>
    </row>
    <row r="161" ht="22.5" customHeight="1">
      <c r="A161" s="5">
        <v>46169.67090143518</v>
      </c>
      <c r="B161" s="6" t="s">
        <v>489</v>
      </c>
      <c r="C161" s="6" t="s">
        <v>490</v>
      </c>
      <c r="D161" s="3" t="str">
        <f t="shared" si="1"/>
        <v>AE-0160</v>
      </c>
      <c r="E161" s="3">
        <f t="array" ref="E161">IFERROR(XLOOKUP(D161,'Astronomy 101 Week 1 Quiz (Resp'!F:F,'Astronomy 101 Week 1 Quiz (Resp'!E:E),0)</f>
        <v>0</v>
      </c>
      <c r="F161" s="3" t="s">
        <v>14</v>
      </c>
      <c r="G161" s="3"/>
      <c r="H161" s="7" t="s">
        <v>491</v>
      </c>
      <c r="I161" s="6" t="s">
        <v>414</v>
      </c>
      <c r="J161" s="6" t="s">
        <v>16</v>
      </c>
      <c r="K161" s="6" t="s">
        <v>61</v>
      </c>
    </row>
    <row r="162" ht="22.5" customHeight="1">
      <c r="A162" s="5">
        <v>46169.67840546297</v>
      </c>
      <c r="B162" s="6" t="s">
        <v>492</v>
      </c>
      <c r="C162" s="6" t="s">
        <v>493</v>
      </c>
      <c r="D162" s="3" t="str">
        <f t="shared" si="1"/>
        <v>AE-0161</v>
      </c>
      <c r="E162" s="3">
        <f t="array" ref="E162">IFERROR(XLOOKUP(D162,'Astronomy 101 Week 1 Quiz (Resp'!F:F,'Astronomy 101 Week 1 Quiz (Resp'!E:E),0)</f>
        <v>41</v>
      </c>
      <c r="F162" s="3" t="s">
        <v>14</v>
      </c>
      <c r="G162" s="3"/>
      <c r="H162" s="6">
        <v>9.83853369E9</v>
      </c>
      <c r="I162" s="6" t="s">
        <v>457</v>
      </c>
      <c r="J162" s="6" t="s">
        <v>16</v>
      </c>
      <c r="K162" s="6" t="s">
        <v>61</v>
      </c>
      <c r="L162" s="6" t="s">
        <v>494</v>
      </c>
    </row>
    <row r="163" ht="22.5" customHeight="1">
      <c r="A163" s="5">
        <v>46169.679463865745</v>
      </c>
      <c r="B163" s="6" t="s">
        <v>495</v>
      </c>
      <c r="C163" s="6" t="s">
        <v>496</v>
      </c>
      <c r="D163" s="3" t="str">
        <f t="shared" si="1"/>
        <v>AE-0162</v>
      </c>
      <c r="E163" s="3">
        <f t="array" ref="E163">IFERROR(XLOOKUP(D163,'Astronomy 101 Week 1 Quiz (Resp'!F:F,'Astronomy 101 Week 1 Quiz (Resp'!E:E),0)</f>
        <v>0</v>
      </c>
      <c r="F163" s="3" t="s">
        <v>14</v>
      </c>
      <c r="G163" s="3"/>
      <c r="H163" s="6">
        <v>9.350166617E9</v>
      </c>
      <c r="I163" s="6" t="s">
        <v>497</v>
      </c>
      <c r="J163" s="6" t="s">
        <v>16</v>
      </c>
      <c r="K163" s="6" t="s">
        <v>17</v>
      </c>
      <c r="L163" s="6" t="s">
        <v>498</v>
      </c>
    </row>
    <row r="164" ht="22.5" customHeight="1">
      <c r="A164" s="5">
        <v>46169.682936956015</v>
      </c>
      <c r="B164" s="6" t="s">
        <v>499</v>
      </c>
      <c r="C164" s="6" t="s">
        <v>500</v>
      </c>
      <c r="D164" s="3" t="str">
        <f t="shared" si="1"/>
        <v>AE-0163</v>
      </c>
      <c r="E164" s="3">
        <f t="array" ref="E164">IFERROR(XLOOKUP(D164,'Astronomy 101 Week 1 Quiz (Resp'!F:F,'Astronomy 101 Week 1 Quiz (Resp'!E:E),0)</f>
        <v>0</v>
      </c>
      <c r="F164" s="3" t="s">
        <v>14</v>
      </c>
      <c r="G164" s="3"/>
      <c r="H164" s="6">
        <v>8.168426676E9</v>
      </c>
      <c r="I164" s="6" t="s">
        <v>501</v>
      </c>
      <c r="J164" s="6" t="s">
        <v>16</v>
      </c>
      <c r="K164" s="6" t="s">
        <v>17</v>
      </c>
    </row>
    <row r="165" ht="22.5" customHeight="1">
      <c r="A165" s="5">
        <v>46169.68946553241</v>
      </c>
      <c r="B165" s="6" t="s">
        <v>502</v>
      </c>
      <c r="C165" s="6" t="s">
        <v>503</v>
      </c>
      <c r="D165" s="3" t="str">
        <f t="shared" si="1"/>
        <v>AE-0164</v>
      </c>
      <c r="E165" s="3">
        <f t="array" ref="E165">IFERROR(XLOOKUP(D165,'Astronomy 101 Week 1 Quiz (Resp'!F:F,'Astronomy 101 Week 1 Quiz (Resp'!E:E),0)</f>
        <v>0</v>
      </c>
      <c r="F165" s="3" t="s">
        <v>14</v>
      </c>
      <c r="G165" s="3"/>
      <c r="H165" s="6">
        <v>8.824915044E9</v>
      </c>
      <c r="I165" s="6" t="s">
        <v>504</v>
      </c>
      <c r="J165" s="6" t="s">
        <v>16</v>
      </c>
      <c r="K165" s="6" t="s">
        <v>61</v>
      </c>
    </row>
    <row r="166" ht="22.5" customHeight="1">
      <c r="A166" s="5">
        <v>46169.69068903935</v>
      </c>
      <c r="B166" s="6" t="s">
        <v>505</v>
      </c>
      <c r="C166" s="6" t="s">
        <v>506</v>
      </c>
      <c r="D166" s="3" t="str">
        <f t="shared" si="1"/>
        <v>AE-0165</v>
      </c>
      <c r="E166" s="3">
        <f t="array" ref="E166">IFERROR(XLOOKUP(D166,'Astronomy 101 Week 1 Quiz (Resp'!F:F,'Astronomy 101 Week 1 Quiz (Resp'!E:E),0)</f>
        <v>0</v>
      </c>
      <c r="F166" s="3" t="s">
        <v>14</v>
      </c>
      <c r="G166" s="3"/>
      <c r="H166" s="6">
        <v>7.518255137E9</v>
      </c>
      <c r="I166" s="6" t="s">
        <v>507</v>
      </c>
      <c r="J166" s="6" t="s">
        <v>16</v>
      </c>
      <c r="K166" s="6" t="s">
        <v>17</v>
      </c>
      <c r="L166" s="6" t="s">
        <v>508</v>
      </c>
    </row>
    <row r="167" ht="22.5" customHeight="1">
      <c r="A167" s="5">
        <v>46169.69236392361</v>
      </c>
      <c r="B167" s="6" t="s">
        <v>509</v>
      </c>
      <c r="C167" s="6" t="s">
        <v>510</v>
      </c>
      <c r="D167" s="3" t="str">
        <f t="shared" si="1"/>
        <v>AE-0166</v>
      </c>
      <c r="E167" s="3">
        <f t="array" ref="E167">IFERROR(XLOOKUP(D167,'Astronomy 101 Week 1 Quiz (Resp'!F:F,'Astronomy 101 Week 1 Quiz (Resp'!E:E),0)</f>
        <v>0</v>
      </c>
      <c r="F167" s="3" t="s">
        <v>14</v>
      </c>
      <c r="G167" s="3"/>
      <c r="H167" s="6">
        <v>9.390019225E9</v>
      </c>
      <c r="I167" s="6" t="s">
        <v>387</v>
      </c>
      <c r="J167" s="6" t="s">
        <v>16</v>
      </c>
      <c r="K167" s="6" t="s">
        <v>82</v>
      </c>
      <c r="L167" s="6" t="s">
        <v>511</v>
      </c>
    </row>
    <row r="168" ht="22.5" customHeight="1">
      <c r="A168" s="5">
        <v>46169.70716871528</v>
      </c>
      <c r="B168" s="6" t="s">
        <v>512</v>
      </c>
      <c r="C168" s="6" t="s">
        <v>513</v>
      </c>
      <c r="D168" s="3" t="str">
        <f t="shared" si="1"/>
        <v>AE-0167</v>
      </c>
      <c r="E168" s="3">
        <f t="array" ref="E168">IFERROR(XLOOKUP(D168,'Astronomy 101 Week 1 Quiz (Resp'!F:F,'Astronomy 101 Week 1 Quiz (Resp'!E:E),0)</f>
        <v>0</v>
      </c>
      <c r="F168" s="3" t="s">
        <v>14</v>
      </c>
      <c r="G168" s="3"/>
      <c r="H168" s="6">
        <v>8.252472949E9</v>
      </c>
      <c r="I168" s="6" t="s">
        <v>387</v>
      </c>
      <c r="J168" s="6" t="s">
        <v>16</v>
      </c>
      <c r="K168" s="6" t="s">
        <v>17</v>
      </c>
      <c r="L168" s="6" t="s">
        <v>514</v>
      </c>
    </row>
    <row r="169" ht="22.5" customHeight="1">
      <c r="A169" s="5">
        <v>46169.709880625</v>
      </c>
      <c r="B169" s="6" t="s">
        <v>515</v>
      </c>
      <c r="C169" s="6" t="s">
        <v>516</v>
      </c>
      <c r="D169" s="3" t="str">
        <f t="shared" si="1"/>
        <v>AE-0168</v>
      </c>
      <c r="E169" s="3">
        <f t="array" ref="E169">IFERROR(XLOOKUP(D169,'Astronomy 101 Week 1 Quiz (Resp'!F:F,'Astronomy 101 Week 1 Quiz (Resp'!E:E),0)</f>
        <v>24</v>
      </c>
      <c r="F169" s="3" t="s">
        <v>14</v>
      </c>
      <c r="G169" s="3"/>
      <c r="H169" s="6" t="s">
        <v>517</v>
      </c>
      <c r="I169" s="6" t="s">
        <v>472</v>
      </c>
      <c r="J169" s="6" t="s">
        <v>16</v>
      </c>
      <c r="K169" s="6" t="s">
        <v>61</v>
      </c>
      <c r="L169" s="6" t="s">
        <v>518</v>
      </c>
    </row>
    <row r="170" ht="22.5" customHeight="1">
      <c r="A170" s="5">
        <v>46169.71692532407</v>
      </c>
      <c r="B170" s="6" t="s">
        <v>519</v>
      </c>
      <c r="C170" s="6" t="s">
        <v>520</v>
      </c>
      <c r="D170" s="3" t="str">
        <f t="shared" si="1"/>
        <v>AE-0169</v>
      </c>
      <c r="E170" s="3">
        <f t="array" ref="E170">IFERROR(XLOOKUP(D170,'Astronomy 101 Week 1 Quiz (Resp'!F:F,'Astronomy 101 Week 1 Quiz (Resp'!E:E),0)</f>
        <v>0</v>
      </c>
      <c r="F170" s="3" t="s">
        <v>14</v>
      </c>
      <c r="G170" s="3"/>
      <c r="H170" s="6">
        <v>7.667059379E9</v>
      </c>
      <c r="I170" s="6" t="s">
        <v>360</v>
      </c>
      <c r="J170" s="6" t="s">
        <v>16</v>
      </c>
      <c r="K170" s="6" t="s">
        <v>17</v>
      </c>
      <c r="L170" s="6" t="s">
        <v>521</v>
      </c>
    </row>
    <row r="171" ht="22.5" customHeight="1">
      <c r="A171" s="5">
        <v>46169.72245267361</v>
      </c>
      <c r="B171" s="6" t="s">
        <v>522</v>
      </c>
      <c r="C171" s="6" t="s">
        <v>523</v>
      </c>
      <c r="D171" s="3" t="str">
        <f t="shared" si="1"/>
        <v>AE-0170</v>
      </c>
      <c r="E171" s="3">
        <f t="array" ref="E171">IFERROR(XLOOKUP(D171,'Astronomy 101 Week 1 Quiz (Resp'!F:F,'Astronomy 101 Week 1 Quiz (Resp'!E:E),0)</f>
        <v>0</v>
      </c>
      <c r="F171" s="3" t="s">
        <v>14</v>
      </c>
      <c r="G171" s="3"/>
      <c r="H171" s="6">
        <v>7.903131242E9</v>
      </c>
      <c r="I171" s="6" t="s">
        <v>387</v>
      </c>
      <c r="J171" s="6" t="s">
        <v>16</v>
      </c>
      <c r="K171" s="6" t="s">
        <v>21</v>
      </c>
      <c r="L171" s="6" t="s">
        <v>524</v>
      </c>
    </row>
    <row r="172" ht="22.5" customHeight="1">
      <c r="A172" s="5">
        <v>46169.726239525466</v>
      </c>
      <c r="B172" s="6" t="s">
        <v>525</v>
      </c>
      <c r="C172" s="6" t="s">
        <v>526</v>
      </c>
      <c r="D172" s="3" t="str">
        <f t="shared" si="1"/>
        <v>AE-0171</v>
      </c>
      <c r="E172" s="3">
        <f t="array" ref="E172">IFERROR(XLOOKUP(D172,'Astronomy 101 Week 1 Quiz (Resp'!F:F,'Astronomy 101 Week 1 Quiz (Resp'!E:E),0)</f>
        <v>0</v>
      </c>
      <c r="F172" s="3" t="s">
        <v>14</v>
      </c>
      <c r="G172" s="3"/>
      <c r="H172" s="6">
        <v>9.053397706E9</v>
      </c>
      <c r="I172" s="6" t="s">
        <v>527</v>
      </c>
      <c r="J172" s="6" t="s">
        <v>16</v>
      </c>
      <c r="K172" s="6" t="s">
        <v>82</v>
      </c>
      <c r="L172" s="6" t="s">
        <v>528</v>
      </c>
    </row>
    <row r="173" ht="22.5" customHeight="1">
      <c r="A173" s="5">
        <v>46169.742539756946</v>
      </c>
      <c r="B173" s="6" t="s">
        <v>529</v>
      </c>
      <c r="C173" s="6" t="s">
        <v>530</v>
      </c>
      <c r="D173" s="3" t="str">
        <f t="shared" si="1"/>
        <v>AE-0172</v>
      </c>
      <c r="E173" s="3">
        <f t="array" ref="E173">IFERROR(XLOOKUP(D173,'Astronomy 101 Week 1 Quiz (Resp'!F:F,'Astronomy 101 Week 1 Quiz (Resp'!E:E),0)</f>
        <v>0</v>
      </c>
      <c r="F173" s="3" t="s">
        <v>14</v>
      </c>
      <c r="G173" s="3"/>
      <c r="H173" s="6">
        <v>8.539980162E9</v>
      </c>
      <c r="I173" s="6" t="s">
        <v>384</v>
      </c>
      <c r="J173" s="6" t="s">
        <v>16</v>
      </c>
      <c r="K173" s="6" t="s">
        <v>61</v>
      </c>
      <c r="L173" s="6" t="s">
        <v>531</v>
      </c>
    </row>
    <row r="174" ht="22.5" customHeight="1">
      <c r="A174" s="5">
        <v>46169.745212326394</v>
      </c>
      <c r="B174" s="6" t="s">
        <v>532</v>
      </c>
      <c r="C174" s="6" t="s">
        <v>533</v>
      </c>
      <c r="D174" s="3" t="str">
        <f t="shared" si="1"/>
        <v>AE-0173</v>
      </c>
      <c r="E174" s="3">
        <f t="array" ref="E174">IFERROR(XLOOKUP(D174,'Astronomy 101 Week 1 Quiz (Resp'!F:F,'Astronomy 101 Week 1 Quiz (Resp'!E:E),0)</f>
        <v>0</v>
      </c>
      <c r="F174" s="3" t="s">
        <v>14</v>
      </c>
      <c r="G174" s="3"/>
      <c r="H174" s="6">
        <v>9.522057354E9</v>
      </c>
      <c r="I174" s="6" t="s">
        <v>472</v>
      </c>
      <c r="J174" s="6" t="s">
        <v>16</v>
      </c>
    </row>
    <row r="175" ht="22.5" customHeight="1">
      <c r="A175" s="5">
        <v>46169.76996398148</v>
      </c>
      <c r="B175" s="6" t="s">
        <v>534</v>
      </c>
      <c r="C175" s="6" t="s">
        <v>535</v>
      </c>
      <c r="D175" s="3" t="str">
        <f t="shared" si="1"/>
        <v>AE-0174</v>
      </c>
      <c r="E175" s="3">
        <f t="array" ref="E175">IFERROR(XLOOKUP(D175,'Astronomy 101 Week 1 Quiz (Resp'!F:F,'Astronomy 101 Week 1 Quiz (Resp'!E:E),0)</f>
        <v>0</v>
      </c>
      <c r="F175" s="3" t="s">
        <v>14</v>
      </c>
      <c r="G175" s="3"/>
      <c r="H175" s="6">
        <v>8.252228767E9</v>
      </c>
      <c r="I175" s="6" t="s">
        <v>429</v>
      </c>
      <c r="J175" s="6" t="s">
        <v>16</v>
      </c>
      <c r="K175" s="6" t="s">
        <v>17</v>
      </c>
      <c r="L175" s="6" t="s">
        <v>536</v>
      </c>
    </row>
    <row r="176" ht="22.5" customHeight="1">
      <c r="A176" s="5">
        <v>46169.776559363425</v>
      </c>
      <c r="B176" s="6" t="s">
        <v>537</v>
      </c>
      <c r="C176" s="6" t="s">
        <v>538</v>
      </c>
      <c r="D176" s="3" t="str">
        <f t="shared" si="1"/>
        <v>AE-0175</v>
      </c>
      <c r="E176" s="3">
        <f t="array" ref="E176">IFERROR(XLOOKUP(D176,'Astronomy 101 Week 1 Quiz (Resp'!F:F,'Astronomy 101 Week 1 Quiz (Resp'!E:E),0)</f>
        <v>44</v>
      </c>
      <c r="F176" s="3" t="s">
        <v>14</v>
      </c>
      <c r="G176" s="3"/>
      <c r="H176" s="6">
        <v>8.292785587E9</v>
      </c>
      <c r="I176" s="6" t="s">
        <v>429</v>
      </c>
      <c r="J176" s="6" t="s">
        <v>16</v>
      </c>
      <c r="K176" s="6" t="s">
        <v>61</v>
      </c>
      <c r="L176" s="6" t="s">
        <v>539</v>
      </c>
    </row>
    <row r="177" ht="22.5" customHeight="1">
      <c r="A177" s="5">
        <v>46169.776603171296</v>
      </c>
      <c r="B177" s="6" t="s">
        <v>540</v>
      </c>
      <c r="C177" s="6" t="s">
        <v>541</v>
      </c>
      <c r="D177" s="3" t="str">
        <f t="shared" si="1"/>
        <v>AE-0176</v>
      </c>
      <c r="E177" s="3">
        <f t="array" ref="E177">IFERROR(XLOOKUP(D177,'Astronomy 101 Week 1 Quiz (Resp'!F:F,'Astronomy 101 Week 1 Quiz (Resp'!E:E),0)</f>
        <v>0</v>
      </c>
      <c r="F177" s="3" t="s">
        <v>14</v>
      </c>
      <c r="G177" s="3"/>
      <c r="H177" s="6" t="s">
        <v>542</v>
      </c>
      <c r="I177" s="6" t="s">
        <v>543</v>
      </c>
      <c r="J177" s="6" t="s">
        <v>16</v>
      </c>
      <c r="K177" s="6" t="s">
        <v>17</v>
      </c>
    </row>
    <row r="178" ht="22.5" customHeight="1">
      <c r="A178" s="5">
        <v>46169.78097881944</v>
      </c>
      <c r="B178" s="6" t="s">
        <v>544</v>
      </c>
      <c r="C178" s="6" t="s">
        <v>545</v>
      </c>
      <c r="D178" s="3" t="str">
        <f t="shared" si="1"/>
        <v>AE-0177</v>
      </c>
      <c r="E178" s="3">
        <f t="array" ref="E178">IFERROR(XLOOKUP(D178,'Astronomy 101 Week 1 Quiz (Resp'!F:F,'Astronomy 101 Week 1 Quiz (Resp'!E:E),0)</f>
        <v>0</v>
      </c>
      <c r="F178" s="3" t="s">
        <v>14</v>
      </c>
      <c r="G178" s="3"/>
      <c r="H178" s="6">
        <v>8.637555718E9</v>
      </c>
      <c r="I178" s="6" t="s">
        <v>360</v>
      </c>
      <c r="J178" s="6" t="s">
        <v>16</v>
      </c>
      <c r="K178" s="6" t="s">
        <v>17</v>
      </c>
      <c r="L178" s="6" t="s">
        <v>546</v>
      </c>
    </row>
    <row r="179" ht="22.5" customHeight="1">
      <c r="A179" s="5">
        <v>46169.78606866898</v>
      </c>
      <c r="B179" s="6" t="s">
        <v>547</v>
      </c>
      <c r="C179" s="6" t="s">
        <v>548</v>
      </c>
      <c r="D179" s="3" t="str">
        <f t="shared" si="1"/>
        <v>AE-0178</v>
      </c>
      <c r="E179" s="3">
        <f t="array" ref="E179">IFERROR(XLOOKUP(D179,'Astronomy 101 Week 1 Quiz (Resp'!F:F,'Astronomy 101 Week 1 Quiz (Resp'!E:E),0)</f>
        <v>0</v>
      </c>
      <c r="F179" s="3" t="s">
        <v>14</v>
      </c>
      <c r="G179" s="3"/>
      <c r="H179" s="6">
        <v>7.288824812E9</v>
      </c>
      <c r="I179" s="6" t="s">
        <v>387</v>
      </c>
      <c r="J179" s="6" t="s">
        <v>16</v>
      </c>
      <c r="K179" s="6" t="s">
        <v>17</v>
      </c>
      <c r="L179" s="6" t="s">
        <v>549</v>
      </c>
    </row>
    <row r="180" ht="22.5" customHeight="1">
      <c r="A180" s="5">
        <v>46169.78808974537</v>
      </c>
      <c r="B180" s="6" t="s">
        <v>550</v>
      </c>
      <c r="C180" s="6" t="s">
        <v>551</v>
      </c>
      <c r="D180" s="3" t="str">
        <f t="shared" si="1"/>
        <v>AE-0179</v>
      </c>
      <c r="E180" s="3">
        <f t="array" ref="E180">IFERROR(XLOOKUP(D180,'Astronomy 101 Week 1 Quiz (Resp'!F:F,'Astronomy 101 Week 1 Quiz (Resp'!E:E),0)</f>
        <v>0</v>
      </c>
      <c r="F180" s="3" t="s">
        <v>14</v>
      </c>
      <c r="G180" s="3"/>
      <c r="H180" s="6" t="s">
        <v>552</v>
      </c>
      <c r="I180" s="6" t="s">
        <v>417</v>
      </c>
      <c r="J180" s="6" t="s">
        <v>16</v>
      </c>
      <c r="K180" s="6" t="s">
        <v>61</v>
      </c>
    </row>
    <row r="181" ht="22.5" customHeight="1">
      <c r="A181" s="5">
        <v>46169.78870232639</v>
      </c>
      <c r="B181" s="6" t="s">
        <v>553</v>
      </c>
      <c r="C181" s="6" t="s">
        <v>554</v>
      </c>
      <c r="D181" s="3" t="str">
        <f t="shared" si="1"/>
        <v>AE-0180</v>
      </c>
      <c r="E181" s="3">
        <f t="array" ref="E181">IFERROR(XLOOKUP(D181,'Astronomy 101 Week 1 Quiz (Resp'!F:F,'Astronomy 101 Week 1 Quiz (Resp'!E:E),0)</f>
        <v>0</v>
      </c>
      <c r="F181" s="3" t="s">
        <v>14</v>
      </c>
      <c r="G181" s="3"/>
      <c r="H181" s="6">
        <v>7.061475637E9</v>
      </c>
      <c r="I181" s="6" t="s">
        <v>457</v>
      </c>
      <c r="J181" s="6" t="s">
        <v>16</v>
      </c>
      <c r="K181" s="6" t="s">
        <v>25</v>
      </c>
    </row>
    <row r="182" ht="22.5" customHeight="1">
      <c r="A182" s="5">
        <v>46169.79185811343</v>
      </c>
      <c r="B182" s="6" t="s">
        <v>555</v>
      </c>
      <c r="C182" s="6" t="s">
        <v>556</v>
      </c>
      <c r="D182" s="3" t="str">
        <f t="shared" si="1"/>
        <v>AE-0181</v>
      </c>
      <c r="E182" s="3">
        <f t="array" ref="E182">IFERROR(XLOOKUP(D182,'Astronomy 101 Week 1 Quiz (Resp'!F:F,'Astronomy 101 Week 1 Quiz (Resp'!E:E),0)</f>
        <v>0</v>
      </c>
      <c r="F182" s="3" t="s">
        <v>14</v>
      </c>
      <c r="G182" s="3"/>
      <c r="H182" s="6">
        <v>9.122543497E9</v>
      </c>
      <c r="I182" s="6" t="s">
        <v>422</v>
      </c>
      <c r="J182" s="6" t="s">
        <v>16</v>
      </c>
      <c r="K182" s="6" t="s">
        <v>61</v>
      </c>
    </row>
    <row r="183" ht="22.5" customHeight="1">
      <c r="A183" s="5">
        <v>46169.79507501157</v>
      </c>
      <c r="B183" s="6" t="s">
        <v>557</v>
      </c>
      <c r="C183" s="6" t="s">
        <v>558</v>
      </c>
      <c r="D183" s="3" t="str">
        <f t="shared" si="1"/>
        <v>AE-0182</v>
      </c>
      <c r="E183" s="3">
        <f t="array" ref="E183">IFERROR(XLOOKUP(D183,'Astronomy 101 Week 1 Quiz (Resp'!F:F,'Astronomy 101 Week 1 Quiz (Resp'!E:E),0)</f>
        <v>0</v>
      </c>
      <c r="F183" s="3" t="s">
        <v>14</v>
      </c>
      <c r="G183" s="3"/>
      <c r="H183" s="6">
        <v>9.889775834E9</v>
      </c>
      <c r="I183" s="6" t="s">
        <v>461</v>
      </c>
      <c r="J183" s="6" t="s">
        <v>16</v>
      </c>
      <c r="K183" s="6" t="s">
        <v>25</v>
      </c>
      <c r="L183" s="6" t="s">
        <v>559</v>
      </c>
    </row>
    <row r="184" ht="22.5" customHeight="1">
      <c r="A184" s="5">
        <v>46169.7955672338</v>
      </c>
      <c r="B184" s="6" t="s">
        <v>560</v>
      </c>
      <c r="C184" s="6" t="s">
        <v>561</v>
      </c>
      <c r="D184" s="3" t="str">
        <f t="shared" si="1"/>
        <v>AE-0183</v>
      </c>
      <c r="E184" s="3">
        <f t="array" ref="E184">IFERROR(XLOOKUP(D184,'Astronomy 101 Week 1 Quiz (Resp'!F:F,'Astronomy 101 Week 1 Quiz (Resp'!E:E),0)</f>
        <v>45</v>
      </c>
      <c r="F184" s="3" t="s">
        <v>14</v>
      </c>
      <c r="G184" s="3"/>
      <c r="H184" s="6">
        <v>8.839674282E9</v>
      </c>
      <c r="I184" s="6" t="s">
        <v>73</v>
      </c>
      <c r="J184" s="6" t="s">
        <v>16</v>
      </c>
      <c r="K184" s="6" t="s">
        <v>17</v>
      </c>
      <c r="L184" s="6" t="s">
        <v>562</v>
      </c>
    </row>
    <row r="185" ht="22.5" customHeight="1">
      <c r="A185" s="5">
        <v>46169.80429673611</v>
      </c>
      <c r="B185" s="6" t="s">
        <v>563</v>
      </c>
      <c r="C185" s="6" t="s">
        <v>564</v>
      </c>
      <c r="D185" s="3" t="str">
        <f t="shared" si="1"/>
        <v>AE-0184</v>
      </c>
      <c r="E185" s="3">
        <f t="array" ref="E185">IFERROR(XLOOKUP(D185,'Astronomy 101 Week 1 Quiz (Resp'!F:F,'Astronomy 101 Week 1 Quiz (Resp'!E:E),0)</f>
        <v>0</v>
      </c>
      <c r="F185" s="3" t="s">
        <v>14</v>
      </c>
      <c r="G185" s="3"/>
      <c r="H185" s="6" t="s">
        <v>565</v>
      </c>
      <c r="I185" s="6" t="s">
        <v>395</v>
      </c>
      <c r="J185" s="6" t="s">
        <v>16</v>
      </c>
      <c r="K185" s="6" t="s">
        <v>21</v>
      </c>
      <c r="L185" s="6" t="s">
        <v>566</v>
      </c>
    </row>
    <row r="186" ht="22.5" customHeight="1">
      <c r="A186" s="5">
        <v>46169.80556399305</v>
      </c>
      <c r="B186" s="6" t="s">
        <v>567</v>
      </c>
      <c r="C186" s="6" t="s">
        <v>568</v>
      </c>
      <c r="D186" s="3" t="str">
        <f t="shared" si="1"/>
        <v>AE-0185</v>
      </c>
      <c r="E186" s="3">
        <f t="array" ref="E186">IFERROR(XLOOKUP(D186,'Astronomy 101 Week 1 Quiz (Resp'!F:F,'Astronomy 101 Week 1 Quiz (Resp'!E:E),0)</f>
        <v>0</v>
      </c>
      <c r="F186" s="3" t="s">
        <v>14</v>
      </c>
      <c r="G186" s="3"/>
      <c r="H186" s="6">
        <v>9.153443002E9</v>
      </c>
      <c r="I186" s="6" t="s">
        <v>465</v>
      </c>
      <c r="J186" s="6" t="s">
        <v>16</v>
      </c>
      <c r="K186" s="6" t="s">
        <v>61</v>
      </c>
      <c r="L186" s="6" t="s">
        <v>569</v>
      </c>
    </row>
    <row r="187" ht="22.5" customHeight="1">
      <c r="A187" s="5">
        <v>46169.80560158565</v>
      </c>
      <c r="B187" s="6" t="s">
        <v>570</v>
      </c>
      <c r="C187" s="6" t="s">
        <v>571</v>
      </c>
      <c r="D187" s="3" t="str">
        <f t="shared" si="1"/>
        <v>AE-0186</v>
      </c>
      <c r="E187" s="3">
        <f t="array" ref="E187">IFERROR(XLOOKUP(D187,'Astronomy 101 Week 1 Quiz (Resp'!F:F,'Astronomy 101 Week 1 Quiz (Resp'!E:E),0)</f>
        <v>0</v>
      </c>
      <c r="F187" s="3" t="s">
        <v>14</v>
      </c>
      <c r="G187" s="3"/>
      <c r="H187" s="6">
        <v>9.109546335E9</v>
      </c>
      <c r="I187" s="6" t="s">
        <v>414</v>
      </c>
      <c r="J187" s="6" t="s">
        <v>16</v>
      </c>
      <c r="K187" s="6" t="s">
        <v>61</v>
      </c>
      <c r="L187" s="6" t="s">
        <v>572</v>
      </c>
    </row>
    <row r="188" ht="22.5" customHeight="1">
      <c r="A188" s="5">
        <v>46169.805877164355</v>
      </c>
      <c r="B188" s="6" t="s">
        <v>573</v>
      </c>
      <c r="C188" s="6" t="s">
        <v>574</v>
      </c>
      <c r="D188" s="3" t="str">
        <f t="shared" si="1"/>
        <v>AE-0187</v>
      </c>
      <c r="E188" s="3">
        <f t="array" ref="E188">IFERROR(XLOOKUP(D188,'Astronomy 101 Week 1 Quiz (Resp'!F:F,'Astronomy 101 Week 1 Quiz (Resp'!E:E),0)</f>
        <v>0</v>
      </c>
      <c r="F188" s="3" t="s">
        <v>14</v>
      </c>
      <c r="G188" s="3"/>
      <c r="H188" s="6">
        <v>8.051578754E9</v>
      </c>
      <c r="I188" s="6" t="s">
        <v>417</v>
      </c>
      <c r="J188" s="6" t="s">
        <v>16</v>
      </c>
    </row>
    <row r="189" ht="22.5" customHeight="1">
      <c r="A189" s="5">
        <v>46169.81203461805</v>
      </c>
      <c r="B189" s="6" t="s">
        <v>575</v>
      </c>
      <c r="C189" s="6" t="s">
        <v>576</v>
      </c>
      <c r="D189" s="3" t="str">
        <f t="shared" si="1"/>
        <v>AE-0188</v>
      </c>
      <c r="E189" s="3">
        <f t="array" ref="E189">IFERROR(XLOOKUP(D189,'Astronomy 101 Week 1 Quiz (Resp'!F:F,'Astronomy 101 Week 1 Quiz (Resp'!E:E),0)</f>
        <v>0</v>
      </c>
      <c r="F189" s="3" t="s">
        <v>14</v>
      </c>
      <c r="G189" s="3"/>
      <c r="H189" s="6">
        <v>7.667762803E9</v>
      </c>
      <c r="I189" s="6" t="s">
        <v>395</v>
      </c>
      <c r="J189" s="6" t="s">
        <v>16</v>
      </c>
      <c r="K189" s="6" t="s">
        <v>17</v>
      </c>
    </row>
    <row r="190" ht="22.5" customHeight="1">
      <c r="A190" s="5">
        <v>46169.8178897801</v>
      </c>
      <c r="B190" s="6" t="s">
        <v>577</v>
      </c>
      <c r="C190" s="6" t="s">
        <v>578</v>
      </c>
      <c r="D190" s="3" t="str">
        <f t="shared" si="1"/>
        <v>AE-0189</v>
      </c>
      <c r="E190" s="3">
        <f t="array" ref="E190">IFERROR(XLOOKUP(D190,'Astronomy 101 Week 1 Quiz (Resp'!F:F,'Astronomy 101 Week 1 Quiz (Resp'!E:E),0)</f>
        <v>0</v>
      </c>
      <c r="F190" s="3" t="s">
        <v>14</v>
      </c>
      <c r="G190" s="3"/>
      <c r="H190" s="6">
        <v>7.879822793E9</v>
      </c>
      <c r="I190" s="6" t="s">
        <v>417</v>
      </c>
      <c r="J190" s="6" t="s">
        <v>16</v>
      </c>
      <c r="K190" s="6" t="s">
        <v>61</v>
      </c>
      <c r="L190" s="6" t="s">
        <v>579</v>
      </c>
    </row>
    <row r="191" ht="22.5" customHeight="1">
      <c r="A191" s="5">
        <v>46169.82132225695</v>
      </c>
      <c r="B191" s="6" t="s">
        <v>580</v>
      </c>
      <c r="C191" s="6" t="s">
        <v>581</v>
      </c>
      <c r="D191" s="3" t="str">
        <f t="shared" si="1"/>
        <v>AE-0190</v>
      </c>
      <c r="E191" s="3">
        <f t="array" ref="E191">IFERROR(XLOOKUP(D191,'Astronomy 101 Week 1 Quiz (Resp'!F:F,'Astronomy 101 Week 1 Quiz (Resp'!E:E),0)</f>
        <v>0</v>
      </c>
      <c r="F191" s="3" t="s">
        <v>14</v>
      </c>
      <c r="G191" s="3"/>
      <c r="H191" s="6">
        <v>9.7716261E9</v>
      </c>
      <c r="I191" s="6" t="s">
        <v>360</v>
      </c>
      <c r="J191" s="6" t="s">
        <v>16</v>
      </c>
      <c r="K191" s="6" t="s">
        <v>43</v>
      </c>
      <c r="L191" s="6" t="s">
        <v>582</v>
      </c>
    </row>
    <row r="192" ht="22.5" customHeight="1">
      <c r="A192" s="5">
        <v>46169.82960172454</v>
      </c>
      <c r="B192" s="6" t="s">
        <v>583</v>
      </c>
      <c r="C192" s="6" t="s">
        <v>584</v>
      </c>
      <c r="D192" s="3" t="str">
        <f t="shared" si="1"/>
        <v>AE-0191</v>
      </c>
      <c r="E192" s="3">
        <f t="array" ref="E192">IFERROR(XLOOKUP(D192,'Astronomy 101 Week 1 Quiz (Resp'!F:F,'Astronomy 101 Week 1 Quiz (Resp'!E:E),0)</f>
        <v>0</v>
      </c>
      <c r="F192" s="3" t="s">
        <v>14</v>
      </c>
      <c r="G192" s="3"/>
      <c r="H192" s="6">
        <v>8.709087201E9</v>
      </c>
      <c r="I192" s="6" t="s">
        <v>414</v>
      </c>
      <c r="J192" s="6" t="s">
        <v>16</v>
      </c>
      <c r="K192" s="6" t="s">
        <v>17</v>
      </c>
      <c r="L192" s="6" t="s">
        <v>585</v>
      </c>
    </row>
    <row r="193" ht="22.5" customHeight="1">
      <c r="A193" s="5">
        <v>46169.83207491898</v>
      </c>
      <c r="B193" s="6" t="s">
        <v>586</v>
      </c>
      <c r="C193" s="6" t="s">
        <v>587</v>
      </c>
      <c r="D193" s="3" t="str">
        <f t="shared" si="1"/>
        <v>AE-0192</v>
      </c>
      <c r="E193" s="3">
        <f t="array" ref="E193">IFERROR(XLOOKUP(D193,'Astronomy 101 Week 1 Quiz (Resp'!F:F,'Astronomy 101 Week 1 Quiz (Resp'!E:E),0)</f>
        <v>0</v>
      </c>
      <c r="F193" s="3" t="s">
        <v>14</v>
      </c>
      <c r="G193" s="3"/>
      <c r="H193" s="6">
        <v>9.555945846E9</v>
      </c>
      <c r="I193" s="6" t="s">
        <v>425</v>
      </c>
      <c r="J193" s="6" t="s">
        <v>16</v>
      </c>
      <c r="K193" s="6" t="s">
        <v>61</v>
      </c>
      <c r="L193" s="6" t="s">
        <v>588</v>
      </c>
    </row>
    <row r="194" ht="22.5" customHeight="1">
      <c r="A194" s="5">
        <v>46169.84582004629</v>
      </c>
      <c r="B194" s="6" t="s">
        <v>589</v>
      </c>
      <c r="C194" s="6" t="s">
        <v>590</v>
      </c>
      <c r="D194" s="3" t="str">
        <f t="shared" si="1"/>
        <v>AE-0193</v>
      </c>
      <c r="E194" s="3">
        <f t="array" ref="E194">IFERROR(XLOOKUP(D194,'Astronomy 101 Week 1 Quiz (Resp'!F:F,'Astronomy 101 Week 1 Quiz (Resp'!E:E),0)</f>
        <v>0</v>
      </c>
      <c r="F194" s="3" t="s">
        <v>14</v>
      </c>
      <c r="G194" s="3"/>
      <c r="H194" s="6">
        <v>9.685820895E9</v>
      </c>
      <c r="I194" s="6" t="s">
        <v>591</v>
      </c>
      <c r="J194" s="6" t="s">
        <v>16</v>
      </c>
      <c r="K194" s="6" t="s">
        <v>61</v>
      </c>
      <c r="L194" s="6" t="s">
        <v>592</v>
      </c>
    </row>
    <row r="195" ht="22.5" customHeight="1">
      <c r="A195" s="5">
        <v>46169.850505532406</v>
      </c>
      <c r="B195" s="6" t="s">
        <v>593</v>
      </c>
      <c r="C195" s="6" t="s">
        <v>594</v>
      </c>
      <c r="D195" s="3" t="str">
        <f t="shared" si="1"/>
        <v>AE-0194</v>
      </c>
      <c r="E195" s="3">
        <f t="array" ref="E195">IFERROR(XLOOKUP(D195,'Astronomy 101 Week 1 Quiz (Resp'!F:F,'Astronomy 101 Week 1 Quiz (Resp'!E:E),0)</f>
        <v>0</v>
      </c>
      <c r="F195" s="3" t="s">
        <v>14</v>
      </c>
      <c r="G195" s="3"/>
      <c r="H195" s="6">
        <v>6.204711819E9</v>
      </c>
      <c r="I195" s="6" t="s">
        <v>461</v>
      </c>
      <c r="J195" s="6" t="s">
        <v>16</v>
      </c>
      <c r="K195" s="6" t="s">
        <v>47</v>
      </c>
      <c r="L195" s="6" t="s">
        <v>595</v>
      </c>
    </row>
    <row r="196" ht="22.5" customHeight="1">
      <c r="A196" s="5">
        <v>46169.86364090278</v>
      </c>
      <c r="B196" s="6" t="s">
        <v>596</v>
      </c>
      <c r="C196" s="6" t="s">
        <v>597</v>
      </c>
      <c r="D196" s="3" t="str">
        <f t="shared" si="1"/>
        <v>AE-0195</v>
      </c>
      <c r="E196" s="3">
        <f t="array" ref="E196">IFERROR(XLOOKUP(D196,'Astronomy 101 Week 1 Quiz (Resp'!F:F,'Astronomy 101 Week 1 Quiz (Resp'!E:E),0)</f>
        <v>43</v>
      </c>
      <c r="F196" s="3" t="s">
        <v>14</v>
      </c>
      <c r="G196" s="3"/>
      <c r="H196" s="6">
        <v>9.520017441E9</v>
      </c>
      <c r="I196" s="6" t="s">
        <v>360</v>
      </c>
      <c r="J196" s="6" t="s">
        <v>16</v>
      </c>
      <c r="K196" s="6" t="s">
        <v>17</v>
      </c>
      <c r="L196" s="6" t="s">
        <v>598</v>
      </c>
    </row>
    <row r="197" ht="22.5" customHeight="1">
      <c r="A197" s="5">
        <v>46169.866509513886</v>
      </c>
      <c r="B197" s="6" t="s">
        <v>599</v>
      </c>
      <c r="C197" s="6" t="s">
        <v>600</v>
      </c>
      <c r="D197" s="3" t="str">
        <f t="shared" si="1"/>
        <v>AE-0196</v>
      </c>
      <c r="E197" s="3">
        <f t="array" ref="E197">IFERROR(XLOOKUP(D197,'Astronomy 101 Week 1 Quiz (Resp'!F:F,'Astronomy 101 Week 1 Quiz (Resp'!E:E),0)</f>
        <v>26</v>
      </c>
      <c r="F197" s="3" t="s">
        <v>14</v>
      </c>
      <c r="G197" s="3"/>
      <c r="H197" s="6">
        <v>8.972760573E9</v>
      </c>
      <c r="I197" s="6" t="s">
        <v>601</v>
      </c>
      <c r="J197" s="6" t="s">
        <v>16</v>
      </c>
      <c r="K197" s="6" t="s">
        <v>17</v>
      </c>
      <c r="L197" s="6" t="s">
        <v>602</v>
      </c>
    </row>
    <row r="198" ht="22.5" customHeight="1">
      <c r="A198" s="5">
        <v>46169.86773997685</v>
      </c>
      <c r="B198" s="6" t="s">
        <v>603</v>
      </c>
      <c r="C198" s="6" t="s">
        <v>604</v>
      </c>
      <c r="D198" s="3" t="str">
        <f t="shared" si="1"/>
        <v>AE-0197</v>
      </c>
      <c r="E198" s="3">
        <f t="array" ref="E198">IFERROR(XLOOKUP(D198,'Astronomy 101 Week 1 Quiz (Resp'!F:F,'Astronomy 101 Week 1 Quiz (Resp'!E:E),0)</f>
        <v>43</v>
      </c>
      <c r="F198" s="3" t="s">
        <v>14</v>
      </c>
      <c r="G198" s="3"/>
      <c r="H198" s="6">
        <v>8.813811344E9</v>
      </c>
      <c r="I198" s="6" t="s">
        <v>605</v>
      </c>
      <c r="J198" s="6" t="s">
        <v>16</v>
      </c>
      <c r="K198" s="6" t="s">
        <v>61</v>
      </c>
      <c r="L198" s="6" t="s">
        <v>606</v>
      </c>
    </row>
    <row r="199" ht="22.5" customHeight="1">
      <c r="A199" s="5">
        <v>46169.87081721065</v>
      </c>
      <c r="B199" s="6" t="s">
        <v>607</v>
      </c>
      <c r="C199" s="6" t="s">
        <v>608</v>
      </c>
      <c r="D199" s="3" t="str">
        <f t="shared" si="1"/>
        <v>AE-0198</v>
      </c>
      <c r="E199" s="3">
        <f t="array" ref="E199">IFERROR(XLOOKUP(D199,'Astronomy 101 Week 1 Quiz (Resp'!F:F,'Astronomy 101 Week 1 Quiz (Resp'!E:E),0)</f>
        <v>0</v>
      </c>
      <c r="F199" s="3" t="s">
        <v>14</v>
      </c>
      <c r="G199" s="3"/>
      <c r="H199" s="6">
        <v>6.200339227E9</v>
      </c>
      <c r="I199" s="6" t="s">
        <v>609</v>
      </c>
      <c r="J199" s="6" t="s">
        <v>16</v>
      </c>
      <c r="K199" s="6" t="s">
        <v>61</v>
      </c>
      <c r="L199" s="6" t="s">
        <v>610</v>
      </c>
    </row>
    <row r="200" ht="22.5" customHeight="1">
      <c r="A200" s="5">
        <v>46169.88097416666</v>
      </c>
      <c r="B200" s="6" t="s">
        <v>611</v>
      </c>
      <c r="C200" s="6" t="s">
        <v>612</v>
      </c>
      <c r="D200" s="3" t="str">
        <f t="shared" si="1"/>
        <v>AE-0199</v>
      </c>
      <c r="E200" s="3">
        <f t="array" ref="E200">IFERROR(XLOOKUP(D200,'Astronomy 101 Week 1 Quiz (Resp'!F:F,'Astronomy 101 Week 1 Quiz (Resp'!E:E),0)</f>
        <v>37</v>
      </c>
      <c r="F200" s="3" t="s">
        <v>14</v>
      </c>
      <c r="G200" s="3"/>
      <c r="H200" s="6">
        <v>7.988255239E9</v>
      </c>
      <c r="I200" s="6" t="s">
        <v>613</v>
      </c>
      <c r="J200" s="6" t="s">
        <v>16</v>
      </c>
      <c r="K200" s="6" t="s">
        <v>17</v>
      </c>
    </row>
    <row r="201" ht="22.5" customHeight="1">
      <c r="A201" s="5">
        <v>46169.885750138885</v>
      </c>
      <c r="B201" s="6" t="s">
        <v>614</v>
      </c>
      <c r="C201" s="6" t="s">
        <v>615</v>
      </c>
      <c r="D201" s="3" t="str">
        <f t="shared" si="1"/>
        <v>AE-0200</v>
      </c>
      <c r="E201" s="3">
        <f t="array" ref="E201">IFERROR(XLOOKUP(D201,'Astronomy 101 Week 1 Quiz (Resp'!F:F,'Astronomy 101 Week 1 Quiz (Resp'!E:E),0)</f>
        <v>0</v>
      </c>
      <c r="F201" s="3" t="s">
        <v>14</v>
      </c>
      <c r="G201" s="3"/>
      <c r="H201" s="6">
        <v>6.200943905E9</v>
      </c>
      <c r="I201" s="6" t="s">
        <v>387</v>
      </c>
      <c r="J201" s="6" t="s">
        <v>16</v>
      </c>
      <c r="K201" s="6" t="s">
        <v>47</v>
      </c>
      <c r="L201" s="6" t="s">
        <v>616</v>
      </c>
    </row>
    <row r="202" ht="22.5" customHeight="1">
      <c r="A202" s="5">
        <v>46169.890583506945</v>
      </c>
      <c r="B202" s="6" t="s">
        <v>617</v>
      </c>
      <c r="C202" s="6" t="s">
        <v>618</v>
      </c>
      <c r="D202" s="3" t="str">
        <f t="shared" si="1"/>
        <v>AE-0201</v>
      </c>
      <c r="E202" s="3">
        <f t="array" ref="E202">IFERROR(XLOOKUP(D202,'Astronomy 101 Week 1 Quiz (Resp'!F:F,'Astronomy 101 Week 1 Quiz (Resp'!E:E),0)</f>
        <v>0</v>
      </c>
      <c r="F202" s="3" t="s">
        <v>14</v>
      </c>
      <c r="G202" s="3"/>
      <c r="H202" s="6">
        <v>8.209323863E9</v>
      </c>
      <c r="I202" s="6" t="s">
        <v>407</v>
      </c>
      <c r="J202" s="6" t="s">
        <v>16</v>
      </c>
      <c r="K202" s="6" t="s">
        <v>43</v>
      </c>
      <c r="L202" s="6" t="s">
        <v>619</v>
      </c>
    </row>
    <row r="203" ht="22.5" customHeight="1">
      <c r="A203" s="5">
        <v>46169.894951168986</v>
      </c>
      <c r="B203" s="6" t="s">
        <v>620</v>
      </c>
      <c r="C203" s="6" t="s">
        <v>621</v>
      </c>
      <c r="D203" s="3" t="str">
        <f t="shared" si="1"/>
        <v>AE-0202</v>
      </c>
      <c r="E203" s="3">
        <f t="array" ref="E203">IFERROR(XLOOKUP(D203,'Astronomy 101 Week 1 Quiz (Resp'!F:F,'Astronomy 101 Week 1 Quiz (Resp'!E:E),0)</f>
        <v>0</v>
      </c>
      <c r="F203" s="3" t="s">
        <v>14</v>
      </c>
      <c r="G203" s="3"/>
      <c r="H203" s="6">
        <v>9.399475247E9</v>
      </c>
      <c r="I203" s="6" t="s">
        <v>73</v>
      </c>
      <c r="J203" s="6" t="s">
        <v>16</v>
      </c>
      <c r="K203" s="6" t="s">
        <v>21</v>
      </c>
    </row>
    <row r="204" ht="22.5" customHeight="1">
      <c r="A204" s="5">
        <v>46169.89974097222</v>
      </c>
      <c r="B204" s="6" t="s">
        <v>622</v>
      </c>
      <c r="C204" s="6" t="s">
        <v>623</v>
      </c>
      <c r="D204" s="3" t="str">
        <f t="shared" si="1"/>
        <v>AE-0203</v>
      </c>
      <c r="E204" s="3">
        <f t="array" ref="E204">IFERROR(XLOOKUP(D204,'Astronomy 101 Week 1 Quiz (Resp'!F:F,'Astronomy 101 Week 1 Quiz (Resp'!E:E),0)</f>
        <v>0</v>
      </c>
      <c r="F204" s="3" t="s">
        <v>14</v>
      </c>
      <c r="G204" s="3"/>
      <c r="H204" s="6">
        <v>6.375980687E9</v>
      </c>
      <c r="I204" s="6" t="s">
        <v>457</v>
      </c>
      <c r="J204" s="6" t="s">
        <v>16</v>
      </c>
      <c r="K204" s="6" t="s">
        <v>61</v>
      </c>
      <c r="L204" s="6" t="s">
        <v>16</v>
      </c>
    </row>
    <row r="205" ht="22.5" customHeight="1">
      <c r="A205" s="5">
        <v>46169.90131170139</v>
      </c>
      <c r="B205" s="6" t="s">
        <v>624</v>
      </c>
      <c r="C205" s="6" t="s">
        <v>625</v>
      </c>
      <c r="D205" s="3" t="str">
        <f t="shared" si="1"/>
        <v>AE-0204</v>
      </c>
      <c r="E205" s="3">
        <f t="array" ref="E205">IFERROR(XLOOKUP(D205,'Astronomy 101 Week 1 Quiz (Resp'!F:F,'Astronomy 101 Week 1 Quiz (Resp'!E:E),0)</f>
        <v>0</v>
      </c>
      <c r="F205" s="3" t="s">
        <v>14</v>
      </c>
      <c r="G205" s="3"/>
      <c r="H205" s="6">
        <v>7.004645831E9</v>
      </c>
      <c r="I205" s="6" t="s">
        <v>387</v>
      </c>
      <c r="J205" s="6" t="s">
        <v>16</v>
      </c>
      <c r="K205" s="6" t="s">
        <v>21</v>
      </c>
    </row>
    <row r="206" ht="22.5" customHeight="1">
      <c r="A206" s="5">
        <v>46169.90480241898</v>
      </c>
      <c r="B206" s="6" t="s">
        <v>626</v>
      </c>
      <c r="C206" s="6" t="s">
        <v>627</v>
      </c>
      <c r="D206" s="3" t="str">
        <f t="shared" si="1"/>
        <v>AE-0205</v>
      </c>
      <c r="E206" s="3">
        <f t="array" ref="E206">IFERROR(XLOOKUP(D206,'Astronomy 101 Week 1 Quiz (Resp'!F:F,'Astronomy 101 Week 1 Quiz (Resp'!E:E),0)</f>
        <v>0</v>
      </c>
      <c r="F206" s="3" t="s">
        <v>14</v>
      </c>
      <c r="G206" s="3"/>
      <c r="H206" s="6">
        <v>7.2404553E9</v>
      </c>
      <c r="I206" s="6" t="s">
        <v>417</v>
      </c>
      <c r="J206" s="6" t="s">
        <v>16</v>
      </c>
      <c r="K206" s="6" t="s">
        <v>47</v>
      </c>
      <c r="L206" s="6" t="s">
        <v>628</v>
      </c>
    </row>
    <row r="207" ht="22.5" customHeight="1">
      <c r="A207" s="5">
        <v>46169.90524371528</v>
      </c>
      <c r="B207" s="6" t="s">
        <v>629</v>
      </c>
      <c r="C207" s="6" t="s">
        <v>630</v>
      </c>
      <c r="D207" s="3" t="str">
        <f t="shared" si="1"/>
        <v>AE-0206</v>
      </c>
      <c r="E207" s="3">
        <f t="array" ref="E207">IFERROR(XLOOKUP(D207,'Astronomy 101 Week 1 Quiz (Resp'!F:F,'Astronomy 101 Week 1 Quiz (Resp'!E:E),0)</f>
        <v>0</v>
      </c>
      <c r="F207" s="3" t="s">
        <v>14</v>
      </c>
      <c r="G207" s="3"/>
      <c r="H207" s="6">
        <v>7.903295603E9</v>
      </c>
      <c r="I207" s="6" t="s">
        <v>387</v>
      </c>
      <c r="J207" s="6" t="s">
        <v>16</v>
      </c>
      <c r="K207" s="6" t="s">
        <v>47</v>
      </c>
      <c r="L207" s="6" t="s">
        <v>631</v>
      </c>
    </row>
    <row r="208" ht="22.5" customHeight="1">
      <c r="A208" s="5">
        <v>46169.909943113424</v>
      </c>
      <c r="B208" s="6" t="s">
        <v>632</v>
      </c>
      <c r="C208" s="6" t="s">
        <v>633</v>
      </c>
      <c r="D208" s="3" t="str">
        <f t="shared" si="1"/>
        <v>AE-0207</v>
      </c>
      <c r="E208" s="3">
        <f t="array" ref="E208">IFERROR(XLOOKUP(D208,'Astronomy 101 Week 1 Quiz (Resp'!F:F,'Astronomy 101 Week 1 Quiz (Resp'!E:E),0)</f>
        <v>43</v>
      </c>
      <c r="F208" s="3" t="s">
        <v>14</v>
      </c>
      <c r="G208" s="3"/>
      <c r="H208" s="7" t="s">
        <v>634</v>
      </c>
      <c r="I208" s="6" t="s">
        <v>417</v>
      </c>
      <c r="J208" s="6" t="s">
        <v>16</v>
      </c>
      <c r="K208" s="6" t="s">
        <v>17</v>
      </c>
      <c r="L208" s="6" t="s">
        <v>635</v>
      </c>
    </row>
    <row r="209" ht="22.5" customHeight="1">
      <c r="A209" s="5">
        <v>46169.91871569444</v>
      </c>
      <c r="B209" s="6" t="s">
        <v>636</v>
      </c>
      <c r="C209" s="6" t="s">
        <v>637</v>
      </c>
      <c r="D209" s="3" t="str">
        <f t="shared" si="1"/>
        <v>AE-0208</v>
      </c>
      <c r="E209" s="3">
        <f t="array" ref="E209">IFERROR(XLOOKUP(D209,'Astronomy 101 Week 1 Quiz (Resp'!F:F,'Astronomy 101 Week 1 Quiz (Resp'!E:E),0)</f>
        <v>0</v>
      </c>
      <c r="F209" s="3" t="s">
        <v>14</v>
      </c>
      <c r="G209" s="3"/>
      <c r="H209" s="6">
        <v>9.113793319E9</v>
      </c>
      <c r="I209" s="6" t="s">
        <v>638</v>
      </c>
      <c r="J209" s="6" t="s">
        <v>16</v>
      </c>
      <c r="K209" s="6" t="s">
        <v>43</v>
      </c>
      <c r="L209" s="6" t="s">
        <v>639</v>
      </c>
    </row>
    <row r="210" ht="22.5" customHeight="1">
      <c r="A210" s="5">
        <v>46169.920867430556</v>
      </c>
      <c r="B210" s="6" t="s">
        <v>640</v>
      </c>
      <c r="C210" s="6" t="s">
        <v>641</v>
      </c>
      <c r="D210" s="3" t="str">
        <f t="shared" si="1"/>
        <v>AE-0209</v>
      </c>
      <c r="E210" s="3">
        <f t="array" ref="E210">IFERROR(XLOOKUP(D210,'Astronomy 101 Week 1 Quiz (Resp'!F:F,'Astronomy 101 Week 1 Quiz (Resp'!E:E),0)</f>
        <v>0</v>
      </c>
      <c r="F210" s="3" t="s">
        <v>14</v>
      </c>
      <c r="G210" s="3"/>
      <c r="H210" s="6">
        <v>6.393578829E9</v>
      </c>
      <c r="I210" s="6" t="s">
        <v>642</v>
      </c>
      <c r="J210" s="6" t="s">
        <v>16</v>
      </c>
      <c r="K210" s="6" t="s">
        <v>61</v>
      </c>
      <c r="L210" s="6" t="s">
        <v>643</v>
      </c>
    </row>
    <row r="211" ht="22.5" customHeight="1">
      <c r="A211" s="5">
        <v>46169.942740150465</v>
      </c>
      <c r="B211" s="6" t="s">
        <v>644</v>
      </c>
      <c r="C211" s="6" t="s">
        <v>645</v>
      </c>
      <c r="D211" s="3" t="str">
        <f t="shared" si="1"/>
        <v>AE-0210</v>
      </c>
      <c r="E211" s="3">
        <f t="array" ref="E211">IFERROR(XLOOKUP(D211,'Astronomy 101 Week 1 Quiz (Resp'!F:F,'Astronomy 101 Week 1 Quiz (Resp'!E:E),0)</f>
        <v>0</v>
      </c>
      <c r="F211" s="3" t="s">
        <v>14</v>
      </c>
      <c r="G211" s="3"/>
      <c r="H211" s="6">
        <v>9.508843764E9</v>
      </c>
      <c r="I211" s="6" t="s">
        <v>395</v>
      </c>
      <c r="J211" s="6" t="s">
        <v>16</v>
      </c>
      <c r="K211" s="6" t="s">
        <v>17</v>
      </c>
    </row>
    <row r="212" ht="22.5" customHeight="1">
      <c r="A212" s="5">
        <v>46169.9465993287</v>
      </c>
      <c r="B212" s="6" t="s">
        <v>646</v>
      </c>
      <c r="C212" s="6" t="s">
        <v>647</v>
      </c>
      <c r="D212" s="3" t="str">
        <f t="shared" si="1"/>
        <v>AE-0211</v>
      </c>
      <c r="E212" s="3">
        <f t="array" ref="E212">IFERROR(XLOOKUP(D212,'Astronomy 101 Week 1 Quiz (Resp'!F:F,'Astronomy 101 Week 1 Quiz (Resp'!E:E),0)</f>
        <v>0</v>
      </c>
      <c r="F212" s="3" t="s">
        <v>14</v>
      </c>
      <c r="G212" s="3"/>
      <c r="H212" s="6">
        <v>9.211689019E9</v>
      </c>
      <c r="I212" s="6" t="s">
        <v>507</v>
      </c>
      <c r="J212" s="6" t="s">
        <v>16</v>
      </c>
      <c r="K212" s="6" t="s">
        <v>17</v>
      </c>
      <c r="L212" s="6" t="s">
        <v>648</v>
      </c>
    </row>
    <row r="213" ht="22.5" customHeight="1">
      <c r="A213" s="5">
        <v>46169.961281365744</v>
      </c>
      <c r="B213" s="6" t="s">
        <v>649</v>
      </c>
      <c r="C213" s="6" t="s">
        <v>650</v>
      </c>
      <c r="D213" s="3" t="str">
        <f t="shared" si="1"/>
        <v>AE-0212</v>
      </c>
      <c r="E213" s="3">
        <f t="array" ref="E213">IFERROR(XLOOKUP(D213,'Astronomy 101 Week 1 Quiz (Resp'!F:F,'Astronomy 101 Week 1 Quiz (Resp'!E:E),0)</f>
        <v>0</v>
      </c>
      <c r="F213" s="3" t="s">
        <v>14</v>
      </c>
      <c r="G213" s="3"/>
      <c r="H213" s="6">
        <v>9.019871514E9</v>
      </c>
      <c r="I213" s="6" t="s">
        <v>651</v>
      </c>
      <c r="J213" s="6" t="s">
        <v>16</v>
      </c>
      <c r="K213" s="6" t="s">
        <v>21</v>
      </c>
      <c r="L213" s="6" t="s">
        <v>652</v>
      </c>
    </row>
    <row r="214" ht="22.5" customHeight="1">
      <c r="A214" s="5">
        <v>46170.003164837966</v>
      </c>
      <c r="B214" s="6" t="s">
        <v>653</v>
      </c>
      <c r="C214" s="6" t="s">
        <v>654</v>
      </c>
      <c r="D214" s="3" t="str">
        <f t="shared" si="1"/>
        <v>AE-0213</v>
      </c>
      <c r="E214" s="3">
        <f t="array" ref="E214">IFERROR(XLOOKUP(D214,'Astronomy 101 Week 1 Quiz (Resp'!F:F,'Astronomy 101 Week 1 Quiz (Resp'!E:E),0)</f>
        <v>0</v>
      </c>
      <c r="F214" s="3" t="s">
        <v>14</v>
      </c>
      <c r="G214" s="3"/>
      <c r="H214" s="6">
        <v>9.951906691E9</v>
      </c>
      <c r="I214" s="6" t="s">
        <v>655</v>
      </c>
      <c r="J214" s="6" t="s">
        <v>16</v>
      </c>
      <c r="K214" s="6" t="s">
        <v>17</v>
      </c>
      <c r="L214" s="6" t="s">
        <v>656</v>
      </c>
    </row>
    <row r="215" ht="22.5" customHeight="1">
      <c r="A215" s="5">
        <v>46170.00605777778</v>
      </c>
      <c r="B215" s="6" t="s">
        <v>657</v>
      </c>
      <c r="C215" s="6" t="s">
        <v>658</v>
      </c>
      <c r="D215" s="3" t="str">
        <f t="shared" si="1"/>
        <v>AE-0214</v>
      </c>
      <c r="E215" s="3">
        <f t="array" ref="E215">IFERROR(XLOOKUP(D215,'Astronomy 101 Week 1 Quiz (Resp'!F:F,'Astronomy 101 Week 1 Quiz (Resp'!E:E),0)</f>
        <v>0</v>
      </c>
      <c r="F215" s="3" t="s">
        <v>14</v>
      </c>
      <c r="G215" s="3"/>
      <c r="H215" s="6">
        <v>9.685598698E9</v>
      </c>
      <c r="I215" s="6" t="s">
        <v>20</v>
      </c>
      <c r="J215" s="6" t="s">
        <v>16</v>
      </c>
      <c r="K215" s="6" t="s">
        <v>82</v>
      </c>
      <c r="L215" s="6" t="s">
        <v>659</v>
      </c>
    </row>
    <row r="216" ht="22.5" customHeight="1">
      <c r="A216" s="5">
        <v>46170.0123728125</v>
      </c>
      <c r="B216" s="6" t="s">
        <v>660</v>
      </c>
      <c r="C216" s="6" t="s">
        <v>661</v>
      </c>
      <c r="D216" s="3" t="str">
        <f t="shared" si="1"/>
        <v>AE-0215</v>
      </c>
      <c r="E216" s="3">
        <f t="array" ref="E216">IFERROR(XLOOKUP(D216,'Astronomy 101 Week 1 Quiz (Resp'!F:F,'Astronomy 101 Week 1 Quiz (Resp'!E:E),0)</f>
        <v>0</v>
      </c>
      <c r="F216" s="3" t="s">
        <v>14</v>
      </c>
      <c r="G216" s="3"/>
      <c r="H216" s="6">
        <v>9.830413686E9</v>
      </c>
      <c r="I216" s="6" t="s">
        <v>662</v>
      </c>
      <c r="J216" s="6" t="s">
        <v>16</v>
      </c>
      <c r="K216" s="6" t="s">
        <v>17</v>
      </c>
    </row>
    <row r="217" ht="22.5" customHeight="1">
      <c r="A217" s="5">
        <v>46170.013055358795</v>
      </c>
      <c r="B217" s="6" t="s">
        <v>663</v>
      </c>
      <c r="C217" s="6" t="s">
        <v>664</v>
      </c>
      <c r="D217" s="3" t="str">
        <f t="shared" si="1"/>
        <v>AE-0216</v>
      </c>
      <c r="E217" s="3">
        <f t="array" ref="E217">IFERROR(XLOOKUP(D217,'Astronomy 101 Week 1 Quiz (Resp'!F:F,'Astronomy 101 Week 1 Quiz (Resp'!E:E),0)</f>
        <v>0</v>
      </c>
      <c r="F217" s="3" t="s">
        <v>14</v>
      </c>
      <c r="G217" s="3"/>
      <c r="H217" s="6">
        <v>8.910085036E9</v>
      </c>
      <c r="I217" s="6" t="s">
        <v>665</v>
      </c>
      <c r="J217" s="6" t="s">
        <v>16</v>
      </c>
      <c r="K217" s="6" t="s">
        <v>21</v>
      </c>
    </row>
    <row r="218" ht="22.5" customHeight="1">
      <c r="A218" s="5">
        <v>46170.014928703706</v>
      </c>
      <c r="B218" s="6" t="s">
        <v>666</v>
      </c>
      <c r="C218" s="6" t="s">
        <v>667</v>
      </c>
      <c r="D218" s="3" t="str">
        <f t="shared" si="1"/>
        <v>AE-0217</v>
      </c>
      <c r="E218" s="3">
        <f t="array" ref="E218">IFERROR(XLOOKUP(D218,'Astronomy 101 Week 1 Quiz (Resp'!F:F,'Astronomy 101 Week 1 Quiz (Resp'!E:E),0)</f>
        <v>0</v>
      </c>
      <c r="F218" s="3" t="s">
        <v>14</v>
      </c>
      <c r="G218" s="3"/>
      <c r="H218" s="6">
        <v>8.208728769E9</v>
      </c>
      <c r="I218" s="6" t="s">
        <v>668</v>
      </c>
      <c r="J218" s="6" t="s">
        <v>16</v>
      </c>
      <c r="K218" s="6" t="s">
        <v>21</v>
      </c>
      <c r="L218" s="6" t="s">
        <v>669</v>
      </c>
    </row>
    <row r="219" ht="22.5" customHeight="1">
      <c r="A219" s="5">
        <v>46170.01542023148</v>
      </c>
      <c r="B219" s="6" t="s">
        <v>670</v>
      </c>
      <c r="C219" s="6" t="s">
        <v>671</v>
      </c>
      <c r="D219" s="3" t="str">
        <f t="shared" si="1"/>
        <v>AE-0218</v>
      </c>
      <c r="E219" s="3">
        <f t="array" ref="E219">IFERROR(XLOOKUP(D219,'Astronomy 101 Week 1 Quiz (Resp'!F:F,'Astronomy 101 Week 1 Quiz (Resp'!E:E),0)</f>
        <v>0</v>
      </c>
      <c r="F219" s="3" t="s">
        <v>14</v>
      </c>
      <c r="G219" s="3"/>
      <c r="H219" s="6">
        <v>9.680164793E9</v>
      </c>
      <c r="I219" s="6" t="s">
        <v>672</v>
      </c>
      <c r="J219" s="6" t="s">
        <v>16</v>
      </c>
      <c r="K219" s="6" t="s">
        <v>17</v>
      </c>
      <c r="L219" s="6" t="s">
        <v>673</v>
      </c>
    </row>
    <row r="220" ht="22.5" customHeight="1">
      <c r="A220" s="5">
        <v>46170.01596954861</v>
      </c>
      <c r="B220" s="6" t="s">
        <v>670</v>
      </c>
      <c r="C220" s="6" t="s">
        <v>671</v>
      </c>
      <c r="D220" s="3" t="str">
        <f t="shared" si="1"/>
        <v>AE-0219</v>
      </c>
      <c r="E220" s="3">
        <f t="array" ref="E220">IFERROR(XLOOKUP(D220,'Astronomy 101 Week 1 Quiz (Resp'!F:F,'Astronomy 101 Week 1 Quiz (Resp'!E:E),0)</f>
        <v>0</v>
      </c>
      <c r="F220" s="3" t="s">
        <v>14</v>
      </c>
      <c r="G220" s="3"/>
      <c r="H220" s="6">
        <v>9.680164793E9</v>
      </c>
      <c r="I220" s="6" t="s">
        <v>672</v>
      </c>
      <c r="J220" s="6" t="s">
        <v>16</v>
      </c>
      <c r="K220" s="6" t="s">
        <v>17</v>
      </c>
    </row>
    <row r="221" ht="22.5" customHeight="1">
      <c r="A221" s="5">
        <v>46170.01822709491</v>
      </c>
      <c r="B221" s="6" t="s">
        <v>674</v>
      </c>
      <c r="C221" s="6" t="s">
        <v>675</v>
      </c>
      <c r="D221" s="3" t="str">
        <f t="shared" si="1"/>
        <v>AE-0220</v>
      </c>
      <c r="E221" s="3">
        <f t="array" ref="E221">IFERROR(XLOOKUP(D221,'Astronomy 101 Week 1 Quiz (Resp'!F:F,'Astronomy 101 Week 1 Quiz (Resp'!E:E),0)</f>
        <v>43</v>
      </c>
      <c r="F221" s="3" t="s">
        <v>14</v>
      </c>
      <c r="G221" s="3"/>
      <c r="H221" s="6">
        <v>8.47090406E9</v>
      </c>
      <c r="I221" s="6" t="s">
        <v>676</v>
      </c>
      <c r="J221" s="6" t="s">
        <v>16</v>
      </c>
      <c r="K221" s="6" t="s">
        <v>17</v>
      </c>
      <c r="L221" s="6" t="s">
        <v>677</v>
      </c>
    </row>
    <row r="222" ht="22.5" customHeight="1">
      <c r="A222" s="5">
        <v>46170.018934907406</v>
      </c>
      <c r="B222" s="6" t="s">
        <v>678</v>
      </c>
      <c r="C222" s="6" t="s">
        <v>679</v>
      </c>
      <c r="D222" s="3" t="str">
        <f t="shared" si="1"/>
        <v>AE-0221</v>
      </c>
      <c r="E222" s="3">
        <f t="array" ref="E222">IFERROR(XLOOKUP(D222,'Astronomy 101 Week 1 Quiz (Resp'!F:F,'Astronomy 101 Week 1 Quiz (Resp'!E:E),0)</f>
        <v>0</v>
      </c>
      <c r="F222" s="3" t="s">
        <v>14</v>
      </c>
      <c r="G222" s="3"/>
      <c r="H222" s="6">
        <v>9.053542065E9</v>
      </c>
      <c r="I222" s="6" t="s">
        <v>642</v>
      </c>
      <c r="J222" s="6" t="s">
        <v>16</v>
      </c>
      <c r="K222" s="6" t="s">
        <v>61</v>
      </c>
      <c r="L222" s="6" t="s">
        <v>680</v>
      </c>
    </row>
    <row r="223" ht="22.5" customHeight="1">
      <c r="A223" s="5">
        <v>46170.01935120371</v>
      </c>
      <c r="B223" s="6" t="s">
        <v>681</v>
      </c>
      <c r="C223" s="6" t="s">
        <v>682</v>
      </c>
      <c r="D223" s="3" t="str">
        <f t="shared" si="1"/>
        <v>AE-0222</v>
      </c>
      <c r="E223" s="3">
        <f t="array" ref="E223">IFERROR(XLOOKUP(D223,'Astronomy 101 Week 1 Quiz (Resp'!F:F,'Astronomy 101 Week 1 Quiz (Resp'!E:E),0)</f>
        <v>43</v>
      </c>
      <c r="F223" s="3" t="s">
        <v>14</v>
      </c>
      <c r="G223" s="3"/>
      <c r="H223" s="6">
        <v>8.917660633E9</v>
      </c>
      <c r="I223" s="6" t="s">
        <v>683</v>
      </c>
      <c r="J223" s="6" t="s">
        <v>16</v>
      </c>
      <c r="K223" s="6" t="s">
        <v>25</v>
      </c>
      <c r="L223" s="6" t="s">
        <v>684</v>
      </c>
    </row>
    <row r="224" ht="22.5" customHeight="1">
      <c r="A224" s="5">
        <v>46170.02115861111</v>
      </c>
      <c r="B224" s="6" t="s">
        <v>685</v>
      </c>
      <c r="C224" s="6" t="s">
        <v>686</v>
      </c>
      <c r="D224" s="3" t="str">
        <f t="shared" si="1"/>
        <v>AE-0223</v>
      </c>
      <c r="E224" s="3">
        <f t="array" ref="E224">IFERROR(XLOOKUP(D224,'Astronomy 101 Week 1 Quiz (Resp'!F:F,'Astronomy 101 Week 1 Quiz (Resp'!E:E),0)</f>
        <v>0</v>
      </c>
      <c r="F224" s="3" t="s">
        <v>14</v>
      </c>
      <c r="G224" s="3"/>
      <c r="H224" s="6">
        <v>8.54739343E9</v>
      </c>
      <c r="I224" s="6" t="s">
        <v>665</v>
      </c>
      <c r="J224" s="6" t="s">
        <v>16</v>
      </c>
      <c r="K224" s="6" t="s">
        <v>17</v>
      </c>
      <c r="L224" s="6" t="s">
        <v>687</v>
      </c>
    </row>
    <row r="225" ht="22.5" customHeight="1">
      <c r="A225" s="5">
        <v>46170.0221090625</v>
      </c>
      <c r="B225" s="6" t="s">
        <v>688</v>
      </c>
      <c r="C225" s="6" t="s">
        <v>689</v>
      </c>
      <c r="D225" s="3" t="str">
        <f t="shared" si="1"/>
        <v>AE-0224</v>
      </c>
      <c r="E225" s="3">
        <f t="array" ref="E225">IFERROR(XLOOKUP(D225,'Astronomy 101 Week 1 Quiz (Resp'!F:F,'Astronomy 101 Week 1 Quiz (Resp'!E:E),0)</f>
        <v>0</v>
      </c>
      <c r="F225" s="3" t="s">
        <v>14</v>
      </c>
      <c r="G225" s="3"/>
      <c r="H225" s="6">
        <v>9.812350025E9</v>
      </c>
      <c r="I225" s="6" t="s">
        <v>690</v>
      </c>
      <c r="J225" s="6" t="s">
        <v>16</v>
      </c>
      <c r="K225" s="6" t="s">
        <v>61</v>
      </c>
      <c r="L225" s="6" t="s">
        <v>691</v>
      </c>
    </row>
    <row r="226" ht="22.5" customHeight="1">
      <c r="A226" s="5">
        <v>46170.02329099537</v>
      </c>
      <c r="B226" s="6" t="s">
        <v>692</v>
      </c>
      <c r="C226" s="6" t="s">
        <v>693</v>
      </c>
      <c r="D226" s="3" t="str">
        <f t="shared" si="1"/>
        <v>AE-0225</v>
      </c>
      <c r="E226" s="3">
        <f t="array" ref="E226">IFERROR(XLOOKUP(D226,'Astronomy 101 Week 1 Quiz (Resp'!F:F,'Astronomy 101 Week 1 Quiz (Resp'!E:E),0)</f>
        <v>45</v>
      </c>
      <c r="F226" s="3" t="s">
        <v>14</v>
      </c>
      <c r="G226" s="3"/>
      <c r="H226" s="6">
        <v>6.290960371E9</v>
      </c>
      <c r="I226" s="6" t="s">
        <v>694</v>
      </c>
      <c r="J226" s="6" t="s">
        <v>16</v>
      </c>
      <c r="K226" s="6" t="s">
        <v>61</v>
      </c>
      <c r="L226" s="6" t="s">
        <v>695</v>
      </c>
    </row>
    <row r="227" ht="22.5" customHeight="1">
      <c r="A227" s="5">
        <v>46170.03865041667</v>
      </c>
      <c r="B227" s="6" t="s">
        <v>696</v>
      </c>
      <c r="C227" s="6" t="s">
        <v>697</v>
      </c>
      <c r="D227" s="3" t="str">
        <f t="shared" si="1"/>
        <v>AE-0226</v>
      </c>
      <c r="E227" s="3">
        <f t="array" ref="E227">IFERROR(XLOOKUP(D227,'Astronomy 101 Week 1 Quiz (Resp'!F:F,'Astronomy 101 Week 1 Quiz (Resp'!E:E),0)</f>
        <v>0</v>
      </c>
      <c r="F227" s="3" t="s">
        <v>14</v>
      </c>
      <c r="G227" s="3"/>
      <c r="H227" s="6">
        <v>7.724052175E9</v>
      </c>
      <c r="I227" s="6" t="s">
        <v>698</v>
      </c>
      <c r="J227" s="6" t="s">
        <v>16</v>
      </c>
      <c r="K227" s="6" t="s">
        <v>17</v>
      </c>
      <c r="L227" s="6" t="s">
        <v>699</v>
      </c>
    </row>
    <row r="228" ht="22.5" customHeight="1">
      <c r="A228" s="5">
        <v>46170.06755997685</v>
      </c>
      <c r="B228" s="6" t="s">
        <v>700</v>
      </c>
      <c r="C228" s="6" t="s">
        <v>701</v>
      </c>
      <c r="D228" s="3" t="str">
        <f t="shared" si="1"/>
        <v>AE-0227</v>
      </c>
      <c r="E228" s="3">
        <f t="array" ref="E228">IFERROR(XLOOKUP(D228,'Astronomy 101 Week 1 Quiz (Resp'!F:F,'Astronomy 101 Week 1 Quiz (Resp'!E:E),0)</f>
        <v>0</v>
      </c>
      <c r="F228" s="3" t="s">
        <v>14</v>
      </c>
      <c r="G228" s="3"/>
      <c r="H228" s="6">
        <v>9.668189297E9</v>
      </c>
      <c r="I228" s="6" t="s">
        <v>702</v>
      </c>
      <c r="J228" s="6" t="s">
        <v>16</v>
      </c>
      <c r="K228" s="6" t="s">
        <v>43</v>
      </c>
    </row>
    <row r="229" ht="22.5" customHeight="1">
      <c r="A229" s="5">
        <v>46170.06787321759</v>
      </c>
      <c r="B229" s="6" t="s">
        <v>703</v>
      </c>
      <c r="C229" s="6" t="s">
        <v>704</v>
      </c>
      <c r="D229" s="3" t="str">
        <f t="shared" si="1"/>
        <v>AE-0228</v>
      </c>
      <c r="E229" s="3">
        <f t="array" ref="E229">IFERROR(XLOOKUP(D229,'Astronomy 101 Week 1 Quiz (Resp'!F:F,'Astronomy 101 Week 1 Quiz (Resp'!E:E),0)</f>
        <v>0</v>
      </c>
      <c r="F229" s="3" t="s">
        <v>14</v>
      </c>
      <c r="G229" s="3"/>
      <c r="H229" s="6">
        <v>9.060841583E9</v>
      </c>
      <c r="I229" s="6" t="s">
        <v>705</v>
      </c>
      <c r="J229" s="6" t="s">
        <v>16</v>
      </c>
      <c r="K229" s="6" t="s">
        <v>47</v>
      </c>
      <c r="L229" s="6" t="s">
        <v>706</v>
      </c>
    </row>
    <row r="230" ht="22.5" customHeight="1">
      <c r="A230" s="5">
        <v>46170.08353826389</v>
      </c>
      <c r="B230" s="6" t="s">
        <v>707</v>
      </c>
      <c r="C230" s="6" t="s">
        <v>708</v>
      </c>
      <c r="D230" s="3" t="str">
        <f t="shared" si="1"/>
        <v>AE-0229</v>
      </c>
      <c r="E230" s="3">
        <f t="array" ref="E230">IFERROR(XLOOKUP(D230,'Astronomy 101 Week 1 Quiz (Resp'!F:F,'Astronomy 101 Week 1 Quiz (Resp'!E:E),0)</f>
        <v>39</v>
      </c>
      <c r="F230" s="3" t="s">
        <v>14</v>
      </c>
      <c r="G230" s="3"/>
      <c r="H230" s="6">
        <v>8.10185322E9</v>
      </c>
      <c r="I230" s="6" t="s">
        <v>709</v>
      </c>
      <c r="J230" s="6" t="s">
        <v>16</v>
      </c>
      <c r="K230" s="6" t="s">
        <v>21</v>
      </c>
      <c r="L230" s="6" t="s">
        <v>710</v>
      </c>
    </row>
    <row r="231" ht="22.5" customHeight="1">
      <c r="A231" s="5">
        <v>46170.08452146991</v>
      </c>
      <c r="B231" s="6" t="s">
        <v>711</v>
      </c>
      <c r="C231" s="6" t="s">
        <v>712</v>
      </c>
      <c r="D231" s="3" t="str">
        <f t="shared" si="1"/>
        <v>AE-0230</v>
      </c>
      <c r="E231" s="3">
        <f t="array" ref="E231">IFERROR(XLOOKUP(D231,'Astronomy 101 Week 1 Quiz (Resp'!F:F,'Astronomy 101 Week 1 Quiz (Resp'!E:E),0)</f>
        <v>0</v>
      </c>
      <c r="F231" s="3" t="s">
        <v>14</v>
      </c>
      <c r="G231" s="3"/>
      <c r="H231" s="6">
        <v>9.625510261E9</v>
      </c>
      <c r="I231" s="6" t="s">
        <v>387</v>
      </c>
      <c r="J231" s="6" t="s">
        <v>16</v>
      </c>
      <c r="K231" s="6" t="s">
        <v>17</v>
      </c>
      <c r="L231" s="6" t="s">
        <v>713</v>
      </c>
    </row>
    <row r="232" ht="22.5" customHeight="1">
      <c r="A232" s="5">
        <v>46170.10260241898</v>
      </c>
      <c r="B232" s="6" t="s">
        <v>714</v>
      </c>
      <c r="C232" s="6" t="s">
        <v>715</v>
      </c>
      <c r="D232" s="3" t="str">
        <f t="shared" si="1"/>
        <v>AE-0231</v>
      </c>
      <c r="E232" s="3">
        <f t="array" ref="E232">IFERROR(XLOOKUP(D232,'Astronomy 101 Week 1 Quiz (Resp'!F:F,'Astronomy 101 Week 1 Quiz (Resp'!E:E),0)</f>
        <v>0</v>
      </c>
      <c r="F232" s="3" t="s">
        <v>14</v>
      </c>
      <c r="G232" s="3"/>
      <c r="H232" s="6">
        <v>6.000412506E9</v>
      </c>
      <c r="I232" s="6" t="s">
        <v>716</v>
      </c>
      <c r="J232" s="6" t="s">
        <v>16</v>
      </c>
      <c r="K232" s="6" t="s">
        <v>43</v>
      </c>
      <c r="L232" s="6" t="s">
        <v>717</v>
      </c>
    </row>
    <row r="233" ht="22.5" customHeight="1">
      <c r="A233" s="5">
        <v>46170.19558442129</v>
      </c>
      <c r="B233" s="6" t="s">
        <v>718</v>
      </c>
      <c r="C233" s="6" t="s">
        <v>719</v>
      </c>
      <c r="D233" s="3" t="str">
        <f t="shared" si="1"/>
        <v>AE-0232</v>
      </c>
      <c r="E233" s="3">
        <f t="array" ref="E233">IFERROR(XLOOKUP(D233,'Astronomy 101 Week 1 Quiz (Resp'!F:F,'Astronomy 101 Week 1 Quiz (Resp'!E:E),0)</f>
        <v>45</v>
      </c>
      <c r="F233" s="3" t="s">
        <v>14</v>
      </c>
      <c r="G233" s="3"/>
      <c r="H233" s="6">
        <v>9.919937221E9</v>
      </c>
      <c r="I233" s="6" t="s">
        <v>720</v>
      </c>
      <c r="J233" s="6" t="s">
        <v>16</v>
      </c>
      <c r="K233" s="6" t="s">
        <v>17</v>
      </c>
      <c r="L233" s="6" t="s">
        <v>721</v>
      </c>
    </row>
    <row r="234" ht="22.5" customHeight="1">
      <c r="A234" s="5">
        <v>46170.2585975</v>
      </c>
      <c r="B234" s="6" t="s">
        <v>722</v>
      </c>
      <c r="C234" s="6" t="s">
        <v>723</v>
      </c>
      <c r="D234" s="3" t="str">
        <f t="shared" si="1"/>
        <v>AE-0233</v>
      </c>
      <c r="E234" s="3">
        <f t="array" ref="E234">IFERROR(XLOOKUP(D234,'Astronomy 101 Week 1 Quiz (Resp'!F:F,'Astronomy 101 Week 1 Quiz (Resp'!E:E),0)</f>
        <v>0</v>
      </c>
      <c r="F234" s="3" t="s">
        <v>14</v>
      </c>
      <c r="G234" s="3"/>
      <c r="H234" s="6" t="s">
        <v>724</v>
      </c>
      <c r="I234" s="6" t="s">
        <v>694</v>
      </c>
      <c r="J234" s="6" t="s">
        <v>16</v>
      </c>
      <c r="K234" s="6" t="s">
        <v>17</v>
      </c>
    </row>
    <row r="235" ht="22.5" customHeight="1">
      <c r="A235" s="5">
        <v>46170.25921185185</v>
      </c>
      <c r="B235" s="6" t="s">
        <v>725</v>
      </c>
      <c r="C235" s="6" t="s">
        <v>726</v>
      </c>
      <c r="D235" s="3" t="str">
        <f t="shared" si="1"/>
        <v>AE-0234</v>
      </c>
      <c r="E235" s="3">
        <f t="array" ref="E235">IFERROR(XLOOKUP(D235,'Astronomy 101 Week 1 Quiz (Resp'!F:F,'Astronomy 101 Week 1 Quiz (Resp'!E:E),0)</f>
        <v>0</v>
      </c>
      <c r="F235" s="3" t="s">
        <v>14</v>
      </c>
      <c r="G235" s="3"/>
      <c r="H235" s="6">
        <v>7.974229445E9</v>
      </c>
      <c r="I235" s="6" t="s">
        <v>727</v>
      </c>
      <c r="J235" s="6" t="s">
        <v>16</v>
      </c>
      <c r="K235" s="6" t="s">
        <v>43</v>
      </c>
      <c r="L235" s="6" t="s">
        <v>728</v>
      </c>
    </row>
    <row r="236" ht="22.5" customHeight="1">
      <c r="A236" s="5">
        <v>46170.2931540625</v>
      </c>
      <c r="B236" s="6" t="s">
        <v>729</v>
      </c>
      <c r="C236" s="6" t="s">
        <v>730</v>
      </c>
      <c r="D236" s="3" t="str">
        <f t="shared" si="1"/>
        <v>AE-0235</v>
      </c>
      <c r="E236" s="3">
        <f t="array" ref="E236">IFERROR(XLOOKUP(D236,'Astronomy 101 Week 1 Quiz (Resp'!F:F,'Astronomy 101 Week 1 Quiz (Resp'!E:E),0)</f>
        <v>0</v>
      </c>
      <c r="F236" s="3" t="s">
        <v>14</v>
      </c>
      <c r="G236" s="3"/>
      <c r="H236" s="6">
        <v>9.368676296E9</v>
      </c>
      <c r="I236" s="6" t="s">
        <v>731</v>
      </c>
      <c r="J236" s="6" t="s">
        <v>16</v>
      </c>
      <c r="K236" s="6" t="s">
        <v>17</v>
      </c>
    </row>
    <row r="237" ht="22.5" customHeight="1">
      <c r="A237" s="5">
        <v>46170.304095405096</v>
      </c>
      <c r="B237" s="6" t="s">
        <v>732</v>
      </c>
      <c r="C237" s="6" t="s">
        <v>733</v>
      </c>
      <c r="D237" s="3" t="str">
        <f t="shared" si="1"/>
        <v>AE-0236</v>
      </c>
      <c r="E237" s="3">
        <f t="array" ref="E237">IFERROR(XLOOKUP(D237,'Astronomy 101 Week 1 Quiz (Resp'!F:F,'Astronomy 101 Week 1 Quiz (Resp'!E:E),0)</f>
        <v>42</v>
      </c>
      <c r="F237" s="3" t="s">
        <v>734</v>
      </c>
      <c r="G237" s="3" t="s">
        <v>735</v>
      </c>
      <c r="H237" s="6">
        <v>8.281007127E9</v>
      </c>
      <c r="I237" s="6" t="s">
        <v>288</v>
      </c>
      <c r="J237" s="6" t="s">
        <v>16</v>
      </c>
      <c r="K237" s="6" t="s">
        <v>25</v>
      </c>
    </row>
    <row r="238" ht="22.5" customHeight="1">
      <c r="A238" s="5">
        <v>46170.31016736111</v>
      </c>
      <c r="B238" s="6" t="s">
        <v>736</v>
      </c>
      <c r="C238" s="6" t="s">
        <v>737</v>
      </c>
      <c r="D238" s="3" t="str">
        <f t="shared" si="1"/>
        <v>AE-0237</v>
      </c>
      <c r="E238" s="3">
        <f t="array" ref="E238">IFERROR(XLOOKUP(D238,'Astronomy 101 Week 1 Quiz (Resp'!F:F,'Astronomy 101 Week 1 Quiz (Resp'!E:E),0)</f>
        <v>0</v>
      </c>
      <c r="F238" s="3" t="s">
        <v>14</v>
      </c>
      <c r="G238" s="3"/>
      <c r="H238" s="6">
        <v>8.250386087E9</v>
      </c>
      <c r="I238" s="6" t="s">
        <v>698</v>
      </c>
      <c r="J238" s="6" t="s">
        <v>16</v>
      </c>
      <c r="K238" s="6" t="s">
        <v>47</v>
      </c>
    </row>
    <row r="239" ht="22.5" customHeight="1">
      <c r="A239" s="5">
        <v>46170.314566030094</v>
      </c>
      <c r="B239" s="6" t="s">
        <v>738</v>
      </c>
      <c r="C239" s="6" t="s">
        <v>739</v>
      </c>
      <c r="D239" s="3" t="str">
        <f t="shared" si="1"/>
        <v>AE-0238</v>
      </c>
      <c r="E239" s="3">
        <f t="array" ref="E239">IFERROR(XLOOKUP(D239,'Astronomy 101 Week 1 Quiz (Resp'!F:F,'Astronomy 101 Week 1 Quiz (Resp'!E:E),0)</f>
        <v>43</v>
      </c>
      <c r="F239" s="3" t="s">
        <v>14</v>
      </c>
      <c r="G239" s="3"/>
      <c r="H239" s="6">
        <v>8.447892924E9</v>
      </c>
      <c r="I239" s="6" t="s">
        <v>662</v>
      </c>
      <c r="J239" s="6" t="s">
        <v>16</v>
      </c>
      <c r="K239" s="6" t="s">
        <v>17</v>
      </c>
    </row>
    <row r="240" ht="22.5" customHeight="1">
      <c r="A240" s="5">
        <v>46170.330821979165</v>
      </c>
      <c r="B240" s="6" t="s">
        <v>740</v>
      </c>
      <c r="C240" s="6" t="s">
        <v>741</v>
      </c>
      <c r="D240" s="3" t="str">
        <f t="shared" si="1"/>
        <v>AE-0239</v>
      </c>
      <c r="E240" s="3">
        <f t="array" ref="E240">IFERROR(XLOOKUP(D240,'Astronomy 101 Week 1 Quiz (Resp'!F:F,'Astronomy 101 Week 1 Quiz (Resp'!E:E),0)</f>
        <v>42</v>
      </c>
      <c r="F240" s="3" t="s">
        <v>14</v>
      </c>
      <c r="G240" s="3"/>
      <c r="H240" s="6">
        <v>9.474153514E9</v>
      </c>
      <c r="I240" s="6" t="s">
        <v>742</v>
      </c>
      <c r="J240" s="6" t="s">
        <v>16</v>
      </c>
      <c r="K240" s="6" t="s">
        <v>61</v>
      </c>
      <c r="L240" s="6" t="s">
        <v>743</v>
      </c>
    </row>
    <row r="241" ht="22.5" customHeight="1">
      <c r="A241" s="5">
        <v>46170.33866252315</v>
      </c>
      <c r="B241" s="6" t="s">
        <v>744</v>
      </c>
      <c r="C241" s="6" t="s">
        <v>745</v>
      </c>
      <c r="D241" s="3" t="str">
        <f t="shared" si="1"/>
        <v>AE-0240</v>
      </c>
      <c r="E241" s="3">
        <f t="array" ref="E241">IFERROR(XLOOKUP(D241,'Astronomy 101 Week 1 Quiz (Resp'!F:F,'Astronomy 101 Week 1 Quiz (Resp'!E:E),0)</f>
        <v>0</v>
      </c>
      <c r="F241" s="3" t="s">
        <v>14</v>
      </c>
      <c r="G241" s="3"/>
      <c r="H241" s="6">
        <v>8.160785898E9</v>
      </c>
      <c r="I241" s="6" t="s">
        <v>746</v>
      </c>
      <c r="J241" s="6" t="s">
        <v>16</v>
      </c>
      <c r="K241" s="6" t="s">
        <v>17</v>
      </c>
    </row>
    <row r="242" ht="22.5" customHeight="1">
      <c r="A242" s="5">
        <v>46170.36057877315</v>
      </c>
      <c r="B242" s="6" t="s">
        <v>747</v>
      </c>
      <c r="C242" s="6" t="s">
        <v>748</v>
      </c>
      <c r="D242" s="3" t="str">
        <f t="shared" si="1"/>
        <v>AE-0241</v>
      </c>
      <c r="E242" s="3">
        <f t="array" ref="E242">IFERROR(XLOOKUP(D242,'Astronomy 101 Week 1 Quiz (Resp'!F:F,'Astronomy 101 Week 1 Quiz (Resp'!E:E),0)</f>
        <v>0</v>
      </c>
      <c r="F242" s="3" t="s">
        <v>14</v>
      </c>
      <c r="G242" s="3"/>
      <c r="H242" s="6">
        <v>7.59915452E9</v>
      </c>
      <c r="I242" s="6" t="s">
        <v>749</v>
      </c>
      <c r="J242" s="6" t="s">
        <v>16</v>
      </c>
      <c r="K242" s="6" t="s">
        <v>43</v>
      </c>
    </row>
    <row r="243" ht="22.5" customHeight="1">
      <c r="A243" s="5">
        <v>46170.37926677083</v>
      </c>
      <c r="B243" s="6" t="s">
        <v>750</v>
      </c>
      <c r="C243" s="6" t="s">
        <v>751</v>
      </c>
      <c r="D243" s="3" t="str">
        <f t="shared" si="1"/>
        <v>AE-0242</v>
      </c>
      <c r="E243" s="3">
        <f t="array" ref="E243">IFERROR(XLOOKUP(D243,'Astronomy 101 Week 1 Quiz (Resp'!F:F,'Astronomy 101 Week 1 Quiz (Resp'!E:E),0)</f>
        <v>0</v>
      </c>
      <c r="F243" s="3" t="s">
        <v>14</v>
      </c>
      <c r="G243" s="3"/>
      <c r="H243" s="6">
        <v>6.390239249E9</v>
      </c>
      <c r="I243" s="6" t="s">
        <v>472</v>
      </c>
      <c r="J243" s="6" t="s">
        <v>16</v>
      </c>
      <c r="K243" s="6" t="s">
        <v>61</v>
      </c>
    </row>
    <row r="244" ht="22.5" customHeight="1">
      <c r="A244" s="5">
        <v>46170.386203761576</v>
      </c>
      <c r="B244" s="6" t="s">
        <v>752</v>
      </c>
      <c r="C244" s="6" t="s">
        <v>753</v>
      </c>
      <c r="D244" s="3" t="str">
        <f t="shared" si="1"/>
        <v>AE-0243</v>
      </c>
      <c r="E244" s="3">
        <f t="array" ref="E244">IFERROR(XLOOKUP(D244,'Astronomy 101 Week 1 Quiz (Resp'!F:F,'Astronomy 101 Week 1 Quiz (Resp'!E:E),0)</f>
        <v>0</v>
      </c>
      <c r="F244" s="3" t="s">
        <v>14</v>
      </c>
      <c r="G244" s="3"/>
      <c r="H244" s="6">
        <v>9.685348562E9</v>
      </c>
      <c r="I244" s="6" t="s">
        <v>395</v>
      </c>
      <c r="J244" s="6" t="s">
        <v>16</v>
      </c>
      <c r="K244" s="6" t="s">
        <v>43</v>
      </c>
      <c r="L244" s="6" t="s">
        <v>754</v>
      </c>
    </row>
    <row r="245" ht="22.5" customHeight="1">
      <c r="A245" s="5">
        <v>46170.399925474536</v>
      </c>
      <c r="B245" s="6" t="s">
        <v>755</v>
      </c>
      <c r="C245" s="6" t="s">
        <v>756</v>
      </c>
      <c r="D245" s="3" t="str">
        <f t="shared" si="1"/>
        <v>AE-0244</v>
      </c>
      <c r="E245" s="3">
        <f t="array" ref="E245">IFERROR(XLOOKUP(D245,'Astronomy 101 Week 1 Quiz (Resp'!F:F,'Astronomy 101 Week 1 Quiz (Resp'!E:E),0)</f>
        <v>0</v>
      </c>
      <c r="F245" s="3" t="s">
        <v>14</v>
      </c>
      <c r="G245" s="3"/>
      <c r="H245" s="6">
        <v>8.667085144E9</v>
      </c>
      <c r="I245" s="6" t="s">
        <v>757</v>
      </c>
      <c r="J245" s="6" t="s">
        <v>16</v>
      </c>
      <c r="K245" s="6" t="s">
        <v>17</v>
      </c>
      <c r="L245" s="6" t="s">
        <v>758</v>
      </c>
    </row>
    <row r="246" ht="22.5" customHeight="1">
      <c r="A246" s="5">
        <v>46170.42582186343</v>
      </c>
      <c r="B246" s="6" t="s">
        <v>759</v>
      </c>
      <c r="C246" s="6" t="s">
        <v>760</v>
      </c>
      <c r="D246" s="3" t="str">
        <f t="shared" si="1"/>
        <v>AE-0245</v>
      </c>
      <c r="E246" s="3">
        <f t="array" ref="E246">IFERROR(XLOOKUP(D246,'Astronomy 101 Week 1 Quiz (Resp'!F:F,'Astronomy 101 Week 1 Quiz (Resp'!E:E),0)</f>
        <v>16</v>
      </c>
      <c r="F246" s="3" t="s">
        <v>14</v>
      </c>
      <c r="G246" s="3"/>
      <c r="H246" s="6">
        <v>7.41662813E9</v>
      </c>
      <c r="I246" s="6" t="s">
        <v>262</v>
      </c>
      <c r="J246" s="6" t="s">
        <v>16</v>
      </c>
      <c r="K246" s="6" t="s">
        <v>47</v>
      </c>
      <c r="L246" s="6" t="s">
        <v>761</v>
      </c>
    </row>
    <row r="247" ht="22.5" customHeight="1">
      <c r="A247" s="5">
        <v>46170.43600876158</v>
      </c>
      <c r="B247" s="6" t="s">
        <v>762</v>
      </c>
      <c r="C247" s="6" t="s">
        <v>763</v>
      </c>
      <c r="D247" s="3" t="str">
        <f t="shared" si="1"/>
        <v>AE-0246</v>
      </c>
      <c r="E247" s="3">
        <f t="array" ref="E247">IFERROR(XLOOKUP(D247,'Astronomy 101 Week 1 Quiz (Resp'!F:F,'Astronomy 101 Week 1 Quiz (Resp'!E:E),0)</f>
        <v>0</v>
      </c>
      <c r="F247" s="3" t="s">
        <v>14</v>
      </c>
      <c r="G247" s="3"/>
      <c r="H247" s="6">
        <v>7.97225563E9</v>
      </c>
      <c r="I247" s="6" t="s">
        <v>764</v>
      </c>
      <c r="J247" s="6" t="s">
        <v>16</v>
      </c>
      <c r="K247" s="6" t="s">
        <v>17</v>
      </c>
    </row>
    <row r="248" ht="22.5" customHeight="1">
      <c r="A248" s="5">
        <v>46170.449326145834</v>
      </c>
      <c r="B248" s="6" t="s">
        <v>765</v>
      </c>
      <c r="C248" s="6" t="s">
        <v>766</v>
      </c>
      <c r="D248" s="3" t="str">
        <f t="shared" si="1"/>
        <v>AE-0247</v>
      </c>
      <c r="E248" s="3">
        <f t="array" ref="E248">IFERROR(XLOOKUP(D248,'Astronomy 101 Week 1 Quiz (Resp'!F:F,'Astronomy 101 Week 1 Quiz (Resp'!E:E),0)</f>
        <v>0</v>
      </c>
      <c r="F248" s="3" t="s">
        <v>14</v>
      </c>
      <c r="G248" s="3"/>
      <c r="H248" s="6">
        <v>6.37096226E9</v>
      </c>
      <c r="I248" s="6" t="s">
        <v>767</v>
      </c>
      <c r="J248" s="6" t="s">
        <v>16</v>
      </c>
      <c r="K248" s="6" t="s">
        <v>17</v>
      </c>
      <c r="L248" s="6" t="s">
        <v>768</v>
      </c>
    </row>
    <row r="249" ht="22.5" customHeight="1">
      <c r="A249" s="5">
        <v>46170.463711539356</v>
      </c>
      <c r="B249" s="6" t="s">
        <v>769</v>
      </c>
      <c r="C249" s="6" t="s">
        <v>770</v>
      </c>
      <c r="D249" s="3" t="str">
        <f t="shared" si="1"/>
        <v>AE-0248</v>
      </c>
      <c r="E249" s="3">
        <f t="array" ref="E249">IFERROR(XLOOKUP(D249,'Astronomy 101 Week 1 Quiz (Resp'!F:F,'Astronomy 101 Week 1 Quiz (Resp'!E:E),0)</f>
        <v>0</v>
      </c>
      <c r="F249" s="3" t="s">
        <v>14</v>
      </c>
      <c r="G249" s="3"/>
      <c r="H249" s="6">
        <v>8.472016624E9</v>
      </c>
      <c r="I249" s="6" t="s">
        <v>771</v>
      </c>
      <c r="J249" s="6" t="s">
        <v>16</v>
      </c>
      <c r="K249" s="6" t="s">
        <v>17</v>
      </c>
      <c r="L249" s="6" t="s">
        <v>772</v>
      </c>
    </row>
    <row r="250" ht="22.5" customHeight="1">
      <c r="A250" s="5">
        <v>46170.4642455787</v>
      </c>
      <c r="B250" s="6" t="s">
        <v>773</v>
      </c>
      <c r="C250" s="6" t="s">
        <v>774</v>
      </c>
      <c r="D250" s="3" t="str">
        <f t="shared" si="1"/>
        <v>AE-0249</v>
      </c>
      <c r="E250" s="3">
        <f t="array" ref="E250">IFERROR(XLOOKUP(D250,'Astronomy 101 Week 1 Quiz (Resp'!F:F,'Astronomy 101 Week 1 Quiz (Resp'!E:E),0)</f>
        <v>0</v>
      </c>
      <c r="F250" s="3" t="s">
        <v>14</v>
      </c>
      <c r="G250" s="3"/>
      <c r="H250" s="6">
        <v>9.156205646E9</v>
      </c>
      <c r="I250" s="6" t="s">
        <v>775</v>
      </c>
      <c r="J250" s="6" t="s">
        <v>16</v>
      </c>
      <c r="K250" s="6" t="s">
        <v>43</v>
      </c>
      <c r="L250" s="6" t="s">
        <v>776</v>
      </c>
    </row>
    <row r="251" ht="22.5" customHeight="1">
      <c r="A251" s="5">
        <v>46170.47990011574</v>
      </c>
      <c r="B251" s="6" t="s">
        <v>777</v>
      </c>
      <c r="C251" s="6" t="s">
        <v>778</v>
      </c>
      <c r="D251" s="3" t="str">
        <f t="shared" si="1"/>
        <v>AE-0250</v>
      </c>
      <c r="E251" s="3">
        <f t="array" ref="E251">IFERROR(XLOOKUP(D251,'Astronomy 101 Week 1 Quiz (Resp'!F:F,'Astronomy 101 Week 1 Quiz (Resp'!E:E),0)</f>
        <v>43</v>
      </c>
      <c r="F251" s="3" t="s">
        <v>14</v>
      </c>
      <c r="G251" s="3"/>
      <c r="H251" s="6">
        <v>7.720079989E9</v>
      </c>
      <c r="I251" s="6" t="s">
        <v>779</v>
      </c>
      <c r="J251" s="6" t="s">
        <v>16</v>
      </c>
      <c r="K251" s="6" t="s">
        <v>17</v>
      </c>
      <c r="L251" s="6" t="s">
        <v>780</v>
      </c>
    </row>
    <row r="252" ht="22.5" customHeight="1">
      <c r="A252" s="5">
        <v>46170.489206238424</v>
      </c>
      <c r="B252" s="6" t="s">
        <v>781</v>
      </c>
      <c r="C252" s="6" t="s">
        <v>782</v>
      </c>
      <c r="D252" s="3" t="str">
        <f t="shared" si="1"/>
        <v>AE-0251</v>
      </c>
      <c r="E252" s="3">
        <f t="array" ref="E252">IFERROR(XLOOKUP(D252,'Astronomy 101 Week 1 Quiz (Resp'!F:F,'Astronomy 101 Week 1 Quiz (Resp'!E:E),0)</f>
        <v>0</v>
      </c>
      <c r="F252" s="3" t="s">
        <v>14</v>
      </c>
      <c r="G252" s="3"/>
      <c r="H252" s="6">
        <v>9.612604266E9</v>
      </c>
      <c r="I252" s="6" t="s">
        <v>783</v>
      </c>
      <c r="J252" s="6" t="s">
        <v>16</v>
      </c>
      <c r="K252" s="6" t="s">
        <v>17</v>
      </c>
      <c r="L252" s="6" t="s">
        <v>784</v>
      </c>
    </row>
    <row r="253" ht="22.5" customHeight="1">
      <c r="A253" s="5">
        <v>46170.50281075231</v>
      </c>
      <c r="B253" s="6" t="s">
        <v>785</v>
      </c>
      <c r="C253" s="6" t="s">
        <v>786</v>
      </c>
      <c r="D253" s="3" t="str">
        <f t="shared" si="1"/>
        <v>AE-0252</v>
      </c>
      <c r="E253" s="3">
        <f t="array" ref="E253">IFERROR(XLOOKUP(D253,'Astronomy 101 Week 1 Quiz (Resp'!F:F,'Astronomy 101 Week 1 Quiz (Resp'!E:E),0)</f>
        <v>35</v>
      </c>
      <c r="F253" s="3" t="s">
        <v>14</v>
      </c>
      <c r="G253" s="3"/>
      <c r="H253" s="6">
        <v>7.420048815E9</v>
      </c>
      <c r="I253" s="6" t="s">
        <v>787</v>
      </c>
      <c r="J253" s="6" t="s">
        <v>16</v>
      </c>
      <c r="K253" s="6" t="s">
        <v>17</v>
      </c>
      <c r="L253" s="6" t="s">
        <v>788</v>
      </c>
    </row>
    <row r="254" ht="22.5" customHeight="1">
      <c r="A254" s="5">
        <v>46170.5362237963</v>
      </c>
      <c r="B254" s="6" t="s">
        <v>789</v>
      </c>
      <c r="C254" s="6" t="s">
        <v>790</v>
      </c>
      <c r="D254" s="3" t="str">
        <f t="shared" si="1"/>
        <v>AE-0253</v>
      </c>
      <c r="E254" s="3">
        <f t="array" ref="E254">IFERROR(XLOOKUP(D254,'Astronomy 101 Week 1 Quiz (Resp'!F:F,'Astronomy 101 Week 1 Quiz (Resp'!E:E),0)</f>
        <v>0</v>
      </c>
      <c r="F254" s="3" t="s">
        <v>14</v>
      </c>
      <c r="G254" s="3"/>
      <c r="H254" s="6">
        <v>8.292568658E9</v>
      </c>
      <c r="I254" s="6" t="s">
        <v>387</v>
      </c>
      <c r="J254" s="6" t="s">
        <v>16</v>
      </c>
      <c r="K254" s="6" t="s">
        <v>61</v>
      </c>
      <c r="L254" s="6" t="s">
        <v>791</v>
      </c>
    </row>
    <row r="255" ht="22.5" customHeight="1">
      <c r="A255" s="5">
        <v>46170.53817980324</v>
      </c>
      <c r="B255" s="6" t="s">
        <v>792</v>
      </c>
      <c r="C255" s="6" t="s">
        <v>793</v>
      </c>
      <c r="D255" s="3" t="str">
        <f t="shared" si="1"/>
        <v>AE-0254</v>
      </c>
      <c r="E255" s="3">
        <f t="array" ref="E255">IFERROR(XLOOKUP(D255,'Astronomy 101 Week 1 Quiz (Resp'!F:F,'Astronomy 101 Week 1 Quiz (Resp'!E:E),0)</f>
        <v>44</v>
      </c>
      <c r="F255" s="3" t="s">
        <v>14</v>
      </c>
      <c r="G255" s="3"/>
      <c r="H255" s="6">
        <v>7.008742104E9</v>
      </c>
      <c r="I255" s="6" t="s">
        <v>698</v>
      </c>
      <c r="J255" s="6" t="s">
        <v>16</v>
      </c>
      <c r="K255" s="6" t="s">
        <v>82</v>
      </c>
      <c r="L255" s="6" t="s">
        <v>794</v>
      </c>
    </row>
    <row r="256" ht="22.5" customHeight="1">
      <c r="A256" s="5">
        <v>46170.54337987269</v>
      </c>
      <c r="B256" s="6" t="s">
        <v>795</v>
      </c>
      <c r="C256" s="6" t="s">
        <v>796</v>
      </c>
      <c r="D256" s="3" t="str">
        <f t="shared" si="1"/>
        <v>AE-0255</v>
      </c>
      <c r="E256" s="3">
        <f t="array" ref="E256">IFERROR(XLOOKUP(D256,'Astronomy 101 Week 1 Quiz (Resp'!F:F,'Astronomy 101 Week 1 Quiz (Resp'!E:E),0)</f>
        <v>0</v>
      </c>
      <c r="F256" s="3" t="s">
        <v>14</v>
      </c>
      <c r="G256" s="3"/>
      <c r="H256" s="6">
        <v>8.511107997E9</v>
      </c>
      <c r="I256" s="6" t="s">
        <v>64</v>
      </c>
      <c r="J256" s="6" t="s">
        <v>33</v>
      </c>
      <c r="K256" s="6" t="s">
        <v>17</v>
      </c>
    </row>
    <row r="257" ht="22.5" customHeight="1">
      <c r="A257" s="5">
        <v>46170.57913023148</v>
      </c>
      <c r="B257" s="6" t="s">
        <v>297</v>
      </c>
      <c r="C257" s="6" t="s">
        <v>298</v>
      </c>
      <c r="D257" s="3" t="str">
        <f t="shared" si="1"/>
        <v>AE-0256</v>
      </c>
      <c r="E257" s="3">
        <f t="array" ref="E257">IFERROR(XLOOKUP(D257,'Astronomy 101 Week 1 Quiz (Resp'!F:F,'Astronomy 101 Week 1 Quiz (Resp'!E:E),0)</f>
        <v>0</v>
      </c>
      <c r="F257" s="3" t="s">
        <v>14</v>
      </c>
      <c r="G257" s="3"/>
      <c r="H257" s="6">
        <v>7.085980742E9</v>
      </c>
      <c r="I257" s="6" t="s">
        <v>797</v>
      </c>
      <c r="J257" s="6" t="s">
        <v>16</v>
      </c>
      <c r="K257" s="6" t="s">
        <v>43</v>
      </c>
      <c r="L257" s="6" t="s">
        <v>798</v>
      </c>
    </row>
    <row r="258" ht="22.5" customHeight="1">
      <c r="A258" s="5">
        <v>46170.59758394676</v>
      </c>
      <c r="B258" s="6" t="s">
        <v>799</v>
      </c>
      <c r="C258" s="6" t="s">
        <v>800</v>
      </c>
      <c r="D258" s="3" t="str">
        <f t="shared" si="1"/>
        <v>AE-0257</v>
      </c>
      <c r="E258" s="3">
        <f t="array" ref="E258">IFERROR(XLOOKUP(D258,'Astronomy 101 Week 1 Quiz (Resp'!F:F,'Astronomy 101 Week 1 Quiz (Resp'!E:E),0)</f>
        <v>0</v>
      </c>
      <c r="F258" s="3" t="s">
        <v>14</v>
      </c>
      <c r="G258" s="3"/>
      <c r="H258" s="6">
        <v>9.764992115E9</v>
      </c>
      <c r="I258" s="6" t="s">
        <v>360</v>
      </c>
      <c r="J258" s="6" t="s">
        <v>16</v>
      </c>
      <c r="K258" s="6" t="s">
        <v>17</v>
      </c>
      <c r="L258" s="6" t="s">
        <v>801</v>
      </c>
    </row>
    <row r="259" ht="22.5" customHeight="1">
      <c r="A259" s="5">
        <v>46170.645883599536</v>
      </c>
      <c r="B259" s="6" t="s">
        <v>802</v>
      </c>
      <c r="C259" s="6" t="s">
        <v>803</v>
      </c>
      <c r="D259" s="3" t="str">
        <f t="shared" si="1"/>
        <v>AE-0258</v>
      </c>
      <c r="E259" s="3">
        <f t="array" ref="E259">IFERROR(XLOOKUP(D259,'Astronomy 101 Week 1 Quiz (Resp'!F:F,'Astronomy 101 Week 1 Quiz (Resp'!E:E),0)</f>
        <v>38</v>
      </c>
      <c r="F259" s="3" t="s">
        <v>14</v>
      </c>
      <c r="G259" s="3"/>
      <c r="H259" s="6">
        <v>9.414095972E9</v>
      </c>
      <c r="I259" s="6" t="s">
        <v>804</v>
      </c>
      <c r="J259" s="6" t="s">
        <v>33</v>
      </c>
      <c r="K259" s="6" t="s">
        <v>25</v>
      </c>
      <c r="L259" s="6" t="s">
        <v>805</v>
      </c>
    </row>
    <row r="260" ht="22.5" customHeight="1">
      <c r="A260" s="5">
        <v>46170.65847155092</v>
      </c>
      <c r="B260" s="6" t="s">
        <v>806</v>
      </c>
      <c r="C260" s="6" t="s">
        <v>807</v>
      </c>
      <c r="D260" s="3" t="str">
        <f t="shared" si="1"/>
        <v>AE-0259</v>
      </c>
      <c r="E260" s="3">
        <f t="array" ref="E260">IFERROR(XLOOKUP(D260,'Astronomy 101 Week 1 Quiz (Resp'!F:F,'Astronomy 101 Week 1 Quiz (Resp'!E:E),0)</f>
        <v>0</v>
      </c>
      <c r="F260" s="3" t="s">
        <v>14</v>
      </c>
      <c r="G260" s="3"/>
      <c r="H260" s="6">
        <v>6.305417831E9</v>
      </c>
      <c r="I260" s="6" t="s">
        <v>808</v>
      </c>
      <c r="J260" s="6" t="s">
        <v>16</v>
      </c>
      <c r="K260" s="6" t="s">
        <v>43</v>
      </c>
      <c r="L260" s="6" t="s">
        <v>809</v>
      </c>
    </row>
    <row r="261" ht="22.5" customHeight="1">
      <c r="A261" s="5">
        <v>46170.68957059028</v>
      </c>
      <c r="B261" s="6" t="s">
        <v>810</v>
      </c>
      <c r="C261" s="6" t="s">
        <v>811</v>
      </c>
      <c r="D261" s="3" t="str">
        <f t="shared" si="1"/>
        <v>AE-0260</v>
      </c>
      <c r="E261" s="3">
        <f t="array" ref="E261">IFERROR(XLOOKUP(D261,'Astronomy 101 Week 1 Quiz (Resp'!F:F,'Astronomy 101 Week 1 Quiz (Resp'!E:E),0)</f>
        <v>0</v>
      </c>
      <c r="F261" s="3" t="s">
        <v>14</v>
      </c>
      <c r="G261" s="3"/>
      <c r="H261" s="6">
        <v>9.328446168E9</v>
      </c>
      <c r="I261" s="6" t="s">
        <v>665</v>
      </c>
      <c r="J261" s="6" t="s">
        <v>16</v>
      </c>
      <c r="K261" s="6" t="s">
        <v>21</v>
      </c>
    </row>
    <row r="262" ht="22.5" customHeight="1">
      <c r="A262" s="5">
        <v>46170.68989518518</v>
      </c>
      <c r="B262" s="6" t="s">
        <v>812</v>
      </c>
      <c r="C262" s="6" t="s">
        <v>813</v>
      </c>
      <c r="D262" s="3" t="str">
        <f t="shared" si="1"/>
        <v>AE-0261</v>
      </c>
      <c r="E262" s="3">
        <f t="array" ref="E262">IFERROR(XLOOKUP(D262,'Astronomy 101 Week 1 Quiz (Resp'!F:F,'Astronomy 101 Week 1 Quiz (Resp'!E:E),0)</f>
        <v>0</v>
      </c>
      <c r="F262" s="3" t="s">
        <v>14</v>
      </c>
      <c r="G262" s="3"/>
      <c r="H262" s="6">
        <v>6.200432924E9</v>
      </c>
      <c r="I262" s="6" t="s">
        <v>814</v>
      </c>
      <c r="J262" s="6" t="s">
        <v>16</v>
      </c>
      <c r="K262" s="6" t="s">
        <v>61</v>
      </c>
      <c r="L262" s="6" t="s">
        <v>815</v>
      </c>
    </row>
    <row r="263" ht="22.5" customHeight="1">
      <c r="A263" s="5">
        <v>46170.74627903935</v>
      </c>
      <c r="B263" s="6" t="s">
        <v>816</v>
      </c>
      <c r="C263" s="6" t="s">
        <v>817</v>
      </c>
      <c r="D263" s="3" t="str">
        <f t="shared" si="1"/>
        <v>AE-0262</v>
      </c>
      <c r="E263" s="3">
        <f t="array" ref="E263">IFERROR(XLOOKUP(D263,'Astronomy 101 Week 1 Quiz (Resp'!F:F,'Astronomy 101 Week 1 Quiz (Resp'!E:E),0)</f>
        <v>0</v>
      </c>
      <c r="F263" s="3" t="s">
        <v>14</v>
      </c>
      <c r="G263" s="3"/>
      <c r="H263" s="6">
        <v>9.589617114E9</v>
      </c>
      <c r="I263" s="6" t="s">
        <v>64</v>
      </c>
      <c r="J263" s="6" t="s">
        <v>16</v>
      </c>
      <c r="K263" s="6" t="s">
        <v>61</v>
      </c>
    </row>
    <row r="264" ht="22.5" customHeight="1">
      <c r="A264" s="5">
        <v>46170.74681803241</v>
      </c>
      <c r="B264" s="6" t="s">
        <v>818</v>
      </c>
      <c r="C264" s="6" t="s">
        <v>819</v>
      </c>
      <c r="D264" s="3" t="str">
        <f t="shared" si="1"/>
        <v>AE-0263</v>
      </c>
      <c r="E264" s="3">
        <f t="array" ref="E264">IFERROR(XLOOKUP(D264,'Astronomy 101 Week 1 Quiz (Resp'!F:F,'Astronomy 101 Week 1 Quiz (Resp'!E:E),0)</f>
        <v>0</v>
      </c>
      <c r="F264" s="3" t="s">
        <v>14</v>
      </c>
      <c r="G264" s="3"/>
      <c r="H264" s="6">
        <v>7.667022334E9</v>
      </c>
      <c r="I264" s="6" t="s">
        <v>64</v>
      </c>
      <c r="J264" s="6" t="s">
        <v>16</v>
      </c>
      <c r="K264" s="6" t="s">
        <v>47</v>
      </c>
      <c r="L264" s="6" t="s">
        <v>820</v>
      </c>
    </row>
    <row r="265" ht="22.5" customHeight="1">
      <c r="A265" s="5">
        <v>46170.746971307875</v>
      </c>
      <c r="B265" s="6" t="s">
        <v>821</v>
      </c>
      <c r="C265" s="6" t="s">
        <v>822</v>
      </c>
      <c r="D265" s="3" t="str">
        <f t="shared" si="1"/>
        <v>AE-0264</v>
      </c>
      <c r="E265" s="3">
        <f t="array" ref="E265">IFERROR(XLOOKUP(D265,'Astronomy 101 Week 1 Quiz (Resp'!F:F,'Astronomy 101 Week 1 Quiz (Resp'!E:E),0)</f>
        <v>0</v>
      </c>
      <c r="F265" s="3" t="s">
        <v>14</v>
      </c>
      <c r="G265" s="3"/>
      <c r="H265" s="6">
        <v>7.204881915E9</v>
      </c>
      <c r="I265" s="6" t="s">
        <v>15</v>
      </c>
      <c r="J265" s="6" t="s">
        <v>16</v>
      </c>
      <c r="K265" s="6" t="s">
        <v>47</v>
      </c>
    </row>
    <row r="266" ht="22.5" customHeight="1">
      <c r="A266" s="5">
        <v>46170.74724283565</v>
      </c>
      <c r="B266" s="6" t="s">
        <v>823</v>
      </c>
      <c r="C266" s="6" t="s">
        <v>824</v>
      </c>
      <c r="D266" s="3" t="str">
        <f t="shared" si="1"/>
        <v>AE-0265</v>
      </c>
      <c r="E266" s="3">
        <f t="array" ref="E266">IFERROR(XLOOKUP(D266,'Astronomy 101 Week 1 Quiz (Resp'!F:F,'Astronomy 101 Week 1 Quiz (Resp'!E:E),0)</f>
        <v>46</v>
      </c>
      <c r="F266" s="3" t="s">
        <v>14</v>
      </c>
      <c r="G266" s="3"/>
      <c r="H266" s="6">
        <v>8.630225566E9</v>
      </c>
      <c r="I266" s="6" t="s">
        <v>64</v>
      </c>
      <c r="J266" s="6" t="s">
        <v>16</v>
      </c>
    </row>
    <row r="267" ht="22.5" customHeight="1">
      <c r="A267" s="5">
        <v>46170.74728675926</v>
      </c>
      <c r="B267" s="6" t="s">
        <v>825</v>
      </c>
      <c r="C267" s="6" t="s">
        <v>826</v>
      </c>
      <c r="D267" s="3" t="str">
        <f t="shared" si="1"/>
        <v>AE-0266</v>
      </c>
      <c r="E267" s="3">
        <f t="array" ref="E267">IFERROR(XLOOKUP(D267,'Astronomy 101 Week 1 Quiz (Resp'!F:F,'Astronomy 101 Week 1 Quiz (Resp'!E:E),0)</f>
        <v>0</v>
      </c>
      <c r="F267" s="3" t="s">
        <v>14</v>
      </c>
      <c r="G267" s="3"/>
      <c r="H267" s="6">
        <v>7.703835927E9</v>
      </c>
      <c r="I267" s="6" t="s">
        <v>42</v>
      </c>
      <c r="J267" s="6" t="s">
        <v>16</v>
      </c>
      <c r="K267" s="6" t="s">
        <v>47</v>
      </c>
    </row>
    <row r="268" ht="22.5" customHeight="1">
      <c r="A268" s="5">
        <v>46170.748115486116</v>
      </c>
      <c r="B268" s="6" t="s">
        <v>827</v>
      </c>
      <c r="C268" s="6" t="s">
        <v>828</v>
      </c>
      <c r="D268" s="3" t="str">
        <f t="shared" si="1"/>
        <v>AE-0267</v>
      </c>
      <c r="E268" s="3">
        <f t="array" ref="E268">IFERROR(XLOOKUP(D268,'Astronomy 101 Week 1 Quiz (Resp'!F:F,'Astronomy 101 Week 1 Quiz (Resp'!E:E),0)</f>
        <v>0</v>
      </c>
      <c r="F268" s="3" t="s">
        <v>14</v>
      </c>
      <c r="G268" s="3"/>
      <c r="H268" s="6">
        <v>8.974178827E9</v>
      </c>
      <c r="I268" s="6" t="s">
        <v>64</v>
      </c>
      <c r="J268" s="6" t="s">
        <v>16</v>
      </c>
      <c r="K268" s="6" t="s">
        <v>47</v>
      </c>
      <c r="L268" s="6" t="s">
        <v>829</v>
      </c>
    </row>
    <row r="269" ht="22.5" customHeight="1">
      <c r="A269" s="5">
        <v>46170.7485558912</v>
      </c>
      <c r="B269" s="6" t="s">
        <v>83</v>
      </c>
      <c r="C269" s="6" t="s">
        <v>830</v>
      </c>
      <c r="D269" s="3" t="str">
        <f t="shared" si="1"/>
        <v>AE-0268</v>
      </c>
      <c r="E269" s="3">
        <f t="array" ref="E269">IFERROR(XLOOKUP(D269,'Astronomy 101 Week 1 Quiz (Resp'!F:F,'Astronomy 101 Week 1 Quiz (Resp'!E:E),0)</f>
        <v>0</v>
      </c>
      <c r="F269" s="3" t="s">
        <v>14</v>
      </c>
      <c r="G269" s="3"/>
      <c r="H269" s="6">
        <v>9.330397631E9</v>
      </c>
      <c r="I269" s="6" t="s">
        <v>64</v>
      </c>
      <c r="J269" s="6" t="s">
        <v>16</v>
      </c>
      <c r="K269" s="6" t="s">
        <v>21</v>
      </c>
      <c r="L269" s="6" t="s">
        <v>831</v>
      </c>
    </row>
    <row r="270" ht="22.5" customHeight="1">
      <c r="A270" s="5">
        <v>46170.74857783565</v>
      </c>
      <c r="B270" s="6" t="s">
        <v>832</v>
      </c>
      <c r="C270" s="6" t="s">
        <v>833</v>
      </c>
      <c r="D270" s="3" t="str">
        <f t="shared" si="1"/>
        <v>AE-0269</v>
      </c>
      <c r="E270" s="3">
        <f t="array" ref="E270">IFERROR(XLOOKUP(D270,'Astronomy 101 Week 1 Quiz (Resp'!F:F,'Astronomy 101 Week 1 Quiz (Resp'!E:E),0)</f>
        <v>0</v>
      </c>
      <c r="F270" s="3" t="s">
        <v>14</v>
      </c>
      <c r="G270" s="3"/>
      <c r="H270" s="7" t="s">
        <v>834</v>
      </c>
      <c r="I270" s="6" t="s">
        <v>29</v>
      </c>
      <c r="J270" s="6" t="s">
        <v>16</v>
      </c>
      <c r="K270" s="6" t="s">
        <v>82</v>
      </c>
      <c r="L270" s="6" t="s">
        <v>835</v>
      </c>
    </row>
    <row r="271" ht="22.5" customHeight="1">
      <c r="A271" s="5">
        <v>46170.74885202546</v>
      </c>
      <c r="B271" s="6" t="s">
        <v>836</v>
      </c>
      <c r="C271" s="6" t="s">
        <v>837</v>
      </c>
      <c r="D271" s="3" t="str">
        <f t="shared" si="1"/>
        <v>AE-0270</v>
      </c>
      <c r="E271" s="3">
        <f t="array" ref="E271">IFERROR(XLOOKUP(D271,'Astronomy 101 Week 1 Quiz (Resp'!F:F,'Astronomy 101 Week 1 Quiz (Resp'!E:E),0)</f>
        <v>0</v>
      </c>
      <c r="F271" s="3" t="s">
        <v>14</v>
      </c>
      <c r="G271" s="3"/>
      <c r="H271" s="6">
        <v>9.717840802E9</v>
      </c>
      <c r="I271" s="6" t="s">
        <v>29</v>
      </c>
      <c r="J271" s="6" t="s">
        <v>16</v>
      </c>
      <c r="K271" s="6" t="s">
        <v>47</v>
      </c>
    </row>
    <row r="272" ht="22.5" customHeight="1">
      <c r="A272" s="5">
        <v>46170.7494465625</v>
      </c>
      <c r="B272" s="6" t="s">
        <v>838</v>
      </c>
      <c r="C272" s="6" t="s">
        <v>839</v>
      </c>
      <c r="D272" s="3" t="str">
        <f t="shared" si="1"/>
        <v>AE-0271</v>
      </c>
      <c r="E272" s="3">
        <f t="array" ref="E272">IFERROR(XLOOKUP(D272,'Astronomy 101 Week 1 Quiz (Resp'!F:F,'Astronomy 101 Week 1 Quiz (Resp'!E:E),0)</f>
        <v>0</v>
      </c>
      <c r="F272" s="3" t="s">
        <v>14</v>
      </c>
      <c r="G272" s="3"/>
      <c r="H272" s="6">
        <v>9.175927074E9</v>
      </c>
      <c r="I272" s="6" t="s">
        <v>15</v>
      </c>
      <c r="J272" s="6" t="s">
        <v>16</v>
      </c>
      <c r="K272" s="6" t="s">
        <v>17</v>
      </c>
    </row>
    <row r="273" ht="22.5" customHeight="1">
      <c r="A273" s="5">
        <v>46170.7505546412</v>
      </c>
      <c r="B273" s="6" t="s">
        <v>840</v>
      </c>
      <c r="C273" s="6" t="s">
        <v>841</v>
      </c>
      <c r="D273" s="3" t="str">
        <f t="shared" si="1"/>
        <v>AE-0272</v>
      </c>
      <c r="E273" s="3">
        <f t="array" ref="E273">IFERROR(XLOOKUP(D273,'Astronomy 101 Week 1 Quiz (Resp'!F:F,'Astronomy 101 Week 1 Quiz (Resp'!E:E),0)</f>
        <v>0</v>
      </c>
      <c r="F273" s="3" t="s">
        <v>14</v>
      </c>
      <c r="G273" s="3"/>
      <c r="H273" s="6">
        <v>9.773927151E9</v>
      </c>
      <c r="I273" s="6" t="s">
        <v>29</v>
      </c>
      <c r="J273" s="6" t="s">
        <v>16</v>
      </c>
      <c r="K273" s="6" t="s">
        <v>17</v>
      </c>
      <c r="L273" s="6" t="s">
        <v>842</v>
      </c>
    </row>
    <row r="274" ht="22.5" customHeight="1">
      <c r="A274" s="5">
        <v>46170.75237869213</v>
      </c>
      <c r="B274" s="6" t="s">
        <v>836</v>
      </c>
      <c r="C274" s="6" t="s">
        <v>837</v>
      </c>
      <c r="D274" s="3" t="str">
        <f t="shared" si="1"/>
        <v>AE-0273</v>
      </c>
      <c r="E274" s="3">
        <f t="array" ref="E274">IFERROR(XLOOKUP(D274,'Astronomy 101 Week 1 Quiz (Resp'!F:F,'Astronomy 101 Week 1 Quiz (Resp'!E:E),0)</f>
        <v>0</v>
      </c>
      <c r="F274" s="3" t="s">
        <v>14</v>
      </c>
      <c r="G274" s="3"/>
      <c r="H274" s="6">
        <v>9.717840802E9</v>
      </c>
      <c r="I274" s="6" t="s">
        <v>29</v>
      </c>
      <c r="J274" s="6" t="s">
        <v>16</v>
      </c>
      <c r="K274" s="6" t="s">
        <v>47</v>
      </c>
    </row>
    <row r="275" ht="22.5" customHeight="1">
      <c r="A275" s="5">
        <v>46170.75523701389</v>
      </c>
      <c r="B275" s="6" t="s">
        <v>843</v>
      </c>
      <c r="C275" s="6" t="s">
        <v>844</v>
      </c>
      <c r="D275" s="3" t="str">
        <f t="shared" si="1"/>
        <v>AE-0274</v>
      </c>
      <c r="E275" s="3">
        <f t="array" ref="E275">IFERROR(XLOOKUP(D275,'Astronomy 101 Week 1 Quiz (Resp'!F:F,'Astronomy 101 Week 1 Quiz (Resp'!E:E),0)</f>
        <v>0</v>
      </c>
      <c r="F275" s="3" t="s">
        <v>14</v>
      </c>
      <c r="G275" s="3"/>
      <c r="H275" s="6">
        <v>8.920170707E9</v>
      </c>
      <c r="I275" s="6" t="s">
        <v>15</v>
      </c>
      <c r="J275" s="6" t="s">
        <v>16</v>
      </c>
      <c r="K275" s="6" t="s">
        <v>25</v>
      </c>
    </row>
    <row r="276" ht="22.5" customHeight="1">
      <c r="A276" s="5">
        <v>46170.75706884259</v>
      </c>
      <c r="B276" s="6" t="s">
        <v>845</v>
      </c>
      <c r="C276" s="6" t="s">
        <v>846</v>
      </c>
      <c r="D276" s="3" t="str">
        <f t="shared" si="1"/>
        <v>AE-0275</v>
      </c>
      <c r="E276" s="3">
        <f t="array" ref="E276">IFERROR(XLOOKUP(D276,'Astronomy 101 Week 1 Quiz (Resp'!F:F,'Astronomy 101 Week 1 Quiz (Resp'!E:E),0)</f>
        <v>0</v>
      </c>
      <c r="F276" s="3" t="s">
        <v>14</v>
      </c>
      <c r="G276" s="3"/>
      <c r="H276" s="6">
        <v>9.430594014E9</v>
      </c>
      <c r="I276" s="6" t="s">
        <v>15</v>
      </c>
      <c r="J276" s="6" t="s">
        <v>16</v>
      </c>
      <c r="K276" s="6" t="s">
        <v>17</v>
      </c>
    </row>
    <row r="277" ht="22.5" customHeight="1">
      <c r="A277" s="5">
        <v>46170.76093792824</v>
      </c>
      <c r="B277" s="6" t="s">
        <v>847</v>
      </c>
      <c r="C277" s="6" t="s">
        <v>848</v>
      </c>
      <c r="D277" s="3" t="str">
        <f t="shared" si="1"/>
        <v>AE-0276</v>
      </c>
      <c r="E277" s="3">
        <f t="array" ref="E277">IFERROR(XLOOKUP(D277,'Astronomy 101 Week 1 Quiz (Resp'!F:F,'Astronomy 101 Week 1 Quiz (Resp'!E:E),0)</f>
        <v>0</v>
      </c>
      <c r="F277" s="3" t="s">
        <v>14</v>
      </c>
      <c r="G277" s="3"/>
      <c r="H277" s="6">
        <v>9.365272449E9</v>
      </c>
      <c r="I277" s="6" t="s">
        <v>849</v>
      </c>
      <c r="J277" s="6" t="s">
        <v>16</v>
      </c>
      <c r="K277" s="6" t="s">
        <v>17</v>
      </c>
    </row>
    <row r="278" ht="22.5" customHeight="1">
      <c r="A278" s="5">
        <v>46170.77695140046</v>
      </c>
      <c r="B278" s="6" t="s">
        <v>850</v>
      </c>
      <c r="C278" s="6" t="s">
        <v>851</v>
      </c>
      <c r="D278" s="3" t="str">
        <f t="shared" si="1"/>
        <v>AE-0277</v>
      </c>
      <c r="E278" s="3">
        <f t="array" ref="E278">IFERROR(XLOOKUP(D278,'Astronomy 101 Week 1 Quiz (Resp'!F:F,'Astronomy 101 Week 1 Quiz (Resp'!E:E),0)</f>
        <v>0</v>
      </c>
      <c r="F278" s="3" t="s">
        <v>14</v>
      </c>
      <c r="G278" s="3"/>
      <c r="H278" s="6">
        <v>8.376833222E9</v>
      </c>
      <c r="I278" s="6" t="s">
        <v>32</v>
      </c>
      <c r="J278" s="6" t="s">
        <v>33</v>
      </c>
      <c r="K278" s="6" t="s">
        <v>17</v>
      </c>
      <c r="L278" s="6" t="s">
        <v>852</v>
      </c>
    </row>
    <row r="279" ht="22.5" customHeight="1">
      <c r="A279" s="5">
        <v>46170.77982273148</v>
      </c>
      <c r="B279" s="6" t="s">
        <v>853</v>
      </c>
      <c r="C279" s="6" t="s">
        <v>854</v>
      </c>
      <c r="D279" s="3" t="str">
        <f t="shared" si="1"/>
        <v>AE-0278</v>
      </c>
      <c r="E279" s="3">
        <f t="array" ref="E279">IFERROR(XLOOKUP(D279,'Astronomy 101 Week 1 Quiz (Resp'!F:F,'Astronomy 101 Week 1 Quiz (Resp'!E:E),0)</f>
        <v>35</v>
      </c>
      <c r="F279" s="3" t="s">
        <v>14</v>
      </c>
      <c r="G279" s="3"/>
      <c r="H279" s="6">
        <v>8.60243621E9</v>
      </c>
      <c r="I279" s="6" t="s">
        <v>387</v>
      </c>
      <c r="J279" s="6" t="s">
        <v>16</v>
      </c>
      <c r="K279" s="6" t="s">
        <v>61</v>
      </c>
    </row>
    <row r="280" ht="22.5" customHeight="1">
      <c r="A280" s="5">
        <v>46170.781354872684</v>
      </c>
      <c r="B280" s="6" t="s">
        <v>855</v>
      </c>
      <c r="C280" s="6" t="s">
        <v>856</v>
      </c>
      <c r="D280" s="3" t="str">
        <f t="shared" si="1"/>
        <v>AE-0279</v>
      </c>
      <c r="E280" s="3">
        <f t="array" ref="E280">IFERROR(XLOOKUP(D280,'Astronomy 101 Week 1 Quiz (Resp'!F:F,'Astronomy 101 Week 1 Quiz (Resp'!E:E),0)</f>
        <v>0</v>
      </c>
      <c r="F280" s="3" t="s">
        <v>14</v>
      </c>
      <c r="G280" s="3"/>
      <c r="H280" s="6">
        <v>8.192072132E9</v>
      </c>
      <c r="I280" s="6" t="s">
        <v>64</v>
      </c>
      <c r="J280" s="6" t="s">
        <v>16</v>
      </c>
    </row>
    <row r="281" ht="22.5" customHeight="1">
      <c r="A281" s="5">
        <v>46170.7823503588</v>
      </c>
      <c r="B281" s="6" t="s">
        <v>857</v>
      </c>
      <c r="C281" s="6" t="s">
        <v>858</v>
      </c>
      <c r="D281" s="3" t="str">
        <f t="shared" si="1"/>
        <v>AE-0280</v>
      </c>
      <c r="E281" s="3">
        <f t="array" ref="E281">IFERROR(XLOOKUP(D281,'Astronomy 101 Week 1 Quiz (Resp'!F:F,'Astronomy 101 Week 1 Quiz (Resp'!E:E),0)</f>
        <v>0</v>
      </c>
      <c r="F281" s="3" t="s">
        <v>14</v>
      </c>
      <c r="G281" s="3"/>
      <c r="H281" s="6">
        <v>7.980080371E9</v>
      </c>
      <c r="I281" s="6" t="s">
        <v>64</v>
      </c>
      <c r="J281" s="6" t="s">
        <v>16</v>
      </c>
      <c r="K281" s="6" t="s">
        <v>17</v>
      </c>
      <c r="L281" s="6" t="s">
        <v>859</v>
      </c>
    </row>
    <row r="282" ht="22.5" customHeight="1">
      <c r="A282" s="5">
        <v>46170.78303016204</v>
      </c>
      <c r="B282" s="6" t="s">
        <v>91</v>
      </c>
      <c r="C282" s="6" t="s">
        <v>92</v>
      </c>
      <c r="D282" s="3" t="str">
        <f t="shared" si="1"/>
        <v>AE-0281</v>
      </c>
      <c r="E282" s="3">
        <f t="array" ref="E282">IFERROR(XLOOKUP(D282,'Astronomy 101 Week 1 Quiz (Resp'!F:F,'Astronomy 101 Week 1 Quiz (Resp'!E:E),0)</f>
        <v>0</v>
      </c>
      <c r="F282" s="3" t="s">
        <v>14</v>
      </c>
      <c r="G282" s="3"/>
      <c r="H282" s="6">
        <v>9.166070127E9</v>
      </c>
      <c r="I282" s="6" t="s">
        <v>64</v>
      </c>
      <c r="J282" s="6" t="s">
        <v>16</v>
      </c>
      <c r="K282" s="6" t="s">
        <v>61</v>
      </c>
      <c r="L282" s="6" t="s">
        <v>860</v>
      </c>
    </row>
    <row r="283" ht="22.5" customHeight="1">
      <c r="A283" s="5">
        <v>46170.78387223379</v>
      </c>
      <c r="B283" s="6" t="s">
        <v>861</v>
      </c>
      <c r="C283" s="6" t="s">
        <v>862</v>
      </c>
      <c r="D283" s="3" t="str">
        <f t="shared" si="1"/>
        <v>AE-0282</v>
      </c>
      <c r="E283" s="3">
        <f t="array" ref="E283">IFERROR(XLOOKUP(D283,'Astronomy 101 Week 1 Quiz (Resp'!F:F,'Astronomy 101 Week 1 Quiz (Resp'!E:E),0)</f>
        <v>0</v>
      </c>
      <c r="F283" s="3" t="s">
        <v>14</v>
      </c>
      <c r="G283" s="3"/>
      <c r="H283" s="6">
        <v>6.290147778E9</v>
      </c>
      <c r="I283" s="6" t="s">
        <v>32</v>
      </c>
      <c r="J283" s="6" t="s">
        <v>16</v>
      </c>
      <c r="K283" s="6" t="s">
        <v>25</v>
      </c>
    </row>
    <row r="284" ht="22.5" customHeight="1">
      <c r="A284" s="5">
        <v>46170.800272002314</v>
      </c>
      <c r="B284" s="6" t="s">
        <v>863</v>
      </c>
      <c r="C284" s="6" t="s">
        <v>864</v>
      </c>
      <c r="D284" s="3" t="str">
        <f t="shared" si="1"/>
        <v>AE-0283</v>
      </c>
      <c r="E284" s="3">
        <f t="array" ref="E284">IFERROR(XLOOKUP(D284,'Astronomy 101 Week 1 Quiz (Resp'!F:F,'Astronomy 101 Week 1 Quiz (Resp'!E:E),0)</f>
        <v>0</v>
      </c>
      <c r="F284" s="3" t="s">
        <v>14</v>
      </c>
      <c r="G284" s="3"/>
      <c r="H284" s="6">
        <v>9.679805519E9</v>
      </c>
      <c r="I284" s="6" t="s">
        <v>64</v>
      </c>
      <c r="J284" s="6" t="s">
        <v>16</v>
      </c>
      <c r="K284" s="6" t="s">
        <v>17</v>
      </c>
      <c r="L284" s="6" t="s">
        <v>865</v>
      </c>
    </row>
    <row r="285" ht="22.5" customHeight="1">
      <c r="A285" s="5">
        <v>46170.807653599535</v>
      </c>
      <c r="B285" s="6" t="s">
        <v>866</v>
      </c>
      <c r="C285" s="6" t="s">
        <v>867</v>
      </c>
      <c r="D285" s="3" t="str">
        <f t="shared" si="1"/>
        <v>AE-0284</v>
      </c>
      <c r="E285" s="3">
        <f t="array" ref="E285">IFERROR(XLOOKUP(D285,'Astronomy 101 Week 1 Quiz (Resp'!F:F,'Astronomy 101 Week 1 Quiz (Resp'!E:E),0)</f>
        <v>0</v>
      </c>
      <c r="F285" s="3" t="s">
        <v>14</v>
      </c>
      <c r="G285" s="3"/>
      <c r="H285" s="6">
        <v>6.379851342E9</v>
      </c>
      <c r="I285" s="6" t="s">
        <v>64</v>
      </c>
      <c r="J285" s="6" t="s">
        <v>16</v>
      </c>
      <c r="K285" s="6" t="s">
        <v>82</v>
      </c>
      <c r="L285" s="6" t="s">
        <v>868</v>
      </c>
    </row>
    <row r="286" ht="22.5" customHeight="1">
      <c r="A286" s="5">
        <v>46170.80863296296</v>
      </c>
      <c r="B286" s="6" t="s">
        <v>869</v>
      </c>
      <c r="C286" s="6" t="s">
        <v>870</v>
      </c>
      <c r="D286" s="3" t="str">
        <f t="shared" si="1"/>
        <v>AE-0285</v>
      </c>
      <c r="E286" s="3">
        <f t="array" ref="E286">IFERROR(XLOOKUP(D286,'Astronomy 101 Week 1 Quiz (Resp'!F:F,'Astronomy 101 Week 1 Quiz (Resp'!E:E),0)</f>
        <v>29</v>
      </c>
      <c r="F286" s="3" t="s">
        <v>14</v>
      </c>
      <c r="G286" s="3"/>
      <c r="H286" s="6">
        <v>7.017542594E9</v>
      </c>
      <c r="I286" s="6" t="s">
        <v>32</v>
      </c>
      <c r="J286" s="6" t="s">
        <v>16</v>
      </c>
      <c r="K286" s="6" t="s">
        <v>17</v>
      </c>
      <c r="L286" s="6" t="s">
        <v>871</v>
      </c>
    </row>
    <row r="287" ht="22.5" customHeight="1">
      <c r="A287" s="5">
        <v>46170.815363773145</v>
      </c>
      <c r="B287" s="6" t="s">
        <v>872</v>
      </c>
      <c r="C287" s="6" t="s">
        <v>873</v>
      </c>
      <c r="D287" s="3" t="str">
        <f t="shared" si="1"/>
        <v>AE-0286</v>
      </c>
      <c r="E287" s="3">
        <f t="array" ref="E287">IFERROR(XLOOKUP(D287,'Astronomy 101 Week 1 Quiz (Resp'!F:F,'Astronomy 101 Week 1 Quiz (Resp'!E:E),0)</f>
        <v>27</v>
      </c>
      <c r="F287" s="3" t="s">
        <v>14</v>
      </c>
      <c r="G287" s="3"/>
      <c r="H287" s="6">
        <v>9.833873172E9</v>
      </c>
      <c r="I287" s="6" t="s">
        <v>29</v>
      </c>
      <c r="J287" s="6" t="s">
        <v>16</v>
      </c>
      <c r="K287" s="6" t="s">
        <v>47</v>
      </c>
    </row>
    <row r="288" ht="22.5" customHeight="1">
      <c r="A288" s="5">
        <v>46170.819030266204</v>
      </c>
      <c r="B288" s="6" t="s">
        <v>874</v>
      </c>
      <c r="C288" s="6" t="s">
        <v>875</v>
      </c>
      <c r="D288" s="3" t="str">
        <f t="shared" si="1"/>
        <v>AE-0287</v>
      </c>
      <c r="E288" s="3">
        <f t="array" ref="E288">IFERROR(XLOOKUP(D288,'Astronomy 101 Week 1 Quiz (Resp'!F:F,'Astronomy 101 Week 1 Quiz (Resp'!E:E),0)</f>
        <v>0</v>
      </c>
      <c r="F288" s="3" t="s">
        <v>14</v>
      </c>
      <c r="G288" s="3"/>
      <c r="H288" s="6">
        <v>9.233129919E9</v>
      </c>
      <c r="I288" s="6" t="s">
        <v>876</v>
      </c>
      <c r="J288" s="6" t="s">
        <v>16</v>
      </c>
      <c r="K288" s="6" t="s">
        <v>17</v>
      </c>
      <c r="L288" s="6" t="s">
        <v>877</v>
      </c>
    </row>
    <row r="289" ht="22.5" customHeight="1">
      <c r="A289" s="5">
        <v>46170.821440844906</v>
      </c>
      <c r="B289" s="6" t="s">
        <v>878</v>
      </c>
      <c r="C289" s="6" t="s">
        <v>879</v>
      </c>
      <c r="D289" s="3" t="str">
        <f t="shared" si="1"/>
        <v>AE-0288</v>
      </c>
      <c r="E289" s="3">
        <f t="array" ref="E289">IFERROR(XLOOKUP(D289,'Astronomy 101 Week 1 Quiz (Resp'!F:F,'Astronomy 101 Week 1 Quiz (Resp'!E:E),0)</f>
        <v>0</v>
      </c>
      <c r="F289" s="3" t="s">
        <v>14</v>
      </c>
      <c r="G289" s="3"/>
      <c r="H289" s="6">
        <v>8.688553242E9</v>
      </c>
      <c r="I289" s="6" t="s">
        <v>32</v>
      </c>
      <c r="J289" s="6" t="s">
        <v>16</v>
      </c>
      <c r="K289" s="6" t="s">
        <v>25</v>
      </c>
    </row>
    <row r="290" ht="22.5" customHeight="1">
      <c r="A290" s="5">
        <v>46170.8337237963</v>
      </c>
      <c r="B290" s="6" t="s">
        <v>880</v>
      </c>
      <c r="C290" s="6" t="s">
        <v>881</v>
      </c>
      <c r="D290" s="3" t="str">
        <f t="shared" si="1"/>
        <v>AE-0289</v>
      </c>
      <c r="E290" s="3">
        <f t="array" ref="E290">IFERROR(XLOOKUP(D290,'Astronomy 101 Week 1 Quiz (Resp'!F:F,'Astronomy 101 Week 1 Quiz (Resp'!E:E),0)</f>
        <v>0</v>
      </c>
      <c r="F290" s="3" t="s">
        <v>14</v>
      </c>
      <c r="G290" s="3"/>
      <c r="H290" s="6">
        <v>6.002860991E9</v>
      </c>
      <c r="I290" s="6" t="s">
        <v>73</v>
      </c>
      <c r="J290" s="6" t="s">
        <v>16</v>
      </c>
      <c r="K290" s="6" t="s">
        <v>82</v>
      </c>
    </row>
    <row r="291" ht="22.5" customHeight="1">
      <c r="A291" s="5">
        <v>46170.83554269676</v>
      </c>
      <c r="B291" s="6" t="s">
        <v>882</v>
      </c>
      <c r="C291" s="6" t="s">
        <v>883</v>
      </c>
      <c r="D291" s="3" t="str">
        <f t="shared" si="1"/>
        <v>AE-0290</v>
      </c>
      <c r="E291" s="3">
        <f t="array" ref="E291">IFERROR(XLOOKUP(D291,'Astronomy 101 Week 1 Quiz (Resp'!F:F,'Astronomy 101 Week 1 Quiz (Resp'!E:E),0)</f>
        <v>0</v>
      </c>
      <c r="F291" s="3" t="s">
        <v>14</v>
      </c>
      <c r="G291" s="3"/>
      <c r="H291" s="6">
        <v>7.828166734E9</v>
      </c>
      <c r="I291" s="6" t="s">
        <v>64</v>
      </c>
      <c r="J291" s="6" t="s">
        <v>16</v>
      </c>
      <c r="K291" s="6" t="s">
        <v>17</v>
      </c>
    </row>
    <row r="292" ht="22.5" customHeight="1">
      <c r="A292" s="5">
        <v>46170.836541956014</v>
      </c>
      <c r="B292" s="6" t="s">
        <v>884</v>
      </c>
      <c r="C292" s="6" t="s">
        <v>885</v>
      </c>
      <c r="D292" s="3" t="str">
        <f t="shared" si="1"/>
        <v>AE-0291</v>
      </c>
      <c r="E292" s="3">
        <f t="array" ref="E292">IFERROR(XLOOKUP(D292,'Astronomy 101 Week 1 Quiz (Resp'!F:F,'Astronomy 101 Week 1 Quiz (Resp'!E:E),0)</f>
        <v>39</v>
      </c>
      <c r="F292" s="3" t="s">
        <v>14</v>
      </c>
      <c r="G292" s="3"/>
      <c r="H292" s="6">
        <v>9.667306158E9</v>
      </c>
      <c r="I292" s="6" t="s">
        <v>29</v>
      </c>
      <c r="J292" s="6" t="s">
        <v>33</v>
      </c>
      <c r="K292" s="6" t="s">
        <v>17</v>
      </c>
    </row>
    <row r="293" ht="22.5" customHeight="1">
      <c r="A293" s="5">
        <v>46170.83863465278</v>
      </c>
      <c r="B293" s="6" t="s">
        <v>886</v>
      </c>
      <c r="C293" s="6" t="s">
        <v>887</v>
      </c>
      <c r="D293" s="3" t="str">
        <f t="shared" si="1"/>
        <v>AE-0292</v>
      </c>
      <c r="E293" s="3">
        <f t="array" ref="E293">IFERROR(XLOOKUP(D293,'Astronomy 101 Week 1 Quiz (Resp'!F:F,'Astronomy 101 Week 1 Quiz (Resp'!E:E),0)</f>
        <v>0</v>
      </c>
      <c r="F293" s="3" t="s">
        <v>14</v>
      </c>
      <c r="G293" s="3"/>
      <c r="H293" s="6">
        <v>9.863379531E9</v>
      </c>
      <c r="I293" s="6" t="s">
        <v>888</v>
      </c>
      <c r="J293" s="6" t="s">
        <v>16</v>
      </c>
      <c r="K293" s="6" t="s">
        <v>43</v>
      </c>
      <c r="L293" s="6" t="s">
        <v>889</v>
      </c>
    </row>
    <row r="294" ht="22.5" customHeight="1">
      <c r="A294" s="5">
        <v>46170.84262173611</v>
      </c>
      <c r="B294" s="6" t="s">
        <v>890</v>
      </c>
      <c r="C294" s="6" t="s">
        <v>891</v>
      </c>
      <c r="D294" s="3" t="str">
        <f t="shared" si="1"/>
        <v>AE-0293</v>
      </c>
      <c r="E294" s="3">
        <f t="array" ref="E294">IFERROR(XLOOKUP(D294,'Astronomy 101 Week 1 Quiz (Resp'!F:F,'Astronomy 101 Week 1 Quiz (Resp'!E:E),0)</f>
        <v>0</v>
      </c>
      <c r="F294" s="3" t="s">
        <v>14</v>
      </c>
      <c r="G294" s="3"/>
      <c r="H294" s="6">
        <v>9.153369737E9</v>
      </c>
      <c r="I294" s="6" t="s">
        <v>64</v>
      </c>
      <c r="J294" s="6" t="s">
        <v>16</v>
      </c>
      <c r="K294" s="6" t="s">
        <v>82</v>
      </c>
    </row>
    <row r="295" ht="22.5" customHeight="1">
      <c r="A295" s="5">
        <v>46170.8445674074</v>
      </c>
      <c r="B295" s="6" t="s">
        <v>892</v>
      </c>
      <c r="C295" s="6" t="s">
        <v>893</v>
      </c>
      <c r="D295" s="3" t="str">
        <f t="shared" si="1"/>
        <v>AE-0294</v>
      </c>
      <c r="E295" s="3">
        <f t="array" ref="E295">IFERROR(XLOOKUP(D295,'Astronomy 101 Week 1 Quiz (Resp'!F:F,'Astronomy 101 Week 1 Quiz (Resp'!E:E),0)</f>
        <v>41</v>
      </c>
      <c r="F295" s="3" t="s">
        <v>14</v>
      </c>
      <c r="G295" s="3"/>
      <c r="H295" s="6">
        <v>7.085789572E9</v>
      </c>
      <c r="I295" s="6" t="s">
        <v>311</v>
      </c>
      <c r="J295" s="6" t="s">
        <v>16</v>
      </c>
    </row>
    <row r="296" ht="22.5" customHeight="1">
      <c r="A296" s="5">
        <v>46170.84675939815</v>
      </c>
      <c r="B296" s="6" t="s">
        <v>894</v>
      </c>
      <c r="C296" s="6" t="s">
        <v>895</v>
      </c>
      <c r="D296" s="3" t="str">
        <f t="shared" si="1"/>
        <v>AE-0295</v>
      </c>
      <c r="E296" s="3">
        <f t="array" ref="E296">IFERROR(XLOOKUP(D296,'Astronomy 101 Week 1 Quiz (Resp'!F:F,'Astronomy 101 Week 1 Quiz (Resp'!E:E),0)</f>
        <v>0</v>
      </c>
      <c r="F296" s="3" t="s">
        <v>14</v>
      </c>
      <c r="G296" s="3"/>
      <c r="H296" s="6">
        <v>7.602514291E9</v>
      </c>
      <c r="I296" s="6" t="s">
        <v>191</v>
      </c>
      <c r="J296" s="6" t="s">
        <v>16</v>
      </c>
      <c r="K296" s="6" t="s">
        <v>47</v>
      </c>
      <c r="L296" s="6" t="s">
        <v>896</v>
      </c>
    </row>
    <row r="297" ht="22.5" customHeight="1">
      <c r="A297" s="5">
        <v>46170.851648020835</v>
      </c>
      <c r="B297" s="6" t="s">
        <v>897</v>
      </c>
      <c r="C297" s="6" t="s">
        <v>898</v>
      </c>
      <c r="D297" s="3" t="str">
        <f t="shared" si="1"/>
        <v>AE-0296</v>
      </c>
      <c r="E297" s="3">
        <f t="array" ref="E297">IFERROR(XLOOKUP(D297,'Astronomy 101 Week 1 Quiz (Resp'!F:F,'Astronomy 101 Week 1 Quiz (Resp'!E:E),0)</f>
        <v>0</v>
      </c>
      <c r="F297" s="3" t="s">
        <v>14</v>
      </c>
      <c r="G297" s="3"/>
      <c r="H297" s="6">
        <v>8.414913447E9</v>
      </c>
      <c r="I297" s="6" t="s">
        <v>899</v>
      </c>
      <c r="J297" s="6" t="s">
        <v>16</v>
      </c>
      <c r="K297" s="6" t="s">
        <v>17</v>
      </c>
      <c r="L297" s="6" t="s">
        <v>900</v>
      </c>
    </row>
    <row r="298" ht="22.5" customHeight="1">
      <c r="A298" s="5">
        <v>46170.85827643519</v>
      </c>
      <c r="B298" s="6" t="s">
        <v>901</v>
      </c>
      <c r="C298" s="6" t="s">
        <v>902</v>
      </c>
      <c r="D298" s="3" t="str">
        <f t="shared" si="1"/>
        <v>AE-0297</v>
      </c>
      <c r="E298" s="3">
        <f t="array" ref="E298">IFERROR(XLOOKUP(D298,'Astronomy 101 Week 1 Quiz (Resp'!F:F,'Astronomy 101 Week 1 Quiz (Resp'!E:E),0)</f>
        <v>35</v>
      </c>
      <c r="F298" s="3" t="s">
        <v>14</v>
      </c>
      <c r="G298" s="3"/>
      <c r="H298" s="6">
        <v>8.7878954E9</v>
      </c>
      <c r="I298" s="6" t="s">
        <v>903</v>
      </c>
      <c r="J298" s="6" t="s">
        <v>16</v>
      </c>
      <c r="K298" s="6" t="s">
        <v>17</v>
      </c>
      <c r="L298" s="6" t="s">
        <v>904</v>
      </c>
    </row>
    <row r="299" ht="22.5" customHeight="1">
      <c r="A299" s="5">
        <v>46170.86277108797</v>
      </c>
      <c r="B299" s="6" t="s">
        <v>905</v>
      </c>
      <c r="C299" s="6" t="s">
        <v>906</v>
      </c>
      <c r="D299" s="3" t="str">
        <f t="shared" si="1"/>
        <v>AE-0298</v>
      </c>
      <c r="E299" s="3">
        <f t="array" ref="E299">IFERROR(XLOOKUP(D299,'Astronomy 101 Week 1 Quiz (Resp'!F:F,'Astronomy 101 Week 1 Quiz (Resp'!E:E),0)</f>
        <v>0</v>
      </c>
      <c r="F299" s="3" t="s">
        <v>14</v>
      </c>
      <c r="G299" s="3"/>
      <c r="H299" s="6">
        <v>9.933786164E9</v>
      </c>
      <c r="I299" s="6" t="s">
        <v>32</v>
      </c>
      <c r="J299" s="6" t="s">
        <v>16</v>
      </c>
      <c r="K299" s="6" t="s">
        <v>43</v>
      </c>
    </row>
    <row r="300" ht="22.5" customHeight="1">
      <c r="A300" s="5">
        <v>46170.86552016204</v>
      </c>
      <c r="B300" s="6" t="s">
        <v>907</v>
      </c>
      <c r="C300" s="6" t="s">
        <v>908</v>
      </c>
      <c r="D300" s="3" t="str">
        <f t="shared" si="1"/>
        <v>AE-0299</v>
      </c>
      <c r="E300" s="3">
        <f t="array" ref="E300">IFERROR(XLOOKUP(D300,'Astronomy 101 Week 1 Quiz (Resp'!F:F,'Astronomy 101 Week 1 Quiz (Resp'!E:E),0)</f>
        <v>0</v>
      </c>
      <c r="F300" s="3" t="s">
        <v>14</v>
      </c>
      <c r="G300" s="3"/>
      <c r="H300" s="6">
        <v>8.00375E9</v>
      </c>
      <c r="I300" s="6" t="s">
        <v>909</v>
      </c>
      <c r="J300" s="6" t="s">
        <v>16</v>
      </c>
      <c r="K300" s="6" t="s">
        <v>17</v>
      </c>
      <c r="L300" s="6" t="s">
        <v>910</v>
      </c>
    </row>
    <row r="301" ht="22.5" customHeight="1">
      <c r="A301" s="5">
        <v>46170.874722465276</v>
      </c>
      <c r="B301" s="6" t="s">
        <v>911</v>
      </c>
      <c r="C301" s="6" t="s">
        <v>912</v>
      </c>
      <c r="D301" s="3" t="str">
        <f t="shared" si="1"/>
        <v>AE-0300</v>
      </c>
      <c r="E301" s="3">
        <f t="array" ref="E301">IFERROR(XLOOKUP(D301,'Astronomy 101 Week 1 Quiz (Resp'!F:F,'Astronomy 101 Week 1 Quiz (Resp'!E:E),0)</f>
        <v>0</v>
      </c>
      <c r="F301" s="3" t="s">
        <v>14</v>
      </c>
      <c r="G301" s="3"/>
      <c r="H301" s="6">
        <v>9.832918881E9</v>
      </c>
      <c r="I301" s="6" t="s">
        <v>32</v>
      </c>
      <c r="J301" s="6" t="s">
        <v>16</v>
      </c>
      <c r="K301" s="6" t="s">
        <v>17</v>
      </c>
    </row>
    <row r="302" ht="22.5" customHeight="1">
      <c r="A302" s="5">
        <v>46170.88311401621</v>
      </c>
      <c r="B302" s="6" t="s">
        <v>913</v>
      </c>
      <c r="C302" s="6" t="s">
        <v>914</v>
      </c>
      <c r="D302" s="3" t="str">
        <f t="shared" si="1"/>
        <v>AE-0301</v>
      </c>
      <c r="E302" s="3">
        <f t="array" ref="E302">IFERROR(XLOOKUP(D302,'Astronomy 101 Week 1 Quiz (Resp'!F:F,'Astronomy 101 Week 1 Quiz (Resp'!E:E),0)</f>
        <v>0</v>
      </c>
      <c r="F302" s="3" t="s">
        <v>14</v>
      </c>
      <c r="G302" s="3"/>
      <c r="H302" s="6">
        <v>7.641031235E9</v>
      </c>
      <c r="I302" s="6" t="s">
        <v>915</v>
      </c>
      <c r="J302" s="6" t="s">
        <v>16</v>
      </c>
      <c r="K302" s="6" t="s">
        <v>17</v>
      </c>
      <c r="L302" s="6" t="s">
        <v>916</v>
      </c>
    </row>
    <row r="303" ht="22.5" customHeight="1">
      <c r="A303" s="5">
        <v>46170.88968030093</v>
      </c>
      <c r="B303" s="6" t="s">
        <v>917</v>
      </c>
      <c r="C303" s="6" t="s">
        <v>918</v>
      </c>
      <c r="D303" s="3" t="str">
        <f t="shared" si="1"/>
        <v>AE-0302</v>
      </c>
      <c r="E303" s="3">
        <f t="array" ref="E303">IFERROR(XLOOKUP(D303,'Astronomy 101 Week 1 Quiz (Resp'!F:F,'Astronomy 101 Week 1 Quiz (Resp'!E:E),0)</f>
        <v>0</v>
      </c>
      <c r="F303" s="3" t="s">
        <v>14</v>
      </c>
      <c r="G303" s="3"/>
      <c r="H303" s="6">
        <v>8.602908247E9</v>
      </c>
      <c r="I303" s="6" t="s">
        <v>132</v>
      </c>
      <c r="J303" s="6" t="s">
        <v>16</v>
      </c>
      <c r="K303" s="6" t="s">
        <v>17</v>
      </c>
      <c r="L303" s="6" t="s">
        <v>919</v>
      </c>
    </row>
    <row r="304" ht="22.5" customHeight="1">
      <c r="A304" s="5">
        <v>46170.900601608795</v>
      </c>
      <c r="B304" s="6" t="s">
        <v>920</v>
      </c>
      <c r="C304" s="6" t="s">
        <v>921</v>
      </c>
      <c r="D304" s="3" t="str">
        <f t="shared" si="1"/>
        <v>AE-0303</v>
      </c>
      <c r="E304" s="3">
        <f t="array" ref="E304">IFERROR(XLOOKUP(D304,'Astronomy 101 Week 1 Quiz (Resp'!F:F,'Astronomy 101 Week 1 Quiz (Resp'!E:E),0)</f>
        <v>0</v>
      </c>
      <c r="F304" s="3" t="s">
        <v>14</v>
      </c>
      <c r="G304" s="3"/>
      <c r="H304" s="6">
        <v>8.900082326E9</v>
      </c>
      <c r="I304" s="6" t="s">
        <v>73</v>
      </c>
      <c r="J304" s="6" t="s">
        <v>16</v>
      </c>
      <c r="K304" s="6" t="s">
        <v>17</v>
      </c>
    </row>
    <row r="305" ht="22.5" customHeight="1">
      <c r="A305" s="5">
        <v>46170.90096716435</v>
      </c>
      <c r="B305" s="6" t="s">
        <v>922</v>
      </c>
      <c r="C305" s="6" t="s">
        <v>923</v>
      </c>
      <c r="D305" s="3" t="str">
        <f t="shared" si="1"/>
        <v>AE-0304</v>
      </c>
      <c r="E305" s="3">
        <f t="array" ref="E305">IFERROR(XLOOKUP(D305,'Astronomy 101 Week 1 Quiz (Resp'!F:F,'Astronomy 101 Week 1 Quiz (Resp'!E:E),0)</f>
        <v>0</v>
      </c>
      <c r="F305" s="3" t="s">
        <v>14</v>
      </c>
      <c r="G305" s="3"/>
      <c r="H305" s="6">
        <v>8.983770064E9</v>
      </c>
      <c r="I305" s="6" t="s">
        <v>924</v>
      </c>
      <c r="J305" s="6" t="s">
        <v>16</v>
      </c>
      <c r="K305" s="6" t="s">
        <v>61</v>
      </c>
      <c r="L305" s="6" t="s">
        <v>925</v>
      </c>
    </row>
    <row r="306" ht="22.5" customHeight="1">
      <c r="A306" s="5">
        <v>46170.90137212963</v>
      </c>
      <c r="B306" s="6" t="s">
        <v>926</v>
      </c>
      <c r="C306" s="6" t="s">
        <v>927</v>
      </c>
      <c r="D306" s="3" t="str">
        <f t="shared" si="1"/>
        <v>AE-0305</v>
      </c>
      <c r="E306" s="3">
        <f t="array" ref="E306">IFERROR(XLOOKUP(D306,'Astronomy 101 Week 1 Quiz (Resp'!F:F,'Astronomy 101 Week 1 Quiz (Resp'!E:E),0)</f>
        <v>0</v>
      </c>
      <c r="F306" s="3" t="s">
        <v>14</v>
      </c>
      <c r="G306" s="3"/>
      <c r="H306" s="6">
        <v>9.176858278E9</v>
      </c>
      <c r="I306" s="6" t="s">
        <v>29</v>
      </c>
      <c r="J306" s="6" t="s">
        <v>16</v>
      </c>
      <c r="K306" s="6" t="s">
        <v>17</v>
      </c>
      <c r="L306" s="6" t="s">
        <v>928</v>
      </c>
    </row>
    <row r="307" ht="22.5" customHeight="1">
      <c r="A307" s="5">
        <v>46170.95130325231</v>
      </c>
      <c r="B307" s="6" t="s">
        <v>929</v>
      </c>
      <c r="C307" s="6" t="s">
        <v>930</v>
      </c>
      <c r="D307" s="3" t="str">
        <f t="shared" si="1"/>
        <v>AE-0306</v>
      </c>
      <c r="E307" s="3">
        <f t="array" ref="E307">IFERROR(XLOOKUP(D307,'Astronomy 101 Week 1 Quiz (Resp'!F:F,'Astronomy 101 Week 1 Quiz (Resp'!E:E),0)</f>
        <v>0</v>
      </c>
      <c r="F307" s="3" t="s">
        <v>14</v>
      </c>
      <c r="G307" s="3"/>
      <c r="H307" s="6">
        <v>8.787680624E9</v>
      </c>
      <c r="I307" s="6" t="s">
        <v>690</v>
      </c>
      <c r="J307" s="6" t="s">
        <v>16</v>
      </c>
      <c r="K307" s="6" t="s">
        <v>17</v>
      </c>
    </row>
    <row r="308" ht="22.5" customHeight="1">
      <c r="A308" s="5">
        <v>46170.95380883102</v>
      </c>
      <c r="B308" s="6" t="s">
        <v>931</v>
      </c>
      <c r="C308" s="6" t="s">
        <v>932</v>
      </c>
      <c r="D308" s="3" t="str">
        <f t="shared" si="1"/>
        <v>AE-0307</v>
      </c>
      <c r="E308" s="3">
        <f t="array" ref="E308">IFERROR(XLOOKUP(D308,'Astronomy 101 Week 1 Quiz (Resp'!F:F,'Astronomy 101 Week 1 Quiz (Resp'!E:E),0)</f>
        <v>0</v>
      </c>
      <c r="F308" s="3" t="s">
        <v>14</v>
      </c>
      <c r="G308" s="3"/>
      <c r="H308" s="6">
        <v>9.950239439E9</v>
      </c>
      <c r="I308" s="6" t="s">
        <v>73</v>
      </c>
      <c r="J308" s="6" t="s">
        <v>16</v>
      </c>
      <c r="K308" s="6" t="s">
        <v>17</v>
      </c>
      <c r="L308" s="6" t="s">
        <v>933</v>
      </c>
    </row>
    <row r="309" ht="22.5" customHeight="1">
      <c r="A309" s="5">
        <v>46170.95560071759</v>
      </c>
      <c r="B309" s="6" t="s">
        <v>934</v>
      </c>
      <c r="C309" s="6" t="s">
        <v>935</v>
      </c>
      <c r="D309" s="3" t="str">
        <f t="shared" si="1"/>
        <v>AE-0308</v>
      </c>
      <c r="E309" s="3">
        <f t="array" ref="E309">IFERROR(XLOOKUP(D309,'Astronomy 101 Week 1 Quiz (Resp'!F:F,'Astronomy 101 Week 1 Quiz (Resp'!E:E),0)</f>
        <v>0</v>
      </c>
      <c r="F309" s="3" t="s">
        <v>14</v>
      </c>
      <c r="G309" s="3"/>
      <c r="H309" s="6">
        <v>7.005275742E9</v>
      </c>
      <c r="I309" s="6" t="s">
        <v>936</v>
      </c>
      <c r="J309" s="6" t="s">
        <v>16</v>
      </c>
      <c r="K309" s="6" t="s">
        <v>17</v>
      </c>
    </row>
    <row r="310" ht="22.5" customHeight="1">
      <c r="A310" s="5">
        <v>46170.96048758102</v>
      </c>
      <c r="B310" s="6" t="s">
        <v>937</v>
      </c>
      <c r="C310" s="6" t="s">
        <v>938</v>
      </c>
      <c r="D310" s="3" t="str">
        <f t="shared" si="1"/>
        <v>AE-0309</v>
      </c>
      <c r="E310" s="3">
        <f t="array" ref="E310">IFERROR(XLOOKUP(D310,'Astronomy 101 Week 1 Quiz (Resp'!F:F,'Astronomy 101 Week 1 Quiz (Resp'!E:E),0)</f>
        <v>0</v>
      </c>
      <c r="F310" s="3" t="s">
        <v>14</v>
      </c>
      <c r="G310" s="3"/>
      <c r="H310" s="6">
        <v>7.005393662E9</v>
      </c>
      <c r="I310" s="6" t="s">
        <v>939</v>
      </c>
      <c r="J310" s="6" t="s">
        <v>16</v>
      </c>
      <c r="K310" s="6" t="s">
        <v>17</v>
      </c>
      <c r="L310" s="6" t="s">
        <v>940</v>
      </c>
    </row>
    <row r="311" ht="22.5" customHeight="1">
      <c r="A311" s="5">
        <v>46170.978722824075</v>
      </c>
      <c r="B311" s="6" t="s">
        <v>941</v>
      </c>
      <c r="C311" s="6" t="s">
        <v>942</v>
      </c>
      <c r="D311" s="3" t="str">
        <f t="shared" si="1"/>
        <v>AE-0310</v>
      </c>
      <c r="E311" s="3">
        <f t="array" ref="E311">IFERROR(XLOOKUP(D311,'Astronomy 101 Week 1 Quiz (Resp'!F:F,'Astronomy 101 Week 1 Quiz (Resp'!E:E),0)</f>
        <v>0</v>
      </c>
      <c r="F311" s="3" t="s">
        <v>14</v>
      </c>
      <c r="G311" s="3"/>
      <c r="H311" s="6">
        <v>8.983183978E9</v>
      </c>
      <c r="I311" s="6" t="s">
        <v>943</v>
      </c>
      <c r="J311" s="6" t="s">
        <v>16</v>
      </c>
      <c r="K311" s="6" t="s">
        <v>17</v>
      </c>
      <c r="L311" s="6" t="s">
        <v>944</v>
      </c>
    </row>
    <row r="312" ht="22.5" customHeight="1">
      <c r="A312" s="5">
        <v>46170.98726065972</v>
      </c>
      <c r="B312" s="6" t="s">
        <v>945</v>
      </c>
      <c r="C312" s="6" t="s">
        <v>946</v>
      </c>
      <c r="D312" s="3" t="str">
        <f t="shared" si="1"/>
        <v>AE-0311</v>
      </c>
      <c r="E312" s="3">
        <f t="array" ref="E312">IFERROR(XLOOKUP(D312,'Astronomy 101 Week 1 Quiz (Resp'!F:F,'Astronomy 101 Week 1 Quiz (Resp'!E:E),0)</f>
        <v>0</v>
      </c>
      <c r="F312" s="3" t="s">
        <v>14</v>
      </c>
      <c r="G312" s="3"/>
      <c r="H312" s="6">
        <v>9.560805976E9</v>
      </c>
      <c r="I312" s="6" t="s">
        <v>947</v>
      </c>
      <c r="J312" s="6" t="s">
        <v>16</v>
      </c>
      <c r="K312" s="6" t="s">
        <v>21</v>
      </c>
    </row>
    <row r="313" ht="22.5" customHeight="1">
      <c r="A313" s="5">
        <v>46170.99453888889</v>
      </c>
      <c r="B313" s="6" t="s">
        <v>948</v>
      </c>
      <c r="C313" s="6" t="s">
        <v>949</v>
      </c>
      <c r="D313" s="3" t="str">
        <f t="shared" si="1"/>
        <v>AE-0312</v>
      </c>
      <c r="E313" s="3">
        <f t="array" ref="E313">IFERROR(XLOOKUP(D313,'Astronomy 101 Week 1 Quiz (Resp'!F:F,'Astronomy 101 Week 1 Quiz (Resp'!E:E),0)</f>
        <v>35</v>
      </c>
      <c r="F313" s="3" t="s">
        <v>14</v>
      </c>
      <c r="G313" s="3"/>
      <c r="H313" s="6">
        <v>9.1567806E9</v>
      </c>
      <c r="I313" s="6" t="s">
        <v>950</v>
      </c>
      <c r="J313" s="6" t="s">
        <v>16</v>
      </c>
      <c r="K313" s="6" t="s">
        <v>21</v>
      </c>
      <c r="L313" s="6" t="s">
        <v>951</v>
      </c>
    </row>
    <row r="314" ht="22.5" customHeight="1">
      <c r="A314" s="5">
        <v>46170.99650068287</v>
      </c>
      <c r="B314" s="6" t="s">
        <v>952</v>
      </c>
      <c r="C314" s="6" t="s">
        <v>953</v>
      </c>
      <c r="D314" s="3" t="str">
        <f t="shared" si="1"/>
        <v>AE-0313</v>
      </c>
      <c r="E314" s="3">
        <f t="array" ref="E314">IFERROR(XLOOKUP(D314,'Astronomy 101 Week 1 Quiz (Resp'!F:F,'Astronomy 101 Week 1 Quiz (Resp'!E:E),0)</f>
        <v>0</v>
      </c>
      <c r="F314" s="3" t="s">
        <v>14</v>
      </c>
      <c r="G314" s="3"/>
      <c r="H314" s="6">
        <v>8.007953827E9</v>
      </c>
      <c r="I314" s="6" t="s">
        <v>954</v>
      </c>
      <c r="J314" s="6" t="s">
        <v>16</v>
      </c>
      <c r="K314" s="6" t="s">
        <v>25</v>
      </c>
    </row>
    <row r="315" ht="22.5" customHeight="1">
      <c r="A315" s="5">
        <v>46171.00432944445</v>
      </c>
      <c r="B315" s="6" t="s">
        <v>955</v>
      </c>
      <c r="C315" s="6" t="s">
        <v>956</v>
      </c>
      <c r="D315" s="3" t="str">
        <f t="shared" si="1"/>
        <v>AE-0314</v>
      </c>
      <c r="E315" s="3">
        <f t="array" ref="E315">IFERROR(XLOOKUP(D315,'Astronomy 101 Week 1 Quiz (Resp'!F:F,'Astronomy 101 Week 1 Quiz (Resp'!E:E),0)</f>
        <v>0</v>
      </c>
      <c r="F315" s="3" t="s">
        <v>14</v>
      </c>
      <c r="G315" s="3"/>
      <c r="H315" s="7" t="s">
        <v>957</v>
      </c>
      <c r="I315" s="6" t="s">
        <v>958</v>
      </c>
      <c r="J315" s="6" t="s">
        <v>16</v>
      </c>
      <c r="K315" s="6" t="s">
        <v>25</v>
      </c>
    </row>
    <row r="316" ht="22.5" customHeight="1">
      <c r="A316" s="5">
        <v>46171.008242199074</v>
      </c>
      <c r="B316" s="6" t="s">
        <v>959</v>
      </c>
      <c r="C316" s="6" t="s">
        <v>960</v>
      </c>
      <c r="D316" s="3" t="str">
        <f t="shared" si="1"/>
        <v>AE-0315</v>
      </c>
      <c r="E316" s="3">
        <f t="array" ref="E316">IFERROR(XLOOKUP(D316,'Astronomy 101 Week 1 Quiz (Resp'!F:F,'Astronomy 101 Week 1 Quiz (Resp'!E:E),0)</f>
        <v>0</v>
      </c>
      <c r="F316" s="3" t="s">
        <v>14</v>
      </c>
      <c r="G316" s="3"/>
      <c r="H316" s="6">
        <v>9.041550964E9</v>
      </c>
      <c r="I316" s="6" t="s">
        <v>961</v>
      </c>
      <c r="J316" s="6" t="s">
        <v>16</v>
      </c>
      <c r="K316" s="6" t="s">
        <v>17</v>
      </c>
      <c r="L316" s="6" t="s">
        <v>962</v>
      </c>
    </row>
    <row r="317" ht="22.5" customHeight="1">
      <c r="A317" s="5">
        <v>46171.01464591435</v>
      </c>
      <c r="B317" s="6" t="s">
        <v>963</v>
      </c>
      <c r="C317" s="6" t="s">
        <v>964</v>
      </c>
      <c r="D317" s="3" t="str">
        <f t="shared" si="1"/>
        <v>AE-0316</v>
      </c>
      <c r="E317" s="3">
        <f t="array" ref="E317">IFERROR(XLOOKUP(D317,'Astronomy 101 Week 1 Quiz (Resp'!F:F,'Astronomy 101 Week 1 Quiz (Resp'!E:E),0)</f>
        <v>0</v>
      </c>
      <c r="F317" s="3" t="s">
        <v>14</v>
      </c>
      <c r="G317" s="3"/>
      <c r="H317" s="6">
        <v>9.876690766E9</v>
      </c>
      <c r="I317" s="6" t="s">
        <v>958</v>
      </c>
      <c r="J317" s="6" t="s">
        <v>16</v>
      </c>
      <c r="K317" s="6" t="s">
        <v>17</v>
      </c>
      <c r="L317" s="6" t="s">
        <v>965</v>
      </c>
    </row>
    <row r="318" ht="22.5" customHeight="1">
      <c r="A318" s="5">
        <v>46171.029109062496</v>
      </c>
      <c r="B318" s="6" t="s">
        <v>966</v>
      </c>
      <c r="C318" s="6" t="s">
        <v>967</v>
      </c>
      <c r="D318" s="3" t="str">
        <f t="shared" si="1"/>
        <v>AE-0317</v>
      </c>
      <c r="E318" s="3">
        <f t="array" ref="E318">IFERROR(XLOOKUP(D318,'Astronomy 101 Week 1 Quiz (Resp'!F:F,'Astronomy 101 Week 1 Quiz (Resp'!E:E),0)</f>
        <v>0</v>
      </c>
      <c r="F318" s="3" t="s">
        <v>14</v>
      </c>
      <c r="G318" s="3"/>
      <c r="H318" s="7" t="s">
        <v>968</v>
      </c>
      <c r="I318" s="6" t="s">
        <v>958</v>
      </c>
      <c r="J318" s="6" t="s">
        <v>16</v>
      </c>
      <c r="K318" s="6" t="s">
        <v>47</v>
      </c>
      <c r="L318" s="6" t="s">
        <v>969</v>
      </c>
    </row>
    <row r="319" ht="22.5" customHeight="1">
      <c r="A319" s="5">
        <v>46171.04714123842</v>
      </c>
      <c r="B319" s="6" t="s">
        <v>970</v>
      </c>
      <c r="C319" s="6" t="s">
        <v>971</v>
      </c>
      <c r="D319" s="3" t="str">
        <f t="shared" si="1"/>
        <v>AE-0318</v>
      </c>
      <c r="E319" s="3">
        <f t="array" ref="E319">IFERROR(XLOOKUP(D319,'Astronomy 101 Week 1 Quiz (Resp'!F:F,'Astronomy 101 Week 1 Quiz (Resp'!E:E),0)</f>
        <v>0</v>
      </c>
      <c r="F319" s="3" t="s">
        <v>14</v>
      </c>
      <c r="G319" s="3"/>
      <c r="H319" s="6">
        <v>7.002482056E9</v>
      </c>
      <c r="I319" s="6" t="s">
        <v>64</v>
      </c>
      <c r="J319" s="6" t="s">
        <v>16</v>
      </c>
      <c r="K319" s="6" t="s">
        <v>82</v>
      </c>
      <c r="L319" s="6" t="s">
        <v>972</v>
      </c>
    </row>
    <row r="320" ht="22.5" customHeight="1">
      <c r="A320" s="5">
        <v>46171.071471574076</v>
      </c>
      <c r="B320" s="6" t="s">
        <v>973</v>
      </c>
      <c r="C320" s="6" t="s">
        <v>974</v>
      </c>
      <c r="D320" s="3" t="str">
        <f t="shared" si="1"/>
        <v>AE-0319</v>
      </c>
      <c r="E320" s="3">
        <f t="array" ref="E320">IFERROR(XLOOKUP(D320,'Astronomy 101 Week 1 Quiz (Resp'!F:F,'Astronomy 101 Week 1 Quiz (Resp'!E:E),0)</f>
        <v>0</v>
      </c>
      <c r="F320" s="3" t="s">
        <v>14</v>
      </c>
      <c r="G320" s="3"/>
      <c r="H320" s="6">
        <v>7.058866905E9</v>
      </c>
      <c r="I320" s="6" t="s">
        <v>975</v>
      </c>
      <c r="J320" s="6" t="s">
        <v>16</v>
      </c>
      <c r="K320" s="6" t="s">
        <v>17</v>
      </c>
    </row>
    <row r="321" ht="22.5" customHeight="1">
      <c r="A321" s="5">
        <v>46171.08321814815</v>
      </c>
      <c r="B321" s="6" t="s">
        <v>976</v>
      </c>
      <c r="C321" s="6" t="s">
        <v>977</v>
      </c>
      <c r="D321" s="3" t="str">
        <f t="shared" si="1"/>
        <v>AE-0320</v>
      </c>
      <c r="E321" s="3">
        <f t="array" ref="E321">IFERROR(XLOOKUP(D321,'Astronomy 101 Week 1 Quiz (Resp'!F:F,'Astronomy 101 Week 1 Quiz (Resp'!E:E),0)</f>
        <v>0</v>
      </c>
      <c r="F321" s="3" t="s">
        <v>14</v>
      </c>
      <c r="G321" s="3"/>
      <c r="H321" s="6">
        <v>7.636826414E9</v>
      </c>
      <c r="I321" s="6" t="s">
        <v>978</v>
      </c>
      <c r="J321" s="6" t="s">
        <v>16</v>
      </c>
      <c r="K321" s="6" t="s">
        <v>61</v>
      </c>
      <c r="L321" s="6" t="s">
        <v>979</v>
      </c>
    </row>
    <row r="322" ht="22.5" customHeight="1">
      <c r="A322" s="5">
        <v>46171.11577662037</v>
      </c>
      <c r="B322" s="6" t="s">
        <v>980</v>
      </c>
      <c r="C322" s="6" t="s">
        <v>981</v>
      </c>
      <c r="D322" s="3" t="str">
        <f t="shared" si="1"/>
        <v>AE-0321</v>
      </c>
      <c r="E322" s="3">
        <f t="array" ref="E322">IFERROR(XLOOKUP(D322,'Astronomy 101 Week 1 Quiz (Resp'!F:F,'Astronomy 101 Week 1 Quiz (Resp'!E:E),0)</f>
        <v>0</v>
      </c>
      <c r="F322" s="3" t="s">
        <v>14</v>
      </c>
      <c r="G322" s="3"/>
      <c r="H322" s="6">
        <v>9.104423299E9</v>
      </c>
      <c r="I322" s="6" t="s">
        <v>64</v>
      </c>
      <c r="J322" s="6" t="s">
        <v>33</v>
      </c>
      <c r="K322" s="6" t="s">
        <v>25</v>
      </c>
    </row>
    <row r="323" ht="22.5" customHeight="1">
      <c r="A323" s="5">
        <v>46171.20770038194</v>
      </c>
      <c r="B323" s="6" t="s">
        <v>982</v>
      </c>
      <c r="C323" s="6" t="s">
        <v>983</v>
      </c>
      <c r="D323" s="3" t="str">
        <f t="shared" si="1"/>
        <v>AE-0322</v>
      </c>
      <c r="E323" s="3">
        <f t="array" ref="E323">IFERROR(XLOOKUP(D323,'Astronomy 101 Week 1 Quiz (Resp'!F:F,'Astronomy 101 Week 1 Quiz (Resp'!E:E),0)</f>
        <v>0</v>
      </c>
      <c r="F323" s="3" t="s">
        <v>14</v>
      </c>
      <c r="G323" s="3"/>
      <c r="H323" s="6">
        <v>7.002419643E9</v>
      </c>
      <c r="I323" s="6" t="s">
        <v>29</v>
      </c>
      <c r="J323" s="6" t="s">
        <v>16</v>
      </c>
      <c r="K323" s="6" t="s">
        <v>17</v>
      </c>
      <c r="L323" s="6" t="s">
        <v>984</v>
      </c>
    </row>
    <row r="324" ht="22.5" customHeight="1">
      <c r="A324" s="5">
        <v>46171.23199903935</v>
      </c>
      <c r="B324" s="6" t="s">
        <v>985</v>
      </c>
      <c r="C324" s="6" t="s">
        <v>986</v>
      </c>
      <c r="D324" s="3" t="str">
        <f t="shared" si="1"/>
        <v>AE-0323</v>
      </c>
      <c r="E324" s="3">
        <f t="array" ref="E324">IFERROR(XLOOKUP(D324,'Astronomy 101 Week 1 Quiz (Resp'!F:F,'Astronomy 101 Week 1 Quiz (Resp'!E:E),0)</f>
        <v>0</v>
      </c>
      <c r="F324" s="3" t="s">
        <v>14</v>
      </c>
      <c r="G324" s="3"/>
      <c r="H324" s="6">
        <v>9.325961736E9</v>
      </c>
      <c r="I324" s="6" t="s">
        <v>987</v>
      </c>
      <c r="J324" s="6" t="s">
        <v>16</v>
      </c>
      <c r="K324" s="6" t="s">
        <v>17</v>
      </c>
      <c r="L324" s="6" t="s">
        <v>988</v>
      </c>
    </row>
    <row r="325" ht="22.5" customHeight="1">
      <c r="A325" s="5">
        <v>46171.257147638884</v>
      </c>
      <c r="B325" s="6" t="s">
        <v>989</v>
      </c>
      <c r="C325" s="6" t="s">
        <v>990</v>
      </c>
      <c r="D325" s="3" t="str">
        <f t="shared" si="1"/>
        <v>AE-0324</v>
      </c>
      <c r="E325" s="3">
        <f t="array" ref="E325">IFERROR(XLOOKUP(D325,'Astronomy 101 Week 1 Quiz (Resp'!F:F,'Astronomy 101 Week 1 Quiz (Resp'!E:E),0)</f>
        <v>0</v>
      </c>
      <c r="F325" s="3" t="s">
        <v>14</v>
      </c>
      <c r="G325" s="3"/>
      <c r="H325" s="7" t="s">
        <v>991</v>
      </c>
      <c r="I325" s="6" t="s">
        <v>992</v>
      </c>
      <c r="J325" s="6" t="s">
        <v>16</v>
      </c>
      <c r="K325" s="6" t="s">
        <v>17</v>
      </c>
    </row>
    <row r="326" ht="22.5" customHeight="1">
      <c r="A326" s="5">
        <v>46171.27425804398</v>
      </c>
      <c r="B326" s="6" t="s">
        <v>993</v>
      </c>
      <c r="C326" s="6" t="s">
        <v>994</v>
      </c>
      <c r="D326" s="3" t="str">
        <f t="shared" si="1"/>
        <v>AE-0325</v>
      </c>
      <c r="E326" s="3">
        <f t="array" ref="E326">IFERROR(XLOOKUP(D326,'Astronomy 101 Week 1 Quiz (Resp'!F:F,'Astronomy 101 Week 1 Quiz (Resp'!E:E),0)</f>
        <v>0</v>
      </c>
      <c r="F326" s="3" t="s">
        <v>14</v>
      </c>
      <c r="G326" s="3"/>
      <c r="H326" s="6">
        <v>8.638251832E9</v>
      </c>
      <c r="I326" s="6" t="s">
        <v>995</v>
      </c>
      <c r="J326" s="6" t="s">
        <v>16</v>
      </c>
    </row>
    <row r="327" ht="22.5" customHeight="1">
      <c r="A327" s="5">
        <v>46171.29626074074</v>
      </c>
      <c r="B327" s="6" t="s">
        <v>996</v>
      </c>
      <c r="C327" s="6" t="s">
        <v>997</v>
      </c>
      <c r="D327" s="3" t="str">
        <f t="shared" si="1"/>
        <v>AE-0326</v>
      </c>
      <c r="E327" s="3">
        <f t="array" ref="E327">IFERROR(XLOOKUP(D327,'Astronomy 101 Week 1 Quiz (Resp'!F:F,'Astronomy 101 Week 1 Quiz (Resp'!E:E),0)</f>
        <v>0</v>
      </c>
      <c r="F327" s="3" t="s">
        <v>14</v>
      </c>
      <c r="G327" s="3"/>
      <c r="H327" s="6">
        <v>8.253066957E9</v>
      </c>
      <c r="I327" s="6" t="s">
        <v>998</v>
      </c>
      <c r="J327" s="6" t="s">
        <v>16</v>
      </c>
      <c r="K327" s="6" t="s">
        <v>25</v>
      </c>
    </row>
    <row r="328" ht="22.5" customHeight="1">
      <c r="A328" s="5">
        <v>46171.31185063657</v>
      </c>
      <c r="B328" s="6" t="s">
        <v>999</v>
      </c>
      <c r="C328" s="6" t="s">
        <v>1000</v>
      </c>
      <c r="D328" s="3" t="str">
        <f t="shared" si="1"/>
        <v>AE-0327</v>
      </c>
      <c r="E328" s="3">
        <f t="array" ref="E328">IFERROR(XLOOKUP(D328,'Astronomy 101 Week 1 Quiz (Resp'!F:F,'Astronomy 101 Week 1 Quiz (Resp'!E:E),0)</f>
        <v>40</v>
      </c>
      <c r="F328" s="3" t="s">
        <v>14</v>
      </c>
      <c r="G328" s="3"/>
      <c r="H328" s="6">
        <v>8.795579874E9</v>
      </c>
      <c r="I328" s="6" t="s">
        <v>15</v>
      </c>
      <c r="J328" s="6" t="s">
        <v>16</v>
      </c>
      <c r="K328" s="6" t="s">
        <v>21</v>
      </c>
    </row>
    <row r="329" ht="22.5" customHeight="1">
      <c r="A329" s="5">
        <v>46171.32150847222</v>
      </c>
      <c r="B329" s="6" t="s">
        <v>1001</v>
      </c>
      <c r="C329" s="6" t="s">
        <v>1002</v>
      </c>
      <c r="D329" s="3" t="str">
        <f t="shared" si="1"/>
        <v>AE-0328</v>
      </c>
      <c r="E329" s="3">
        <f t="array" ref="E329">IFERROR(XLOOKUP(D329,'Astronomy 101 Week 1 Quiz (Resp'!F:F,'Astronomy 101 Week 1 Quiz (Resp'!E:E),0)</f>
        <v>0</v>
      </c>
      <c r="F329" s="3" t="s">
        <v>14</v>
      </c>
      <c r="G329" s="3"/>
      <c r="H329" s="6">
        <v>7.240931229E9</v>
      </c>
      <c r="I329" s="6" t="s">
        <v>64</v>
      </c>
      <c r="J329" s="6" t="s">
        <v>16</v>
      </c>
      <c r="K329" s="6" t="s">
        <v>61</v>
      </c>
      <c r="L329" s="6" t="s">
        <v>1003</v>
      </c>
    </row>
    <row r="330" ht="22.5" customHeight="1">
      <c r="A330" s="5">
        <v>46171.34343951389</v>
      </c>
      <c r="B330" s="6" t="s">
        <v>1004</v>
      </c>
      <c r="C330" s="6" t="s">
        <v>1005</v>
      </c>
      <c r="D330" s="3" t="str">
        <f t="shared" si="1"/>
        <v>AE-0329</v>
      </c>
      <c r="E330" s="3">
        <f t="array" ref="E330">IFERROR(XLOOKUP(D330,'Astronomy 101 Week 1 Quiz (Resp'!F:F,'Astronomy 101 Week 1 Quiz (Resp'!E:E),0)</f>
        <v>0</v>
      </c>
      <c r="F330" s="3" t="s">
        <v>14</v>
      </c>
      <c r="G330" s="3"/>
      <c r="H330" s="6">
        <v>9.142400817E9</v>
      </c>
      <c r="I330" s="6" t="s">
        <v>15</v>
      </c>
      <c r="J330" s="6" t="s">
        <v>16</v>
      </c>
      <c r="K330" s="6" t="s">
        <v>82</v>
      </c>
      <c r="L330" s="6" t="s">
        <v>569</v>
      </c>
    </row>
    <row r="331" ht="22.5" customHeight="1">
      <c r="A331" s="5">
        <v>46171.351376238425</v>
      </c>
      <c r="B331" s="6" t="s">
        <v>1006</v>
      </c>
      <c r="C331" s="6" t="s">
        <v>1007</v>
      </c>
      <c r="D331" s="3" t="str">
        <f t="shared" si="1"/>
        <v>AE-0330</v>
      </c>
      <c r="E331" s="3">
        <f t="array" ref="E331">IFERROR(XLOOKUP(D331,'Astronomy 101 Week 1 Quiz (Resp'!F:F,'Astronomy 101 Week 1 Quiz (Resp'!E:E),0)</f>
        <v>0</v>
      </c>
      <c r="F331" s="3" t="s">
        <v>14</v>
      </c>
      <c r="G331" s="3"/>
      <c r="H331" s="7" t="s">
        <v>1008</v>
      </c>
      <c r="I331" s="6" t="s">
        <v>1009</v>
      </c>
      <c r="J331" s="6" t="s">
        <v>16</v>
      </c>
      <c r="K331" s="6" t="s">
        <v>17</v>
      </c>
      <c r="L331" s="6" t="s">
        <v>1010</v>
      </c>
    </row>
    <row r="332" ht="22.5" customHeight="1">
      <c r="A332" s="5">
        <v>46171.35353489583</v>
      </c>
      <c r="B332" s="6" t="s">
        <v>1011</v>
      </c>
      <c r="C332" s="6" t="s">
        <v>1012</v>
      </c>
      <c r="D332" s="3" t="str">
        <f t="shared" si="1"/>
        <v>AE-0331</v>
      </c>
      <c r="E332" s="3">
        <f t="array" ref="E332">IFERROR(XLOOKUP(D332,'Astronomy 101 Week 1 Quiz (Resp'!F:F,'Astronomy 101 Week 1 Quiz (Resp'!E:E),0)</f>
        <v>0</v>
      </c>
      <c r="F332" s="3" t="s">
        <v>14</v>
      </c>
      <c r="G332" s="3"/>
      <c r="H332" s="6">
        <v>9.850976091E9</v>
      </c>
      <c r="I332" s="6" t="s">
        <v>1013</v>
      </c>
      <c r="J332" s="6" t="s">
        <v>16</v>
      </c>
      <c r="K332" s="6" t="s">
        <v>61</v>
      </c>
      <c r="L332" s="6" t="s">
        <v>1014</v>
      </c>
    </row>
    <row r="333" ht="22.5" customHeight="1">
      <c r="A333" s="5">
        <v>46171.36127553241</v>
      </c>
      <c r="B333" s="6" t="s">
        <v>1015</v>
      </c>
      <c r="C333" s="6" t="s">
        <v>1016</v>
      </c>
      <c r="D333" s="3" t="str">
        <f t="shared" si="1"/>
        <v>AE-0332</v>
      </c>
      <c r="E333" s="3">
        <f t="array" ref="E333">IFERROR(XLOOKUP(D333,'Astronomy 101 Week 1 Quiz (Resp'!F:F,'Astronomy 101 Week 1 Quiz (Resp'!E:E),0)</f>
        <v>0</v>
      </c>
      <c r="F333" s="3" t="s">
        <v>14</v>
      </c>
      <c r="G333" s="3"/>
      <c r="H333" s="6">
        <v>9.765392989E9</v>
      </c>
      <c r="I333" s="6" t="s">
        <v>1017</v>
      </c>
      <c r="J333" s="6" t="s">
        <v>16</v>
      </c>
      <c r="K333" s="6" t="s">
        <v>17</v>
      </c>
    </row>
    <row r="334" ht="22.5" customHeight="1">
      <c r="A334" s="5">
        <v>46171.36377952546</v>
      </c>
      <c r="B334" s="6" t="s">
        <v>1018</v>
      </c>
      <c r="C334" s="6" t="s">
        <v>1019</v>
      </c>
      <c r="D334" s="3" t="str">
        <f t="shared" si="1"/>
        <v>AE-0333</v>
      </c>
      <c r="E334" s="3">
        <f t="array" ref="E334">IFERROR(XLOOKUP(D334,'Astronomy 101 Week 1 Quiz (Resp'!F:F,'Astronomy 101 Week 1 Quiz (Resp'!E:E),0)</f>
        <v>0</v>
      </c>
      <c r="F334" s="3" t="s">
        <v>14</v>
      </c>
      <c r="G334" s="3"/>
      <c r="H334" s="6">
        <v>8.65204704E9</v>
      </c>
      <c r="I334" s="6" t="s">
        <v>1020</v>
      </c>
      <c r="J334" s="6" t="s">
        <v>16</v>
      </c>
      <c r="K334" s="6" t="s">
        <v>43</v>
      </c>
    </row>
    <row r="335" ht="22.5" customHeight="1">
      <c r="A335" s="5">
        <v>46171.399156921296</v>
      </c>
      <c r="B335" s="6" t="s">
        <v>1021</v>
      </c>
      <c r="C335" s="6" t="s">
        <v>1022</v>
      </c>
      <c r="D335" s="3" t="str">
        <f t="shared" si="1"/>
        <v>AE-0334</v>
      </c>
      <c r="E335" s="3">
        <f t="array" ref="E335">IFERROR(XLOOKUP(D335,'Astronomy 101 Week 1 Quiz (Resp'!F:F,'Astronomy 101 Week 1 Quiz (Resp'!E:E),0)</f>
        <v>40</v>
      </c>
      <c r="F335" s="3" t="s">
        <v>14</v>
      </c>
      <c r="G335" s="3"/>
      <c r="H335" s="6">
        <v>6.37978426E9</v>
      </c>
      <c r="I335" s="6" t="s">
        <v>1023</v>
      </c>
      <c r="J335" s="6" t="s">
        <v>16</v>
      </c>
      <c r="K335" s="6" t="s">
        <v>17</v>
      </c>
    </row>
    <row r="336" ht="22.5" customHeight="1">
      <c r="A336" s="5">
        <v>46171.405628900466</v>
      </c>
      <c r="B336" s="6" t="s">
        <v>1024</v>
      </c>
      <c r="C336" s="6" t="s">
        <v>1025</v>
      </c>
      <c r="D336" s="3" t="str">
        <f t="shared" si="1"/>
        <v>AE-0335</v>
      </c>
      <c r="E336" s="3">
        <f t="array" ref="E336">IFERROR(XLOOKUP(D336,'Astronomy 101 Week 1 Quiz (Resp'!F:F,'Astronomy 101 Week 1 Quiz (Resp'!E:E),0)</f>
        <v>0</v>
      </c>
      <c r="F336" s="3" t="s">
        <v>14</v>
      </c>
      <c r="G336" s="3"/>
      <c r="H336" s="6">
        <v>8.200437572E9</v>
      </c>
      <c r="I336" s="6" t="s">
        <v>64</v>
      </c>
      <c r="J336" s="6" t="s">
        <v>16</v>
      </c>
      <c r="K336" s="6" t="s">
        <v>17</v>
      </c>
    </row>
    <row r="337" ht="22.5" customHeight="1">
      <c r="A337" s="5">
        <v>46171.4170853588</v>
      </c>
      <c r="B337" s="6" t="s">
        <v>1026</v>
      </c>
      <c r="C337" s="6" t="s">
        <v>1027</v>
      </c>
      <c r="D337" s="3" t="str">
        <f t="shared" si="1"/>
        <v>AE-0336</v>
      </c>
      <c r="E337" s="3">
        <f t="array" ref="E337">IFERROR(XLOOKUP(D337,'Astronomy 101 Week 1 Quiz (Resp'!F:F,'Astronomy 101 Week 1 Quiz (Resp'!E:E),0)</f>
        <v>0</v>
      </c>
      <c r="F337" s="3" t="s">
        <v>14</v>
      </c>
      <c r="G337" s="3"/>
      <c r="H337" s="6">
        <v>8.787538731E9</v>
      </c>
      <c r="I337" s="6" t="s">
        <v>1028</v>
      </c>
      <c r="J337" s="6" t="s">
        <v>16</v>
      </c>
      <c r="K337" s="6" t="s">
        <v>43</v>
      </c>
    </row>
    <row r="338" ht="22.5" customHeight="1">
      <c r="A338" s="5">
        <v>46171.4175659375</v>
      </c>
      <c r="B338" s="6" t="s">
        <v>1026</v>
      </c>
      <c r="C338" s="6" t="s">
        <v>1027</v>
      </c>
      <c r="D338" s="3" t="str">
        <f t="shared" si="1"/>
        <v>AE-0337</v>
      </c>
      <c r="E338" s="3">
        <f t="array" ref="E338">IFERROR(XLOOKUP(D338,'Astronomy 101 Week 1 Quiz (Resp'!F:F,'Astronomy 101 Week 1 Quiz (Resp'!E:E),0)</f>
        <v>0</v>
      </c>
      <c r="F338" s="3" t="s">
        <v>14</v>
      </c>
      <c r="G338" s="3"/>
      <c r="H338" s="6">
        <v>8.787538731E9</v>
      </c>
      <c r="I338" s="6" t="s">
        <v>1029</v>
      </c>
      <c r="J338" s="6" t="s">
        <v>16</v>
      </c>
      <c r="K338" s="6" t="s">
        <v>82</v>
      </c>
    </row>
    <row r="339" ht="22.5" customHeight="1">
      <c r="A339" s="5">
        <v>46171.427296759255</v>
      </c>
      <c r="B339" s="6" t="s">
        <v>1030</v>
      </c>
      <c r="C339" s="6" t="s">
        <v>1031</v>
      </c>
      <c r="D339" s="3" t="str">
        <f t="shared" si="1"/>
        <v>AE-0338</v>
      </c>
      <c r="E339" s="3">
        <f t="array" ref="E339">IFERROR(XLOOKUP(D339,'Astronomy 101 Week 1 Quiz (Resp'!F:F,'Astronomy 101 Week 1 Quiz (Resp'!E:E),0)</f>
        <v>0</v>
      </c>
      <c r="F339" s="3" t="s">
        <v>14</v>
      </c>
      <c r="G339" s="3"/>
      <c r="H339" s="6">
        <v>8.848627696E9</v>
      </c>
      <c r="I339" s="6" t="s">
        <v>1032</v>
      </c>
      <c r="J339" s="6" t="s">
        <v>16</v>
      </c>
      <c r="K339" s="6" t="s">
        <v>17</v>
      </c>
      <c r="L339" s="6" t="s">
        <v>1033</v>
      </c>
    </row>
    <row r="340" ht="22.5" customHeight="1">
      <c r="A340" s="5">
        <v>46171.428202442126</v>
      </c>
      <c r="B340" s="6" t="s">
        <v>1034</v>
      </c>
      <c r="C340" s="6" t="s">
        <v>1035</v>
      </c>
      <c r="D340" s="3" t="str">
        <f t="shared" si="1"/>
        <v>AE-0339</v>
      </c>
      <c r="E340" s="3">
        <f t="array" ref="E340">IFERROR(XLOOKUP(D340,'Astronomy 101 Week 1 Quiz (Resp'!F:F,'Astronomy 101 Week 1 Quiz (Resp'!E:E),0)</f>
        <v>0</v>
      </c>
      <c r="F340" s="3" t="s">
        <v>14</v>
      </c>
      <c r="G340" s="3"/>
      <c r="H340" s="6">
        <v>9.528791221E9</v>
      </c>
      <c r="I340" s="6" t="s">
        <v>153</v>
      </c>
      <c r="J340" s="6" t="s">
        <v>16</v>
      </c>
      <c r="K340" s="6" t="s">
        <v>17</v>
      </c>
      <c r="L340" s="6" t="s">
        <v>1036</v>
      </c>
    </row>
    <row r="341" ht="22.5" customHeight="1">
      <c r="A341" s="5">
        <v>46171.43566361111</v>
      </c>
      <c r="B341" s="6" t="s">
        <v>1037</v>
      </c>
      <c r="C341" s="6" t="s">
        <v>1038</v>
      </c>
      <c r="D341" s="3" t="str">
        <f t="shared" si="1"/>
        <v>AE-0340</v>
      </c>
      <c r="E341" s="3">
        <f t="array" ref="E341">IFERROR(XLOOKUP(D341,'Astronomy 101 Week 1 Quiz (Resp'!F:F,'Astronomy 101 Week 1 Quiz (Resp'!E:E),0)</f>
        <v>28</v>
      </c>
      <c r="F341" s="3" t="s">
        <v>14</v>
      </c>
      <c r="G341" s="3"/>
      <c r="H341" s="6">
        <v>9.426180706E9</v>
      </c>
      <c r="I341" s="6" t="s">
        <v>1039</v>
      </c>
      <c r="J341" s="6" t="s">
        <v>16</v>
      </c>
      <c r="K341" s="6" t="s">
        <v>17</v>
      </c>
      <c r="L341" s="6" t="s">
        <v>1040</v>
      </c>
    </row>
    <row r="342" ht="22.5" customHeight="1">
      <c r="A342" s="5">
        <v>46171.438303773146</v>
      </c>
      <c r="B342" s="6" t="s">
        <v>1041</v>
      </c>
      <c r="C342" s="6" t="s">
        <v>1042</v>
      </c>
      <c r="D342" s="3" t="str">
        <f t="shared" si="1"/>
        <v>AE-0341</v>
      </c>
      <c r="E342" s="3">
        <f t="array" ref="E342">IFERROR(XLOOKUP(D342,'Astronomy 101 Week 1 Quiz (Resp'!F:F,'Astronomy 101 Week 1 Quiz (Resp'!E:E),0)</f>
        <v>0</v>
      </c>
      <c r="F342" s="3" t="s">
        <v>14</v>
      </c>
      <c r="G342" s="3"/>
      <c r="H342" s="6">
        <v>8.763640054E9</v>
      </c>
      <c r="I342" s="6" t="s">
        <v>29</v>
      </c>
      <c r="J342" s="6" t="s">
        <v>16</v>
      </c>
      <c r="K342" s="6" t="s">
        <v>17</v>
      </c>
      <c r="L342" s="6" t="s">
        <v>1043</v>
      </c>
    </row>
    <row r="343" ht="22.5" customHeight="1">
      <c r="A343" s="5">
        <v>46171.4414346875</v>
      </c>
      <c r="B343" s="6" t="s">
        <v>1044</v>
      </c>
      <c r="C343" s="6" t="s">
        <v>1045</v>
      </c>
      <c r="D343" s="3" t="str">
        <f t="shared" si="1"/>
        <v>AE-0342</v>
      </c>
      <c r="E343" s="3">
        <f t="array" ref="E343">IFERROR(XLOOKUP(D343,'Astronomy 101 Week 1 Quiz (Resp'!F:F,'Astronomy 101 Week 1 Quiz (Resp'!E:E),0)</f>
        <v>0</v>
      </c>
      <c r="F343" s="3" t="s">
        <v>14</v>
      </c>
      <c r="G343" s="3"/>
      <c r="H343" s="6">
        <v>6.376038268E9</v>
      </c>
      <c r="I343" s="6" t="s">
        <v>15</v>
      </c>
      <c r="J343" s="6" t="s">
        <v>16</v>
      </c>
      <c r="K343" s="6" t="s">
        <v>21</v>
      </c>
    </row>
    <row r="344" ht="22.5" customHeight="1">
      <c r="A344" s="5">
        <v>46171.44198885417</v>
      </c>
      <c r="B344" s="6" t="s">
        <v>1046</v>
      </c>
      <c r="C344" s="6" t="s">
        <v>1047</v>
      </c>
      <c r="D344" s="3" t="str">
        <f t="shared" si="1"/>
        <v>AE-0343</v>
      </c>
      <c r="E344" s="3">
        <f t="array" ref="E344">IFERROR(XLOOKUP(D344,'Astronomy 101 Week 1 Quiz (Resp'!F:F,'Astronomy 101 Week 1 Quiz (Resp'!E:E),0)</f>
        <v>38</v>
      </c>
      <c r="F344" s="3" t="s">
        <v>14</v>
      </c>
      <c r="G344" s="3"/>
      <c r="H344" s="6">
        <v>9.714832557E9</v>
      </c>
      <c r="I344" s="6" t="s">
        <v>1048</v>
      </c>
      <c r="J344" s="6" t="s">
        <v>16</v>
      </c>
      <c r="K344" s="6" t="s">
        <v>21</v>
      </c>
      <c r="L344" s="6" t="s">
        <v>1049</v>
      </c>
    </row>
    <row r="345" ht="22.5" customHeight="1">
      <c r="A345" s="5">
        <v>46171.441992824075</v>
      </c>
      <c r="B345" s="6" t="s">
        <v>1050</v>
      </c>
      <c r="C345" s="6" t="s">
        <v>1051</v>
      </c>
      <c r="D345" s="3" t="str">
        <f t="shared" si="1"/>
        <v>AE-0344</v>
      </c>
      <c r="E345" s="3">
        <f t="array" ref="E345">IFERROR(XLOOKUP(D345,'Astronomy 101 Week 1 Quiz (Resp'!F:F,'Astronomy 101 Week 1 Quiz (Resp'!E:E),0)</f>
        <v>0</v>
      </c>
      <c r="F345" s="3" t="s">
        <v>14</v>
      </c>
      <c r="G345" s="3"/>
      <c r="H345" s="6">
        <v>8.291479052E9</v>
      </c>
      <c r="I345" s="6" t="s">
        <v>1052</v>
      </c>
      <c r="J345" s="6" t="s">
        <v>16</v>
      </c>
      <c r="K345" s="6" t="s">
        <v>25</v>
      </c>
    </row>
    <row r="346" ht="22.5" customHeight="1">
      <c r="A346" s="5">
        <v>46171.44512478009</v>
      </c>
      <c r="B346" s="6" t="s">
        <v>1053</v>
      </c>
      <c r="C346" s="6" t="s">
        <v>1054</v>
      </c>
      <c r="D346" s="3" t="str">
        <f t="shared" si="1"/>
        <v>AE-0345</v>
      </c>
      <c r="E346" s="3">
        <f t="array" ref="E346">IFERROR(XLOOKUP(D346,'Astronomy 101 Week 1 Quiz (Resp'!F:F,'Astronomy 101 Week 1 Quiz (Resp'!E:E),0)</f>
        <v>0</v>
      </c>
      <c r="F346" s="3" t="s">
        <v>14</v>
      </c>
      <c r="G346" s="3"/>
      <c r="H346" s="6">
        <v>8.910651531E9</v>
      </c>
      <c r="I346" s="6" t="s">
        <v>1055</v>
      </c>
      <c r="J346" s="6" t="s">
        <v>16</v>
      </c>
      <c r="K346" s="6" t="s">
        <v>21</v>
      </c>
      <c r="L346" s="6" t="s">
        <v>1056</v>
      </c>
    </row>
    <row r="347" ht="22.5" customHeight="1">
      <c r="A347" s="5">
        <v>46171.44664459491</v>
      </c>
      <c r="B347" s="6" t="s">
        <v>1057</v>
      </c>
      <c r="C347" s="6" t="s">
        <v>1058</v>
      </c>
      <c r="D347" s="3" t="str">
        <f t="shared" si="1"/>
        <v>AE-0346</v>
      </c>
      <c r="E347" s="3">
        <f t="array" ref="E347">IFERROR(XLOOKUP(D347,'Astronomy 101 Week 1 Quiz (Resp'!F:F,'Astronomy 101 Week 1 Quiz (Resp'!E:E),0)</f>
        <v>0</v>
      </c>
      <c r="F347" s="3" t="s">
        <v>14</v>
      </c>
      <c r="G347" s="3"/>
      <c r="H347" s="6">
        <v>9.344320338E9</v>
      </c>
      <c r="I347" s="6" t="s">
        <v>1059</v>
      </c>
      <c r="J347" s="6" t="s">
        <v>16</v>
      </c>
      <c r="K347" s="6" t="s">
        <v>17</v>
      </c>
    </row>
    <row r="348" ht="22.5" customHeight="1">
      <c r="A348" s="5">
        <v>46171.44800689815</v>
      </c>
      <c r="B348" s="6" t="s">
        <v>1060</v>
      </c>
      <c r="C348" s="6" t="s">
        <v>1061</v>
      </c>
      <c r="D348" s="3" t="str">
        <f t="shared" si="1"/>
        <v>AE-0347</v>
      </c>
      <c r="E348" s="3">
        <f t="array" ref="E348">IFERROR(XLOOKUP(D348,'Astronomy 101 Week 1 Quiz (Resp'!F:F,'Astronomy 101 Week 1 Quiz (Resp'!E:E),0)</f>
        <v>0</v>
      </c>
      <c r="F348" s="3" t="s">
        <v>14</v>
      </c>
      <c r="G348" s="3"/>
      <c r="H348" s="6">
        <v>9.849000293E9</v>
      </c>
      <c r="I348" s="6" t="s">
        <v>1062</v>
      </c>
      <c r="J348" s="6" t="s">
        <v>16</v>
      </c>
      <c r="K348" s="6" t="s">
        <v>17</v>
      </c>
      <c r="L348" s="6" t="s">
        <v>1063</v>
      </c>
    </row>
    <row r="349" ht="22.5" customHeight="1">
      <c r="A349" s="5">
        <v>46171.44995056713</v>
      </c>
      <c r="B349" s="6" t="s">
        <v>1064</v>
      </c>
      <c r="C349" s="6" t="s">
        <v>1065</v>
      </c>
      <c r="D349" s="3" t="str">
        <f t="shared" si="1"/>
        <v>AE-0348</v>
      </c>
      <c r="E349" s="3">
        <f t="array" ref="E349">IFERROR(XLOOKUP(D349,'Astronomy 101 Week 1 Quiz (Resp'!F:F,'Astronomy 101 Week 1 Quiz (Resp'!E:E),0)</f>
        <v>0</v>
      </c>
      <c r="F349" s="3" t="s">
        <v>14</v>
      </c>
      <c r="G349" s="3"/>
      <c r="H349" s="6">
        <v>9.712697167E9</v>
      </c>
      <c r="I349" s="6" t="s">
        <v>1066</v>
      </c>
      <c r="J349" s="6" t="s">
        <v>16</v>
      </c>
      <c r="K349" s="6" t="s">
        <v>17</v>
      </c>
      <c r="L349" s="6" t="s">
        <v>1067</v>
      </c>
    </row>
    <row r="350" ht="22.5" customHeight="1">
      <c r="A350" s="5">
        <v>46171.45018027778</v>
      </c>
      <c r="B350" s="6" t="s">
        <v>1068</v>
      </c>
      <c r="C350" s="6" t="s">
        <v>1069</v>
      </c>
      <c r="D350" s="3" t="str">
        <f t="shared" si="1"/>
        <v>AE-0349</v>
      </c>
      <c r="E350" s="3">
        <f t="array" ref="E350">IFERROR(XLOOKUP(D350,'Astronomy 101 Week 1 Quiz (Resp'!F:F,'Astronomy 101 Week 1 Quiz (Resp'!E:E),0)</f>
        <v>0</v>
      </c>
      <c r="F350" s="3" t="s">
        <v>14</v>
      </c>
      <c r="G350" s="3"/>
      <c r="H350" s="6">
        <v>9.818048632E9</v>
      </c>
      <c r="I350" s="6" t="s">
        <v>1062</v>
      </c>
      <c r="J350" s="6" t="s">
        <v>16</v>
      </c>
      <c r="K350" s="6" t="s">
        <v>61</v>
      </c>
      <c r="L350" s="6" t="s">
        <v>1070</v>
      </c>
    </row>
    <row r="351" ht="22.5" customHeight="1">
      <c r="A351" s="5">
        <v>46171.45018929398</v>
      </c>
      <c r="B351" s="6" t="s">
        <v>1071</v>
      </c>
      <c r="C351" s="6" t="s">
        <v>1072</v>
      </c>
      <c r="D351" s="3" t="str">
        <f t="shared" si="1"/>
        <v>AE-0350</v>
      </c>
      <c r="E351" s="3">
        <f t="array" ref="E351">IFERROR(XLOOKUP(D351,'Astronomy 101 Week 1 Quiz (Resp'!F:F,'Astronomy 101 Week 1 Quiz (Resp'!E:E),0)</f>
        <v>0</v>
      </c>
      <c r="F351" s="3" t="s">
        <v>14</v>
      </c>
      <c r="G351" s="3"/>
      <c r="H351" s="6">
        <v>9.027711266E9</v>
      </c>
      <c r="I351" s="6" t="s">
        <v>417</v>
      </c>
      <c r="J351" s="6" t="s">
        <v>16</v>
      </c>
      <c r="K351" s="6" t="s">
        <v>17</v>
      </c>
      <c r="L351" s="6" t="s">
        <v>1073</v>
      </c>
    </row>
    <row r="352" ht="22.5" customHeight="1">
      <c r="A352" s="5">
        <v>46171.45055466435</v>
      </c>
      <c r="B352" s="6" t="s">
        <v>1074</v>
      </c>
      <c r="C352" s="6" t="s">
        <v>1075</v>
      </c>
      <c r="D352" s="3" t="str">
        <f t="shared" si="1"/>
        <v>AE-0351</v>
      </c>
      <c r="E352" s="3">
        <f t="array" ref="E352">IFERROR(XLOOKUP(D352,'Astronomy 101 Week 1 Quiz (Resp'!F:F,'Astronomy 101 Week 1 Quiz (Resp'!E:E),0)</f>
        <v>0</v>
      </c>
      <c r="F352" s="3" t="s">
        <v>14</v>
      </c>
      <c r="G352" s="3"/>
      <c r="H352" s="6">
        <v>6.354356095E9</v>
      </c>
      <c r="I352" s="6" t="s">
        <v>1076</v>
      </c>
      <c r="J352" s="6" t="s">
        <v>16</v>
      </c>
      <c r="K352" s="6" t="s">
        <v>17</v>
      </c>
      <c r="L352" s="6" t="s">
        <v>1077</v>
      </c>
    </row>
    <row r="353" ht="22.5" customHeight="1">
      <c r="A353" s="5">
        <v>46171.45078337963</v>
      </c>
      <c r="B353" s="6" t="s">
        <v>1078</v>
      </c>
      <c r="C353" s="6" t="s">
        <v>1079</v>
      </c>
      <c r="D353" s="3" t="str">
        <f t="shared" si="1"/>
        <v>AE-0352</v>
      </c>
      <c r="E353" s="3">
        <f t="array" ref="E353">IFERROR(XLOOKUP(D353,'Astronomy 101 Week 1 Quiz (Resp'!F:F,'Astronomy 101 Week 1 Quiz (Resp'!E:E),0)</f>
        <v>0</v>
      </c>
      <c r="F353" s="3" t="s">
        <v>14</v>
      </c>
      <c r="G353" s="3"/>
      <c r="H353" s="6">
        <v>9.409637392E9</v>
      </c>
      <c r="I353" s="6" t="s">
        <v>1080</v>
      </c>
      <c r="J353" s="6" t="s">
        <v>16</v>
      </c>
      <c r="K353" s="6" t="s">
        <v>17</v>
      </c>
    </row>
    <row r="354" ht="22.5" customHeight="1">
      <c r="A354" s="5">
        <v>46171.45713285879</v>
      </c>
      <c r="B354" s="6" t="s">
        <v>1081</v>
      </c>
      <c r="C354" s="6" t="s">
        <v>1082</v>
      </c>
      <c r="D354" s="3" t="str">
        <f t="shared" si="1"/>
        <v>AE-0353</v>
      </c>
      <c r="E354" s="3">
        <f t="array" ref="E354">IFERROR(XLOOKUP(D354,'Astronomy 101 Week 1 Quiz (Resp'!F:F,'Astronomy 101 Week 1 Quiz (Resp'!E:E),0)</f>
        <v>23</v>
      </c>
      <c r="F354" s="3" t="s">
        <v>14</v>
      </c>
      <c r="G354" s="3"/>
      <c r="H354" s="6">
        <v>8.200823526E9</v>
      </c>
      <c r="I354" s="6" t="s">
        <v>1083</v>
      </c>
      <c r="J354" s="6" t="s">
        <v>16</v>
      </c>
      <c r="K354" s="6" t="s">
        <v>17</v>
      </c>
      <c r="L354" s="6" t="s">
        <v>1084</v>
      </c>
    </row>
    <row r="355" ht="22.5" customHeight="1">
      <c r="A355" s="5">
        <v>46171.45890607639</v>
      </c>
      <c r="B355" s="6" t="s">
        <v>1085</v>
      </c>
      <c r="C355" s="6" t="s">
        <v>1086</v>
      </c>
      <c r="D355" s="3" t="str">
        <f t="shared" si="1"/>
        <v>AE-0354</v>
      </c>
      <c r="E355" s="3">
        <f t="array" ref="E355">IFERROR(XLOOKUP(D355,'Astronomy 101 Week 1 Quiz (Resp'!F:F,'Astronomy 101 Week 1 Quiz (Resp'!E:E),0)</f>
        <v>0</v>
      </c>
      <c r="F355" s="3" t="s">
        <v>14</v>
      </c>
      <c r="G355" s="3"/>
      <c r="H355" s="6">
        <v>8.446571769E9</v>
      </c>
      <c r="I355" s="6" t="s">
        <v>975</v>
      </c>
      <c r="J355" s="6" t="s">
        <v>16</v>
      </c>
      <c r="K355" s="6" t="s">
        <v>82</v>
      </c>
      <c r="L355" s="6" t="s">
        <v>1087</v>
      </c>
    </row>
    <row r="356" ht="22.5" customHeight="1">
      <c r="A356" s="5">
        <v>46171.46116131944</v>
      </c>
      <c r="B356" s="6" t="s">
        <v>1088</v>
      </c>
      <c r="C356" s="6" t="s">
        <v>1089</v>
      </c>
      <c r="D356" s="3" t="str">
        <f t="shared" si="1"/>
        <v>AE-0355</v>
      </c>
      <c r="E356" s="3">
        <f t="array" ref="E356">IFERROR(XLOOKUP(D356,'Astronomy 101 Week 1 Quiz (Resp'!F:F,'Astronomy 101 Week 1 Quiz (Resp'!E:E),0)</f>
        <v>0</v>
      </c>
      <c r="F356" s="3" t="s">
        <v>14</v>
      </c>
      <c r="G356" s="3"/>
      <c r="H356" s="6">
        <v>9.096292406E9</v>
      </c>
      <c r="I356" s="6" t="s">
        <v>1090</v>
      </c>
      <c r="J356" s="6" t="s">
        <v>16</v>
      </c>
      <c r="K356" s="6" t="s">
        <v>17</v>
      </c>
    </row>
    <row r="357" ht="22.5" customHeight="1">
      <c r="A357" s="5">
        <v>46171.46251677083</v>
      </c>
      <c r="B357" s="6" t="s">
        <v>1091</v>
      </c>
      <c r="C357" s="6" t="s">
        <v>1092</v>
      </c>
      <c r="D357" s="3" t="str">
        <f t="shared" si="1"/>
        <v>AE-0356</v>
      </c>
      <c r="E357" s="3">
        <f t="array" ref="E357">IFERROR(XLOOKUP(D357,'Astronomy 101 Week 1 Quiz (Resp'!F:F,'Astronomy 101 Week 1 Quiz (Resp'!E:E),0)</f>
        <v>0</v>
      </c>
      <c r="F357" s="3" t="s">
        <v>14</v>
      </c>
      <c r="G357" s="3"/>
      <c r="H357" s="6">
        <v>7.841069631E9</v>
      </c>
      <c r="I357" s="6" t="s">
        <v>1093</v>
      </c>
      <c r="J357" s="6" t="s">
        <v>16</v>
      </c>
      <c r="K357" s="6" t="s">
        <v>21</v>
      </c>
    </row>
    <row r="358" ht="22.5" customHeight="1">
      <c r="A358" s="5">
        <v>46171.46275464121</v>
      </c>
      <c r="B358" s="6" t="s">
        <v>1094</v>
      </c>
      <c r="C358" s="6" t="s">
        <v>1095</v>
      </c>
      <c r="D358" s="3" t="str">
        <f t="shared" si="1"/>
        <v>AE-0357</v>
      </c>
      <c r="E358" s="3">
        <f t="array" ref="E358">IFERROR(XLOOKUP(D358,'Astronomy 101 Week 1 Quiz (Resp'!F:F,'Astronomy 101 Week 1 Quiz (Resp'!E:E),0)</f>
        <v>0</v>
      </c>
      <c r="F358" s="3" t="s">
        <v>14</v>
      </c>
      <c r="G358" s="3"/>
      <c r="H358" s="6">
        <v>8.169755072E9</v>
      </c>
      <c r="I358" s="6" t="s">
        <v>1096</v>
      </c>
      <c r="J358" s="6" t="s">
        <v>16</v>
      </c>
      <c r="K358" s="6" t="s">
        <v>17</v>
      </c>
    </row>
    <row r="359" ht="22.5" customHeight="1">
      <c r="A359" s="5">
        <v>46171.464878865736</v>
      </c>
      <c r="B359" s="6" t="s">
        <v>1097</v>
      </c>
      <c r="C359" s="6" t="s">
        <v>1098</v>
      </c>
      <c r="D359" s="3" t="str">
        <f t="shared" si="1"/>
        <v>AE-0358</v>
      </c>
      <c r="E359" s="3">
        <f t="array" ref="E359">IFERROR(XLOOKUP(D359,'Astronomy 101 Week 1 Quiz (Resp'!F:F,'Astronomy 101 Week 1 Quiz (Resp'!E:E),0)</f>
        <v>40</v>
      </c>
      <c r="F359" s="3" t="s">
        <v>14</v>
      </c>
      <c r="G359" s="3"/>
      <c r="H359" s="6">
        <v>7.506180076E9</v>
      </c>
      <c r="I359" s="6" t="s">
        <v>975</v>
      </c>
      <c r="J359" s="6" t="s">
        <v>16</v>
      </c>
      <c r="K359" s="6" t="s">
        <v>17</v>
      </c>
    </row>
    <row r="360" ht="22.5" customHeight="1">
      <c r="A360" s="5">
        <v>46171.465242465274</v>
      </c>
      <c r="B360" s="6" t="s">
        <v>1099</v>
      </c>
      <c r="C360" s="6" t="s">
        <v>1100</v>
      </c>
      <c r="D360" s="3" t="str">
        <f t="shared" si="1"/>
        <v>AE-0359</v>
      </c>
      <c r="E360" s="3">
        <f t="array" ref="E360">IFERROR(XLOOKUP(D360,'Astronomy 101 Week 1 Quiz (Resp'!F:F,'Astronomy 101 Week 1 Quiz (Resp'!E:E),0)</f>
        <v>0</v>
      </c>
      <c r="F360" s="3" t="s">
        <v>14</v>
      </c>
      <c r="G360" s="3"/>
      <c r="H360" s="6">
        <v>9.727235941E9</v>
      </c>
      <c r="I360" s="6" t="s">
        <v>1101</v>
      </c>
      <c r="J360" s="6" t="s">
        <v>16</v>
      </c>
      <c r="K360" s="6" t="s">
        <v>82</v>
      </c>
    </row>
    <row r="361" ht="22.5" customHeight="1">
      <c r="A361" s="5">
        <v>46171.46597585648</v>
      </c>
      <c r="B361" s="6" t="s">
        <v>1102</v>
      </c>
      <c r="C361" s="6" t="s">
        <v>1103</v>
      </c>
      <c r="D361" s="3" t="str">
        <f t="shared" si="1"/>
        <v>AE-0360</v>
      </c>
      <c r="E361" s="3">
        <f t="array" ref="E361">IFERROR(XLOOKUP(D361,'Astronomy 101 Week 1 Quiz (Resp'!F:F,'Astronomy 101 Week 1 Quiz (Resp'!E:E),0)</f>
        <v>0</v>
      </c>
      <c r="F361" s="3" t="s">
        <v>14</v>
      </c>
      <c r="G361" s="3"/>
      <c r="H361" s="6">
        <v>9.423126273E9</v>
      </c>
      <c r="I361" s="6" t="s">
        <v>1104</v>
      </c>
      <c r="J361" s="6" t="s">
        <v>16</v>
      </c>
      <c r="K361" s="6" t="s">
        <v>17</v>
      </c>
    </row>
    <row r="362" ht="22.5" customHeight="1">
      <c r="A362" s="5">
        <v>46171.46600173611</v>
      </c>
      <c r="B362" s="6" t="s">
        <v>1105</v>
      </c>
      <c r="C362" s="6" t="s">
        <v>1106</v>
      </c>
      <c r="D362" s="3" t="str">
        <f t="shared" si="1"/>
        <v>AE-0361</v>
      </c>
      <c r="E362" s="3">
        <f t="array" ref="E362">IFERROR(XLOOKUP(D362,'Astronomy 101 Week 1 Quiz (Resp'!F:F,'Astronomy 101 Week 1 Quiz (Resp'!E:E),0)</f>
        <v>0</v>
      </c>
      <c r="F362" s="3" t="s">
        <v>14</v>
      </c>
      <c r="G362" s="3"/>
      <c r="H362" s="6">
        <v>9.243434899E9</v>
      </c>
      <c r="I362" s="6" t="s">
        <v>1080</v>
      </c>
      <c r="J362" s="6" t="s">
        <v>16</v>
      </c>
      <c r="K362" s="6" t="s">
        <v>61</v>
      </c>
      <c r="L362" s="6" t="s">
        <v>1107</v>
      </c>
    </row>
    <row r="363" ht="22.5" customHeight="1">
      <c r="A363" s="5">
        <v>46171.4668706713</v>
      </c>
      <c r="B363" s="6" t="s">
        <v>1108</v>
      </c>
      <c r="C363" s="6" t="s">
        <v>1109</v>
      </c>
      <c r="D363" s="3" t="str">
        <f t="shared" si="1"/>
        <v>AE-0362</v>
      </c>
      <c r="E363" s="3">
        <f t="array" ref="E363">IFERROR(XLOOKUP(D363,'Astronomy 101 Week 1 Quiz (Resp'!F:F,'Astronomy 101 Week 1 Quiz (Resp'!E:E),0)</f>
        <v>37</v>
      </c>
      <c r="F363" s="3" t="s">
        <v>14</v>
      </c>
      <c r="G363" s="3"/>
      <c r="H363" s="6">
        <v>9.209373328E9</v>
      </c>
      <c r="I363" s="6" t="s">
        <v>975</v>
      </c>
      <c r="J363" s="6" t="s">
        <v>16</v>
      </c>
      <c r="K363" s="6" t="s">
        <v>17</v>
      </c>
      <c r="L363" s="6" t="s">
        <v>1110</v>
      </c>
    </row>
    <row r="364" ht="22.5" customHeight="1">
      <c r="A364" s="5">
        <v>46171.46736202546</v>
      </c>
      <c r="B364" s="6" t="s">
        <v>1111</v>
      </c>
      <c r="C364" s="6" t="s">
        <v>1112</v>
      </c>
      <c r="D364" s="3" t="str">
        <f t="shared" si="1"/>
        <v>AE-0363</v>
      </c>
      <c r="E364" s="3">
        <f t="array" ref="E364">IFERROR(XLOOKUP(D364,'Astronomy 101 Week 1 Quiz (Resp'!F:F,'Astronomy 101 Week 1 Quiz (Resp'!E:E),0)</f>
        <v>0</v>
      </c>
      <c r="F364" s="3" t="s">
        <v>14</v>
      </c>
      <c r="G364" s="3"/>
      <c r="H364" s="6">
        <v>7.005747105E9</v>
      </c>
      <c r="I364" s="6" t="s">
        <v>1113</v>
      </c>
      <c r="J364" s="6" t="s">
        <v>16</v>
      </c>
      <c r="K364" s="6" t="s">
        <v>17</v>
      </c>
    </row>
    <row r="365" ht="22.5" customHeight="1">
      <c r="A365" s="5">
        <v>46171.467800185186</v>
      </c>
      <c r="B365" s="6" t="s">
        <v>1114</v>
      </c>
      <c r="C365" s="6" t="s">
        <v>1115</v>
      </c>
      <c r="D365" s="3" t="str">
        <f t="shared" si="1"/>
        <v>AE-0364</v>
      </c>
      <c r="E365" s="3">
        <f t="array" ref="E365">IFERROR(XLOOKUP(D365,'Astronomy 101 Week 1 Quiz (Resp'!F:F,'Astronomy 101 Week 1 Quiz (Resp'!E:E),0)</f>
        <v>41</v>
      </c>
      <c r="F365" s="3" t="s">
        <v>14</v>
      </c>
      <c r="G365" s="3"/>
      <c r="H365" s="6">
        <v>9.326761061E9</v>
      </c>
      <c r="I365" s="6" t="s">
        <v>1116</v>
      </c>
      <c r="J365" s="6" t="s">
        <v>16</v>
      </c>
      <c r="K365" s="6" t="s">
        <v>17</v>
      </c>
      <c r="L365" s="6" t="s">
        <v>1117</v>
      </c>
    </row>
    <row r="366" ht="22.5" customHeight="1">
      <c r="A366" s="5">
        <v>46171.4683524537</v>
      </c>
      <c r="B366" s="6" t="s">
        <v>1118</v>
      </c>
      <c r="C366" s="6" t="s">
        <v>1119</v>
      </c>
      <c r="D366" s="3" t="str">
        <f t="shared" si="1"/>
        <v>AE-0365</v>
      </c>
      <c r="E366" s="3">
        <f t="array" ref="E366">IFERROR(XLOOKUP(D366,'Astronomy 101 Week 1 Quiz (Resp'!F:F,'Astronomy 101 Week 1 Quiz (Resp'!E:E),0)</f>
        <v>0</v>
      </c>
      <c r="F366" s="3" t="s">
        <v>14</v>
      </c>
      <c r="G366" s="3"/>
      <c r="H366" s="6">
        <v>9.657260906E9</v>
      </c>
      <c r="I366" s="6" t="s">
        <v>1120</v>
      </c>
      <c r="J366" s="6" t="s">
        <v>16</v>
      </c>
      <c r="K366" s="6" t="s">
        <v>25</v>
      </c>
    </row>
    <row r="367" ht="22.5" customHeight="1">
      <c r="A367" s="5">
        <v>46171.46871695602</v>
      </c>
      <c r="B367" s="6" t="s">
        <v>1121</v>
      </c>
      <c r="C367" s="6" t="s">
        <v>1122</v>
      </c>
      <c r="D367" s="3" t="str">
        <f t="shared" si="1"/>
        <v>AE-0366</v>
      </c>
      <c r="E367" s="3">
        <f t="array" ref="E367">IFERROR(XLOOKUP(D367,'Astronomy 101 Week 1 Quiz (Resp'!F:F,'Astronomy 101 Week 1 Quiz (Resp'!E:E),0)</f>
        <v>42</v>
      </c>
      <c r="F367" s="3" t="s">
        <v>14</v>
      </c>
      <c r="G367" s="3"/>
      <c r="H367" s="6">
        <v>7.041950797E9</v>
      </c>
      <c r="I367" s="6" t="s">
        <v>1123</v>
      </c>
      <c r="J367" s="6" t="s">
        <v>16</v>
      </c>
      <c r="K367" s="6" t="s">
        <v>47</v>
      </c>
      <c r="L367" s="6" t="s">
        <v>1124</v>
      </c>
    </row>
    <row r="368" ht="22.5" customHeight="1">
      <c r="A368" s="5">
        <v>46171.46920611111</v>
      </c>
      <c r="B368" s="6" t="s">
        <v>1125</v>
      </c>
      <c r="C368" s="6" t="s">
        <v>1126</v>
      </c>
      <c r="D368" s="3" t="str">
        <f t="shared" si="1"/>
        <v>AE-0367</v>
      </c>
      <c r="E368" s="3">
        <f t="array" ref="E368">IFERROR(XLOOKUP(D368,'Astronomy 101 Week 1 Quiz (Resp'!F:F,'Astronomy 101 Week 1 Quiz (Resp'!E:E),0)</f>
        <v>0</v>
      </c>
      <c r="F368" s="3" t="s">
        <v>14</v>
      </c>
      <c r="G368" s="3"/>
      <c r="H368" s="6">
        <v>7.774078888E9</v>
      </c>
      <c r="I368" s="6" t="s">
        <v>975</v>
      </c>
      <c r="J368" s="6" t="s">
        <v>16</v>
      </c>
      <c r="K368" s="6" t="s">
        <v>82</v>
      </c>
    </row>
    <row r="369" ht="22.5" customHeight="1">
      <c r="A369" s="5">
        <v>46171.469461863424</v>
      </c>
      <c r="B369" s="6" t="s">
        <v>1127</v>
      </c>
      <c r="C369" s="6" t="s">
        <v>1128</v>
      </c>
      <c r="D369" s="3" t="str">
        <f t="shared" si="1"/>
        <v>AE-0368</v>
      </c>
      <c r="E369" s="3">
        <f t="array" ref="E369">IFERROR(XLOOKUP(D369,'Astronomy 101 Week 1 Quiz (Resp'!F:F,'Astronomy 101 Week 1 Quiz (Resp'!E:E),0)</f>
        <v>39</v>
      </c>
      <c r="F369" s="3" t="s">
        <v>14</v>
      </c>
      <c r="G369" s="3"/>
      <c r="H369" s="6">
        <v>7.803916516E9</v>
      </c>
      <c r="I369" s="6" t="s">
        <v>1129</v>
      </c>
      <c r="J369" s="6" t="s">
        <v>16</v>
      </c>
      <c r="K369" s="6" t="s">
        <v>17</v>
      </c>
      <c r="L369" s="6" t="s">
        <v>1130</v>
      </c>
    </row>
    <row r="370" ht="22.5" customHeight="1">
      <c r="A370" s="5">
        <v>46171.47145174768</v>
      </c>
      <c r="B370" s="6" t="s">
        <v>1131</v>
      </c>
      <c r="C370" s="6" t="s">
        <v>1132</v>
      </c>
      <c r="D370" s="3" t="str">
        <f t="shared" si="1"/>
        <v>AE-0369</v>
      </c>
      <c r="E370" s="3">
        <f t="array" ref="E370">IFERROR(XLOOKUP(D370,'Astronomy 101 Week 1 Quiz (Resp'!F:F,'Astronomy 101 Week 1 Quiz (Resp'!E:E),0)</f>
        <v>30</v>
      </c>
      <c r="F370" s="3" t="s">
        <v>14</v>
      </c>
      <c r="G370" s="3"/>
      <c r="H370" s="6">
        <v>9.960695219E9</v>
      </c>
      <c r="I370" s="6" t="s">
        <v>1113</v>
      </c>
      <c r="J370" s="6" t="s">
        <v>16</v>
      </c>
      <c r="K370" s="6" t="s">
        <v>17</v>
      </c>
      <c r="L370" s="6" t="s">
        <v>1133</v>
      </c>
    </row>
    <row r="371" ht="22.5" customHeight="1">
      <c r="A371" s="5">
        <v>46171.47229173611</v>
      </c>
      <c r="B371" s="6" t="s">
        <v>1134</v>
      </c>
      <c r="C371" s="6" t="s">
        <v>1135</v>
      </c>
      <c r="D371" s="3" t="str">
        <f t="shared" si="1"/>
        <v>AE-0370</v>
      </c>
      <c r="E371" s="3">
        <f t="array" ref="E371">IFERROR(XLOOKUP(D371,'Astronomy 101 Week 1 Quiz (Resp'!F:F,'Astronomy 101 Week 1 Quiz (Resp'!E:E),0)</f>
        <v>0</v>
      </c>
      <c r="F371" s="3" t="s">
        <v>14</v>
      </c>
      <c r="G371" s="3"/>
      <c r="H371" s="6">
        <v>9.313092223E9</v>
      </c>
      <c r="I371" s="6" t="s">
        <v>1059</v>
      </c>
      <c r="J371" s="6" t="s">
        <v>16</v>
      </c>
      <c r="K371" s="6" t="s">
        <v>61</v>
      </c>
      <c r="L371" s="6" t="s">
        <v>1136</v>
      </c>
    </row>
    <row r="372" ht="22.5" customHeight="1">
      <c r="A372" s="5">
        <v>46171.472660266205</v>
      </c>
      <c r="B372" s="6" t="s">
        <v>1137</v>
      </c>
      <c r="C372" s="6" t="s">
        <v>1138</v>
      </c>
      <c r="D372" s="3" t="str">
        <f t="shared" si="1"/>
        <v>AE-0371</v>
      </c>
      <c r="E372" s="3">
        <f t="array" ref="E372">IFERROR(XLOOKUP(D372,'Astronomy 101 Week 1 Quiz (Resp'!F:F,'Astronomy 101 Week 1 Quiz (Resp'!E:E),0)</f>
        <v>0</v>
      </c>
      <c r="F372" s="3" t="s">
        <v>14</v>
      </c>
      <c r="G372" s="3"/>
      <c r="H372" s="6">
        <v>9.146643781E9</v>
      </c>
      <c r="I372" s="6" t="s">
        <v>1139</v>
      </c>
      <c r="J372" s="6" t="s">
        <v>16</v>
      </c>
      <c r="K372" s="6" t="s">
        <v>17</v>
      </c>
    </row>
    <row r="373" ht="22.5" customHeight="1">
      <c r="A373" s="5">
        <v>46171.47346333333</v>
      </c>
      <c r="B373" s="6" t="s">
        <v>1140</v>
      </c>
      <c r="C373" s="6" t="s">
        <v>1141</v>
      </c>
      <c r="D373" s="3" t="str">
        <f t="shared" si="1"/>
        <v>AE-0372</v>
      </c>
      <c r="E373" s="3">
        <f t="array" ref="E373">IFERROR(XLOOKUP(D373,'Astronomy 101 Week 1 Quiz (Resp'!F:F,'Astronomy 101 Week 1 Quiz (Resp'!E:E),0)</f>
        <v>39</v>
      </c>
      <c r="F373" s="3" t="s">
        <v>14</v>
      </c>
      <c r="G373" s="3"/>
      <c r="H373" s="6">
        <v>6.352160242E9</v>
      </c>
      <c r="I373" s="6" t="s">
        <v>1055</v>
      </c>
      <c r="J373" s="6" t="s">
        <v>16</v>
      </c>
      <c r="K373" s="6" t="s">
        <v>17</v>
      </c>
      <c r="L373" s="6" t="s">
        <v>1142</v>
      </c>
    </row>
    <row r="374" ht="22.5" customHeight="1">
      <c r="A374" s="5">
        <v>46171.474074247686</v>
      </c>
      <c r="B374" s="6" t="s">
        <v>1143</v>
      </c>
      <c r="C374" s="6" t="s">
        <v>1144</v>
      </c>
      <c r="D374" s="3" t="str">
        <f t="shared" si="1"/>
        <v>AE-0373</v>
      </c>
      <c r="E374" s="3">
        <f t="array" ref="E374">IFERROR(XLOOKUP(D374,'Astronomy 101 Week 1 Quiz (Resp'!F:F,'Astronomy 101 Week 1 Quiz (Resp'!E:E),0)</f>
        <v>0</v>
      </c>
      <c r="F374" s="3" t="s">
        <v>14</v>
      </c>
      <c r="G374" s="3"/>
      <c r="H374" s="6">
        <v>7.398419081E9</v>
      </c>
      <c r="I374" s="6" t="s">
        <v>29</v>
      </c>
      <c r="J374" s="6" t="s">
        <v>16</v>
      </c>
      <c r="K374" s="6" t="s">
        <v>61</v>
      </c>
      <c r="L374" s="6" t="s">
        <v>1145</v>
      </c>
    </row>
    <row r="375" ht="22.5" customHeight="1">
      <c r="A375" s="5">
        <v>46171.47934302084</v>
      </c>
      <c r="B375" s="6" t="s">
        <v>1146</v>
      </c>
      <c r="C375" s="6" t="s">
        <v>1147</v>
      </c>
      <c r="D375" s="3" t="str">
        <f t="shared" si="1"/>
        <v>AE-0374</v>
      </c>
      <c r="E375" s="3">
        <f t="array" ref="E375">IFERROR(XLOOKUP(D375,'Astronomy 101 Week 1 Quiz (Resp'!F:F,'Astronomy 101 Week 1 Quiz (Resp'!E:E),0)</f>
        <v>0</v>
      </c>
      <c r="F375" s="3" t="s">
        <v>14</v>
      </c>
      <c r="G375" s="3"/>
      <c r="H375" s="6">
        <v>9.923200842E9</v>
      </c>
      <c r="I375" s="6" t="s">
        <v>975</v>
      </c>
      <c r="J375" s="6" t="s">
        <v>16</v>
      </c>
      <c r="K375" s="6" t="s">
        <v>25</v>
      </c>
      <c r="L375" s="6" t="s">
        <v>1148</v>
      </c>
    </row>
    <row r="376" ht="22.5" customHeight="1">
      <c r="A376" s="5">
        <v>46171.48081828703</v>
      </c>
      <c r="B376" s="6" t="s">
        <v>1149</v>
      </c>
      <c r="C376" s="6" t="s">
        <v>1150</v>
      </c>
      <c r="D376" s="3" t="str">
        <f t="shared" si="1"/>
        <v>AE-0375</v>
      </c>
      <c r="E376" s="3">
        <f t="array" ref="E376">IFERROR(XLOOKUP(D376,'Astronomy 101 Week 1 Quiz (Resp'!F:F,'Astronomy 101 Week 1 Quiz (Resp'!E:E),0)</f>
        <v>0</v>
      </c>
      <c r="F376" s="3" t="s">
        <v>14</v>
      </c>
      <c r="G376" s="3"/>
      <c r="H376" s="6">
        <v>7.276160582E9</v>
      </c>
      <c r="I376" s="6" t="s">
        <v>1151</v>
      </c>
      <c r="J376" s="6" t="s">
        <v>16</v>
      </c>
      <c r="K376" s="6" t="s">
        <v>17</v>
      </c>
      <c r="L376" s="6" t="s">
        <v>1152</v>
      </c>
    </row>
    <row r="377" ht="22.5" customHeight="1">
      <c r="A377" s="5">
        <v>46171.4834790162</v>
      </c>
      <c r="B377" s="6" t="s">
        <v>1153</v>
      </c>
      <c r="C377" s="6" t="s">
        <v>1154</v>
      </c>
      <c r="D377" s="3" t="str">
        <f t="shared" si="1"/>
        <v>AE-0376</v>
      </c>
      <c r="E377" s="3">
        <f t="array" ref="E377">IFERROR(XLOOKUP(D377,'Astronomy 101 Week 1 Quiz (Resp'!F:F,'Astronomy 101 Week 1 Quiz (Resp'!E:E),0)</f>
        <v>0</v>
      </c>
      <c r="F377" s="3" t="s">
        <v>14</v>
      </c>
      <c r="G377" s="3"/>
      <c r="H377" s="6">
        <v>7.666529054E9</v>
      </c>
      <c r="I377" s="6" t="s">
        <v>1120</v>
      </c>
      <c r="J377" s="6" t="s">
        <v>16</v>
      </c>
      <c r="K377" s="6" t="s">
        <v>61</v>
      </c>
      <c r="L377" s="6" t="s">
        <v>1155</v>
      </c>
    </row>
    <row r="378" ht="22.5" customHeight="1">
      <c r="A378" s="5">
        <v>46171.48396428241</v>
      </c>
      <c r="B378" s="6" t="s">
        <v>1156</v>
      </c>
      <c r="C378" s="6" t="s">
        <v>1157</v>
      </c>
      <c r="D378" s="3" t="str">
        <f t="shared" si="1"/>
        <v>AE-0377</v>
      </c>
      <c r="E378" s="3">
        <f t="array" ref="E378">IFERROR(XLOOKUP(D378,'Astronomy 101 Week 1 Quiz (Resp'!F:F,'Astronomy 101 Week 1 Quiz (Resp'!E:E),0)</f>
        <v>43</v>
      </c>
      <c r="F378" s="3" t="s">
        <v>14</v>
      </c>
      <c r="G378" s="3"/>
      <c r="H378" s="6">
        <v>9.818897809E9</v>
      </c>
      <c r="I378" s="6" t="s">
        <v>1158</v>
      </c>
      <c r="J378" s="6" t="s">
        <v>16</v>
      </c>
      <c r="K378" s="6" t="s">
        <v>17</v>
      </c>
      <c r="L378" s="6" t="s">
        <v>1159</v>
      </c>
    </row>
    <row r="379" ht="22.5" customHeight="1">
      <c r="A379" s="5">
        <v>46171.48528871528</v>
      </c>
      <c r="B379" s="6" t="s">
        <v>1160</v>
      </c>
      <c r="C379" s="6" t="s">
        <v>1161</v>
      </c>
      <c r="D379" s="3" t="str">
        <f t="shared" si="1"/>
        <v>AE-0378</v>
      </c>
      <c r="E379" s="3">
        <f t="array" ref="E379">IFERROR(XLOOKUP(D379,'Astronomy 101 Week 1 Quiz (Resp'!F:F,'Astronomy 101 Week 1 Quiz (Resp'!E:E),0)</f>
        <v>0</v>
      </c>
      <c r="F379" s="3" t="s">
        <v>14</v>
      </c>
      <c r="G379" s="3"/>
      <c r="H379" s="6">
        <v>7.498964528E9</v>
      </c>
      <c r="I379" s="6" t="s">
        <v>1090</v>
      </c>
      <c r="J379" s="6" t="s">
        <v>16</v>
      </c>
      <c r="K379" s="6" t="s">
        <v>43</v>
      </c>
      <c r="L379" s="6" t="s">
        <v>1162</v>
      </c>
    </row>
    <row r="380" ht="22.5" customHeight="1">
      <c r="A380" s="5">
        <v>46171.48536157407</v>
      </c>
      <c r="B380" s="6" t="s">
        <v>1163</v>
      </c>
      <c r="C380" s="6" t="s">
        <v>1164</v>
      </c>
      <c r="D380" s="3" t="str">
        <f t="shared" si="1"/>
        <v>AE-0379</v>
      </c>
      <c r="E380" s="3">
        <f t="array" ref="E380">IFERROR(XLOOKUP(D380,'Astronomy 101 Week 1 Quiz (Resp'!F:F,'Astronomy 101 Week 1 Quiz (Resp'!E:E),0)</f>
        <v>0</v>
      </c>
      <c r="F380" s="3" t="s">
        <v>14</v>
      </c>
      <c r="G380" s="3"/>
      <c r="H380" s="6">
        <v>8.179098769E9</v>
      </c>
      <c r="I380" s="6" t="s">
        <v>1080</v>
      </c>
      <c r="J380" s="6" t="s">
        <v>16</v>
      </c>
      <c r="K380" s="6" t="s">
        <v>17</v>
      </c>
      <c r="L380" s="6" t="s">
        <v>1165</v>
      </c>
    </row>
    <row r="381" ht="22.5" customHeight="1">
      <c r="A381" s="5">
        <v>46171.48776732638</v>
      </c>
      <c r="B381" s="6" t="s">
        <v>1163</v>
      </c>
      <c r="C381" s="6" t="s">
        <v>1164</v>
      </c>
      <c r="D381" s="3" t="str">
        <f t="shared" si="1"/>
        <v>AE-0380</v>
      </c>
      <c r="E381" s="3">
        <f t="array" ref="E381">IFERROR(XLOOKUP(D381,'Astronomy 101 Week 1 Quiz (Resp'!F:F,'Astronomy 101 Week 1 Quiz (Resp'!E:E),0)</f>
        <v>45</v>
      </c>
      <c r="F381" s="3" t="s">
        <v>14</v>
      </c>
      <c r="G381" s="3"/>
      <c r="H381" s="6">
        <v>8.179098769E9</v>
      </c>
      <c r="I381" s="6" t="s">
        <v>1080</v>
      </c>
      <c r="J381" s="6" t="s">
        <v>16</v>
      </c>
      <c r="K381" s="6" t="s">
        <v>17</v>
      </c>
      <c r="L381" s="6" t="s">
        <v>1165</v>
      </c>
    </row>
    <row r="382" ht="22.5" customHeight="1">
      <c r="A382" s="5">
        <v>46171.492721215276</v>
      </c>
      <c r="B382" s="6" t="s">
        <v>1166</v>
      </c>
      <c r="C382" s="6" t="s">
        <v>1167</v>
      </c>
      <c r="D382" s="3" t="str">
        <f t="shared" si="1"/>
        <v>AE-0381</v>
      </c>
      <c r="E382" s="3">
        <f t="array" ref="E382">IFERROR(XLOOKUP(D382,'Astronomy 101 Week 1 Quiz (Resp'!F:F,'Astronomy 101 Week 1 Quiz (Resp'!E:E),0)</f>
        <v>0</v>
      </c>
      <c r="F382" s="3" t="s">
        <v>14</v>
      </c>
      <c r="G382" s="3"/>
      <c r="H382" s="6">
        <v>8.830013415E9</v>
      </c>
      <c r="I382" s="6" t="s">
        <v>1168</v>
      </c>
      <c r="J382" s="6" t="s">
        <v>16</v>
      </c>
      <c r="K382" s="6" t="s">
        <v>17</v>
      </c>
      <c r="L382" s="6" t="s">
        <v>1169</v>
      </c>
    </row>
    <row r="383" ht="22.5" customHeight="1">
      <c r="A383" s="5">
        <v>46171.495498738426</v>
      </c>
      <c r="B383" s="6" t="s">
        <v>1170</v>
      </c>
      <c r="C383" s="6" t="s">
        <v>1171</v>
      </c>
      <c r="D383" s="3" t="str">
        <f t="shared" si="1"/>
        <v>AE-0382</v>
      </c>
      <c r="E383" s="3">
        <f t="array" ref="E383">IFERROR(XLOOKUP(D383,'Astronomy 101 Week 1 Quiz (Resp'!F:F,'Astronomy 101 Week 1 Quiz (Resp'!E:E),0)</f>
        <v>0</v>
      </c>
      <c r="F383" s="3" t="s">
        <v>14</v>
      </c>
      <c r="G383" s="3"/>
      <c r="H383" s="6">
        <v>7.383507421E9</v>
      </c>
      <c r="I383" s="6" t="s">
        <v>1104</v>
      </c>
      <c r="J383" s="6" t="s">
        <v>16</v>
      </c>
      <c r="K383" s="6" t="s">
        <v>17</v>
      </c>
      <c r="L383" s="6" t="s">
        <v>1172</v>
      </c>
    </row>
    <row r="384" ht="22.5" customHeight="1">
      <c r="A384" s="5">
        <v>46171.49602173611</v>
      </c>
      <c r="B384" s="6" t="s">
        <v>1173</v>
      </c>
      <c r="C384" s="6" t="s">
        <v>1174</v>
      </c>
      <c r="D384" s="3" t="str">
        <f t="shared" si="1"/>
        <v>AE-0383</v>
      </c>
      <c r="E384" s="3">
        <f t="array" ref="E384">IFERROR(XLOOKUP(D384,'Astronomy 101 Week 1 Quiz (Resp'!F:F,'Astronomy 101 Week 1 Quiz (Resp'!E:E),0)</f>
        <v>0</v>
      </c>
      <c r="F384" s="3" t="s">
        <v>14</v>
      </c>
      <c r="G384" s="3"/>
      <c r="H384" s="6">
        <v>8.901916303E9</v>
      </c>
      <c r="I384" s="6" t="s">
        <v>1175</v>
      </c>
      <c r="J384" s="6" t="s">
        <v>16</v>
      </c>
      <c r="K384" s="6" t="s">
        <v>82</v>
      </c>
      <c r="L384" s="6" t="s">
        <v>1176</v>
      </c>
    </row>
    <row r="385" ht="22.5" customHeight="1">
      <c r="A385" s="5">
        <v>46171.499406030096</v>
      </c>
      <c r="B385" s="6" t="s">
        <v>1177</v>
      </c>
      <c r="C385" s="6" t="s">
        <v>1178</v>
      </c>
      <c r="D385" s="3" t="str">
        <f t="shared" si="1"/>
        <v>AE-0384</v>
      </c>
      <c r="E385" s="3">
        <f t="array" ref="E385">IFERROR(XLOOKUP(D385,'Astronomy 101 Week 1 Quiz (Resp'!F:F,'Astronomy 101 Week 1 Quiz (Resp'!E:E),0)</f>
        <v>0</v>
      </c>
      <c r="F385" s="3" t="s">
        <v>14</v>
      </c>
      <c r="G385" s="3"/>
      <c r="H385" s="6">
        <v>7.099137051E9</v>
      </c>
      <c r="I385" s="6" t="s">
        <v>1179</v>
      </c>
      <c r="J385" s="6" t="s">
        <v>16</v>
      </c>
      <c r="K385" s="6" t="s">
        <v>17</v>
      </c>
      <c r="L385" s="6" t="s">
        <v>1180</v>
      </c>
    </row>
    <row r="386" ht="22.5" customHeight="1">
      <c r="A386" s="5">
        <v>46171.49995787037</v>
      </c>
      <c r="B386" s="6" t="s">
        <v>1181</v>
      </c>
      <c r="C386" s="6" t="s">
        <v>1182</v>
      </c>
      <c r="D386" s="3" t="str">
        <f t="shared" si="1"/>
        <v>AE-0385</v>
      </c>
      <c r="E386" s="3">
        <f t="array" ref="E386">IFERROR(XLOOKUP(D386,'Astronomy 101 Week 1 Quiz (Resp'!F:F,'Astronomy 101 Week 1 Quiz (Resp'!E:E),0)</f>
        <v>35</v>
      </c>
      <c r="F386" s="3" t="s">
        <v>14</v>
      </c>
      <c r="G386" s="3"/>
      <c r="H386" s="6">
        <v>8.413972509E9</v>
      </c>
      <c r="I386" s="6" t="s">
        <v>1179</v>
      </c>
      <c r="J386" s="6" t="s">
        <v>16</v>
      </c>
      <c r="K386" s="6" t="s">
        <v>82</v>
      </c>
      <c r="L386" s="6" t="s">
        <v>1183</v>
      </c>
    </row>
    <row r="387" ht="22.5" customHeight="1">
      <c r="A387" s="5">
        <v>46171.50108616898</v>
      </c>
      <c r="B387" s="6" t="s">
        <v>1184</v>
      </c>
      <c r="C387" s="6" t="s">
        <v>1185</v>
      </c>
      <c r="D387" s="3" t="str">
        <f t="shared" si="1"/>
        <v>AE-0386</v>
      </c>
      <c r="E387" s="3">
        <f t="array" ref="E387">IFERROR(XLOOKUP(D387,'Astronomy 101 Week 1 Quiz (Resp'!F:F,'Astronomy 101 Week 1 Quiz (Resp'!E:E),0)</f>
        <v>0</v>
      </c>
      <c r="F387" s="3" t="s">
        <v>14</v>
      </c>
      <c r="G387" s="3"/>
      <c r="H387" s="6">
        <v>8.881964351E9</v>
      </c>
      <c r="I387" s="6" t="s">
        <v>676</v>
      </c>
      <c r="J387" s="6" t="s">
        <v>16</v>
      </c>
      <c r="K387" s="6" t="s">
        <v>17</v>
      </c>
      <c r="L387" s="6" t="s">
        <v>1186</v>
      </c>
    </row>
    <row r="388" ht="22.5" customHeight="1">
      <c r="A388" s="5">
        <v>46171.501500150465</v>
      </c>
      <c r="B388" s="6" t="s">
        <v>1187</v>
      </c>
      <c r="C388" s="6" t="s">
        <v>1188</v>
      </c>
      <c r="D388" s="3" t="str">
        <f t="shared" si="1"/>
        <v>AE-0387</v>
      </c>
      <c r="E388" s="3">
        <f t="array" ref="E388">IFERROR(XLOOKUP(D388,'Astronomy 101 Week 1 Quiz (Resp'!F:F,'Astronomy 101 Week 1 Quiz (Resp'!E:E),0)</f>
        <v>0</v>
      </c>
      <c r="F388" s="3" t="s">
        <v>14</v>
      </c>
      <c r="G388" s="3"/>
      <c r="H388" s="6">
        <v>8.431797279E9</v>
      </c>
      <c r="I388" s="6" t="s">
        <v>1080</v>
      </c>
      <c r="J388" s="6" t="s">
        <v>16</v>
      </c>
      <c r="K388" s="6" t="s">
        <v>47</v>
      </c>
      <c r="L388" s="6" t="s">
        <v>1189</v>
      </c>
    </row>
    <row r="389" ht="22.5" customHeight="1">
      <c r="A389" s="5">
        <v>46171.502168391205</v>
      </c>
      <c r="B389" s="6" t="s">
        <v>1190</v>
      </c>
      <c r="C389" s="6" t="s">
        <v>1191</v>
      </c>
      <c r="D389" s="3" t="str">
        <f t="shared" si="1"/>
        <v>AE-0388</v>
      </c>
      <c r="E389" s="3">
        <f t="array" ref="E389">IFERROR(XLOOKUP(D389,'Astronomy 101 Week 1 Quiz (Resp'!F:F,'Astronomy 101 Week 1 Quiz (Resp'!E:E),0)</f>
        <v>45</v>
      </c>
      <c r="F389" s="3" t="s">
        <v>14</v>
      </c>
      <c r="G389" s="3"/>
      <c r="H389" s="6">
        <v>8.58282957E9</v>
      </c>
      <c r="I389" s="6" t="s">
        <v>1192</v>
      </c>
      <c r="J389" s="6" t="s">
        <v>16</v>
      </c>
      <c r="K389" s="6" t="s">
        <v>17</v>
      </c>
      <c r="L389" s="6" t="s">
        <v>1193</v>
      </c>
    </row>
    <row r="390" ht="22.5" customHeight="1">
      <c r="A390" s="5">
        <v>46171.505371631945</v>
      </c>
      <c r="B390" s="6" t="s">
        <v>1194</v>
      </c>
      <c r="C390" s="6" t="s">
        <v>1195</v>
      </c>
      <c r="D390" s="3" t="str">
        <f t="shared" si="1"/>
        <v>AE-0389</v>
      </c>
      <c r="E390" s="3">
        <f t="array" ref="E390">IFERROR(XLOOKUP(D390,'Astronomy 101 Week 1 Quiz (Resp'!F:F,'Astronomy 101 Week 1 Quiz (Resp'!E:E),0)</f>
        <v>0</v>
      </c>
      <c r="F390" s="3" t="s">
        <v>14</v>
      </c>
      <c r="G390" s="3"/>
      <c r="H390" s="6">
        <v>8.886533771E9</v>
      </c>
      <c r="I390" s="6" t="s">
        <v>1196</v>
      </c>
      <c r="J390" s="6" t="s">
        <v>16</v>
      </c>
      <c r="K390" s="6" t="s">
        <v>17</v>
      </c>
      <c r="L390" s="6" t="s">
        <v>1197</v>
      </c>
    </row>
    <row r="391" ht="22.5" customHeight="1">
      <c r="A391" s="5">
        <v>46171.50628084491</v>
      </c>
      <c r="B391" s="6" t="s">
        <v>1198</v>
      </c>
      <c r="C391" s="6" t="s">
        <v>1199</v>
      </c>
      <c r="D391" s="3" t="str">
        <f t="shared" si="1"/>
        <v>AE-0390</v>
      </c>
      <c r="E391" s="3">
        <f t="array" ref="E391">IFERROR(XLOOKUP(D391,'Astronomy 101 Week 1 Quiz (Resp'!F:F,'Astronomy 101 Week 1 Quiz (Resp'!E:E),0)</f>
        <v>43</v>
      </c>
      <c r="F391" s="3" t="s">
        <v>14</v>
      </c>
      <c r="G391" s="3"/>
      <c r="H391" s="6">
        <v>9.573618704E9</v>
      </c>
      <c r="I391" s="6" t="s">
        <v>1080</v>
      </c>
      <c r="J391" s="6" t="s">
        <v>16</v>
      </c>
      <c r="K391" s="6" t="s">
        <v>17</v>
      </c>
    </row>
    <row r="392" ht="22.5" customHeight="1">
      <c r="A392" s="5">
        <v>46171.506859456014</v>
      </c>
      <c r="B392" s="6" t="s">
        <v>1200</v>
      </c>
      <c r="C392" s="6" t="s">
        <v>1201</v>
      </c>
      <c r="D392" s="3" t="str">
        <f t="shared" si="1"/>
        <v>AE-0391</v>
      </c>
      <c r="E392" s="3">
        <f t="array" ref="E392">IFERROR(XLOOKUP(D392,'Astronomy 101 Week 1 Quiz (Resp'!F:F,'Astronomy 101 Week 1 Quiz (Resp'!E:E),0)</f>
        <v>0</v>
      </c>
      <c r="F392" s="3" t="s">
        <v>14</v>
      </c>
      <c r="G392" s="3"/>
      <c r="H392" s="6">
        <v>9.6425522E9</v>
      </c>
      <c r="I392" s="6" t="s">
        <v>1202</v>
      </c>
      <c r="J392" s="6" t="s">
        <v>16</v>
      </c>
      <c r="K392" s="6" t="s">
        <v>17</v>
      </c>
      <c r="L392" s="6" t="s">
        <v>1203</v>
      </c>
    </row>
    <row r="393" ht="22.5" customHeight="1">
      <c r="A393" s="5">
        <v>46171.51526587963</v>
      </c>
      <c r="B393" s="6" t="s">
        <v>1204</v>
      </c>
      <c r="C393" s="6" t="s">
        <v>1205</v>
      </c>
      <c r="D393" s="3" t="str">
        <f t="shared" si="1"/>
        <v>AE-0392</v>
      </c>
      <c r="E393" s="3">
        <f t="array" ref="E393">IFERROR(XLOOKUP(D393,'Astronomy 101 Week 1 Quiz (Resp'!F:F,'Astronomy 101 Week 1 Quiz (Resp'!E:E),0)</f>
        <v>0</v>
      </c>
      <c r="F393" s="3" t="s">
        <v>14</v>
      </c>
      <c r="G393" s="3"/>
      <c r="H393" s="6">
        <v>9.426121678E9</v>
      </c>
      <c r="I393" s="6" t="s">
        <v>1206</v>
      </c>
      <c r="J393" s="6" t="s">
        <v>16</v>
      </c>
      <c r="K393" s="6" t="s">
        <v>17</v>
      </c>
      <c r="L393" s="6" t="s">
        <v>1207</v>
      </c>
    </row>
    <row r="394" ht="22.5" customHeight="1">
      <c r="A394" s="5">
        <v>46171.51763747685</v>
      </c>
      <c r="B394" s="6" t="s">
        <v>1208</v>
      </c>
      <c r="C394" s="6" t="s">
        <v>1209</v>
      </c>
      <c r="D394" s="3" t="str">
        <f t="shared" si="1"/>
        <v>AE-0393</v>
      </c>
      <c r="E394" s="3">
        <f t="array" ref="E394">IFERROR(XLOOKUP(D394,'Astronomy 101 Week 1 Quiz (Resp'!F:F,'Astronomy 101 Week 1 Quiz (Resp'!E:E),0)</f>
        <v>0</v>
      </c>
      <c r="F394" s="3" t="s">
        <v>14</v>
      </c>
      <c r="G394" s="3"/>
      <c r="H394" s="6">
        <v>9.202293795E9</v>
      </c>
      <c r="I394" s="6" t="s">
        <v>258</v>
      </c>
      <c r="J394" s="6" t="s">
        <v>16</v>
      </c>
      <c r="K394" s="6" t="s">
        <v>82</v>
      </c>
    </row>
    <row r="395" ht="22.5" customHeight="1">
      <c r="A395" s="5">
        <v>46171.52021296296</v>
      </c>
      <c r="B395" s="6" t="s">
        <v>1210</v>
      </c>
      <c r="C395" s="6" t="s">
        <v>1211</v>
      </c>
      <c r="D395" s="3" t="str">
        <f t="shared" si="1"/>
        <v>AE-0394</v>
      </c>
      <c r="E395" s="3">
        <f t="array" ref="E395">IFERROR(XLOOKUP(D395,'Astronomy 101 Week 1 Quiz (Resp'!F:F,'Astronomy 101 Week 1 Quiz (Resp'!E:E),0)</f>
        <v>0</v>
      </c>
      <c r="F395" s="3" t="s">
        <v>14</v>
      </c>
      <c r="G395" s="3"/>
      <c r="H395" s="6" t="s">
        <v>53</v>
      </c>
      <c r="I395" s="6" t="s">
        <v>1212</v>
      </c>
      <c r="J395" s="6" t="s">
        <v>16</v>
      </c>
    </row>
    <row r="396" ht="22.5" customHeight="1">
      <c r="A396" s="5">
        <v>46171.52079796296</v>
      </c>
      <c r="B396" s="6" t="s">
        <v>1213</v>
      </c>
      <c r="C396" s="6" t="s">
        <v>1214</v>
      </c>
      <c r="D396" s="3" t="str">
        <f t="shared" si="1"/>
        <v>AE-0395</v>
      </c>
      <c r="E396" s="3">
        <f t="array" ref="E396">IFERROR(XLOOKUP(D396,'Astronomy 101 Week 1 Quiz (Resp'!F:F,'Astronomy 101 Week 1 Quiz (Resp'!E:E),0)</f>
        <v>36</v>
      </c>
      <c r="F396" s="3" t="s">
        <v>14</v>
      </c>
      <c r="G396" s="3"/>
      <c r="H396" s="6">
        <v>8.669212061E9</v>
      </c>
      <c r="I396" s="6" t="s">
        <v>1215</v>
      </c>
      <c r="J396" s="6" t="s">
        <v>16</v>
      </c>
    </row>
    <row r="397" ht="22.5" customHeight="1">
      <c r="A397" s="5">
        <v>46171.521213518514</v>
      </c>
      <c r="B397" s="6" t="s">
        <v>1216</v>
      </c>
      <c r="C397" s="6" t="s">
        <v>1217</v>
      </c>
      <c r="D397" s="3" t="str">
        <f t="shared" si="1"/>
        <v>AE-0396</v>
      </c>
      <c r="E397" s="3">
        <f t="array" ref="E397">IFERROR(XLOOKUP(D397,'Astronomy 101 Week 1 Quiz (Resp'!F:F,'Astronomy 101 Week 1 Quiz (Resp'!E:E),0)</f>
        <v>0</v>
      </c>
      <c r="F397" s="3" t="s">
        <v>14</v>
      </c>
      <c r="G397" s="3"/>
      <c r="H397" s="6">
        <v>9.693805377E9</v>
      </c>
      <c r="I397" s="6" t="s">
        <v>64</v>
      </c>
      <c r="J397" s="6" t="s">
        <v>16</v>
      </c>
      <c r="K397" s="6" t="s">
        <v>61</v>
      </c>
      <c r="L397" s="6" t="s">
        <v>1218</v>
      </c>
    </row>
    <row r="398" ht="22.5" customHeight="1">
      <c r="A398" s="5">
        <v>46171.521389490736</v>
      </c>
      <c r="B398" s="6" t="s">
        <v>1219</v>
      </c>
      <c r="C398" s="6" t="s">
        <v>1220</v>
      </c>
      <c r="D398" s="3" t="str">
        <f t="shared" si="1"/>
        <v>AE-0397</v>
      </c>
      <c r="E398" s="3">
        <f t="array" ref="E398">IFERROR(XLOOKUP(D398,'Astronomy 101 Week 1 Quiz (Resp'!F:F,'Astronomy 101 Week 1 Quiz (Resp'!E:E),0)</f>
        <v>29</v>
      </c>
      <c r="F398" s="3" t="s">
        <v>14</v>
      </c>
      <c r="G398" s="3"/>
      <c r="H398" s="6">
        <v>7.973396153E9</v>
      </c>
      <c r="I398" s="6" t="s">
        <v>1062</v>
      </c>
      <c r="J398" s="6" t="s">
        <v>16</v>
      </c>
      <c r="K398" s="6" t="s">
        <v>61</v>
      </c>
      <c r="L398" s="6" t="s">
        <v>1221</v>
      </c>
    </row>
    <row r="399" ht="22.5" customHeight="1">
      <c r="A399" s="5">
        <v>46171.52318582176</v>
      </c>
      <c r="B399" s="6" t="s">
        <v>1222</v>
      </c>
      <c r="C399" s="6" t="s">
        <v>1223</v>
      </c>
      <c r="D399" s="3" t="str">
        <f t="shared" si="1"/>
        <v>AE-0398</v>
      </c>
      <c r="E399" s="3">
        <f t="array" ref="E399">IFERROR(XLOOKUP(D399,'Astronomy 101 Week 1 Quiz (Resp'!F:F,'Astronomy 101 Week 1 Quiz (Resp'!E:E),0)</f>
        <v>16</v>
      </c>
      <c r="F399" s="3" t="s">
        <v>14</v>
      </c>
      <c r="G399" s="3"/>
      <c r="H399" s="6">
        <v>7.530068664E9</v>
      </c>
      <c r="I399" s="6" t="s">
        <v>1158</v>
      </c>
      <c r="J399" s="6" t="s">
        <v>16</v>
      </c>
      <c r="K399" s="6" t="s">
        <v>43</v>
      </c>
    </row>
    <row r="400" ht="22.5" customHeight="1">
      <c r="A400" s="5">
        <v>46171.524811979165</v>
      </c>
      <c r="B400" s="6" t="s">
        <v>1224</v>
      </c>
      <c r="C400" s="6" t="s">
        <v>1225</v>
      </c>
      <c r="D400" s="3" t="str">
        <f t="shared" si="1"/>
        <v>AE-0399</v>
      </c>
      <c r="E400" s="3">
        <f t="array" ref="E400">IFERROR(XLOOKUP(D400,'Astronomy 101 Week 1 Quiz (Resp'!F:F,'Astronomy 101 Week 1 Quiz (Resp'!E:E),0)</f>
        <v>0</v>
      </c>
      <c r="F400" s="3" t="s">
        <v>14</v>
      </c>
      <c r="G400" s="3"/>
      <c r="H400" s="6">
        <v>9.327779459E9</v>
      </c>
      <c r="I400" s="6" t="s">
        <v>1226</v>
      </c>
      <c r="J400" s="6" t="s">
        <v>16</v>
      </c>
      <c r="K400" s="6" t="s">
        <v>47</v>
      </c>
      <c r="L400" s="6" t="s">
        <v>1227</v>
      </c>
    </row>
    <row r="401" ht="22.5" customHeight="1">
      <c r="A401" s="5">
        <v>46171.525518449074</v>
      </c>
      <c r="B401" s="6" t="s">
        <v>1228</v>
      </c>
      <c r="C401" s="6" t="s">
        <v>1229</v>
      </c>
      <c r="D401" s="3" t="str">
        <f t="shared" si="1"/>
        <v>AE-0400</v>
      </c>
      <c r="E401" s="3">
        <f t="array" ref="E401">IFERROR(XLOOKUP(D401,'Astronomy 101 Week 1 Quiz (Resp'!F:F,'Astronomy 101 Week 1 Quiz (Resp'!E:E),0)</f>
        <v>0</v>
      </c>
      <c r="F401" s="3" t="s">
        <v>14</v>
      </c>
      <c r="G401" s="3"/>
      <c r="H401" s="6">
        <v>9.173841464E9</v>
      </c>
      <c r="I401" s="6" t="s">
        <v>1230</v>
      </c>
      <c r="J401" s="6" t="s">
        <v>16</v>
      </c>
      <c r="K401" s="6" t="s">
        <v>25</v>
      </c>
    </row>
    <row r="402" ht="22.5" customHeight="1">
      <c r="A402" s="5">
        <v>46171.53049362269</v>
      </c>
      <c r="B402" s="6" t="s">
        <v>1231</v>
      </c>
      <c r="C402" s="6" t="s">
        <v>1232</v>
      </c>
      <c r="D402" s="3" t="str">
        <f t="shared" si="1"/>
        <v>AE-0401</v>
      </c>
      <c r="E402" s="3">
        <f t="array" ref="E402">IFERROR(XLOOKUP(D402,'Astronomy 101 Week 1 Quiz (Resp'!F:F,'Astronomy 101 Week 1 Quiz (Resp'!E:E),0)</f>
        <v>0</v>
      </c>
      <c r="F402" s="3" t="s">
        <v>14</v>
      </c>
      <c r="G402" s="3"/>
      <c r="H402" s="6">
        <v>9.054984922E9</v>
      </c>
      <c r="I402" s="6" t="s">
        <v>1233</v>
      </c>
      <c r="J402" s="6" t="s">
        <v>16</v>
      </c>
      <c r="K402" s="6" t="s">
        <v>17</v>
      </c>
      <c r="L402" s="6" t="s">
        <v>1234</v>
      </c>
    </row>
    <row r="403" ht="22.5" customHeight="1">
      <c r="A403" s="5">
        <v>46171.53141334491</v>
      </c>
      <c r="B403" s="6" t="s">
        <v>1235</v>
      </c>
      <c r="C403" s="6" t="s">
        <v>1236</v>
      </c>
      <c r="D403" s="3" t="str">
        <f t="shared" si="1"/>
        <v>AE-0402</v>
      </c>
      <c r="E403" s="3">
        <f t="array" ref="E403">IFERROR(XLOOKUP(D403,'Astronomy 101 Week 1 Quiz (Resp'!F:F,'Astronomy 101 Week 1 Quiz (Resp'!E:E),0)</f>
        <v>0</v>
      </c>
      <c r="F403" s="3" t="s">
        <v>14</v>
      </c>
      <c r="G403" s="3"/>
      <c r="H403" s="6">
        <v>6.900602752E9</v>
      </c>
      <c r="I403" s="6" t="s">
        <v>1237</v>
      </c>
      <c r="J403" s="6" t="s">
        <v>16</v>
      </c>
      <c r="K403" s="6" t="s">
        <v>17</v>
      </c>
    </row>
    <row r="404" ht="22.5" customHeight="1">
      <c r="A404" s="5">
        <v>46171.53347589121</v>
      </c>
      <c r="B404" s="6" t="s">
        <v>1238</v>
      </c>
      <c r="C404" s="6" t="s">
        <v>1239</v>
      </c>
      <c r="D404" s="3" t="str">
        <f t="shared" si="1"/>
        <v>AE-0403</v>
      </c>
      <c r="E404" s="3">
        <f t="array" ref="E404">IFERROR(XLOOKUP(D404,'Astronomy 101 Week 1 Quiz (Resp'!F:F,'Astronomy 101 Week 1 Quiz (Resp'!E:E),0)</f>
        <v>30</v>
      </c>
      <c r="F404" s="3" t="s">
        <v>14</v>
      </c>
      <c r="G404" s="3"/>
      <c r="H404" s="6">
        <v>7.709150914E9</v>
      </c>
      <c r="I404" s="6" t="s">
        <v>1240</v>
      </c>
      <c r="J404" s="6" t="s">
        <v>16</v>
      </c>
      <c r="K404" s="6" t="s">
        <v>61</v>
      </c>
      <c r="L404" s="6" t="s">
        <v>1241</v>
      </c>
    </row>
    <row r="405" ht="22.5" customHeight="1">
      <c r="A405" s="5">
        <v>46171.53384200232</v>
      </c>
      <c r="B405" s="6" t="s">
        <v>1242</v>
      </c>
      <c r="C405" s="6" t="s">
        <v>1243</v>
      </c>
      <c r="D405" s="3" t="str">
        <f t="shared" si="1"/>
        <v>AE-0404</v>
      </c>
      <c r="E405" s="3">
        <f t="array" ref="E405">IFERROR(XLOOKUP(D405,'Astronomy 101 Week 1 Quiz (Resp'!F:F,'Astronomy 101 Week 1 Quiz (Resp'!E:E),0)</f>
        <v>0</v>
      </c>
      <c r="F405" s="3" t="s">
        <v>14</v>
      </c>
      <c r="G405" s="3"/>
      <c r="H405" s="6">
        <v>7.630831048E9</v>
      </c>
      <c r="I405" s="6" t="s">
        <v>1029</v>
      </c>
      <c r="J405" s="6" t="s">
        <v>16</v>
      </c>
      <c r="K405" s="6" t="s">
        <v>17</v>
      </c>
    </row>
    <row r="406" ht="22.5" customHeight="1">
      <c r="A406" s="5">
        <v>46171.53388505787</v>
      </c>
      <c r="B406" s="6" t="s">
        <v>1244</v>
      </c>
      <c r="C406" s="6" t="s">
        <v>1245</v>
      </c>
      <c r="D406" s="3" t="str">
        <f t="shared" si="1"/>
        <v>AE-0405</v>
      </c>
      <c r="E406" s="3">
        <f t="array" ref="E406">IFERROR(XLOOKUP(D406,'Astronomy 101 Week 1 Quiz (Resp'!F:F,'Astronomy 101 Week 1 Quiz (Resp'!E:E),0)</f>
        <v>0</v>
      </c>
      <c r="F406" s="3" t="s">
        <v>14</v>
      </c>
      <c r="G406" s="3"/>
      <c r="H406" s="6">
        <v>9.527186579E9</v>
      </c>
      <c r="I406" s="6" t="s">
        <v>1246</v>
      </c>
      <c r="J406" s="6" t="s">
        <v>16</v>
      </c>
      <c r="K406" s="6" t="s">
        <v>17</v>
      </c>
      <c r="L406" s="6" t="s">
        <v>1247</v>
      </c>
    </row>
    <row r="407" ht="22.5" customHeight="1">
      <c r="A407" s="5">
        <v>46171.535611493055</v>
      </c>
      <c r="B407" s="6" t="s">
        <v>1248</v>
      </c>
      <c r="C407" s="6" t="s">
        <v>1249</v>
      </c>
      <c r="D407" s="3" t="str">
        <f t="shared" si="1"/>
        <v>AE-0406</v>
      </c>
      <c r="E407" s="3">
        <f t="array" ref="E407">IFERROR(XLOOKUP(D407,'Astronomy 101 Week 1 Quiz (Resp'!F:F,'Astronomy 101 Week 1 Quiz (Resp'!E:E),0)</f>
        <v>0</v>
      </c>
      <c r="F407" s="3" t="s">
        <v>14</v>
      </c>
      <c r="G407" s="3"/>
      <c r="H407" s="6">
        <v>8.271883642E9</v>
      </c>
      <c r="I407" s="6" t="s">
        <v>1029</v>
      </c>
      <c r="J407" s="6" t="s">
        <v>16</v>
      </c>
      <c r="K407" s="6" t="s">
        <v>25</v>
      </c>
      <c r="L407" s="6" t="s">
        <v>1250</v>
      </c>
    </row>
    <row r="408" ht="22.5" customHeight="1">
      <c r="A408" s="5">
        <v>46171.53825275463</v>
      </c>
      <c r="B408" s="6" t="s">
        <v>1251</v>
      </c>
      <c r="C408" s="6" t="s">
        <v>1252</v>
      </c>
      <c r="D408" s="3" t="str">
        <f t="shared" si="1"/>
        <v>AE-0407</v>
      </c>
      <c r="E408" s="3">
        <f t="array" ref="E408">IFERROR(XLOOKUP(D408,'Astronomy 101 Week 1 Quiz (Resp'!F:F,'Astronomy 101 Week 1 Quiz (Resp'!E:E),0)</f>
        <v>0</v>
      </c>
      <c r="F408" s="3" t="s">
        <v>14</v>
      </c>
      <c r="G408" s="3"/>
      <c r="H408" s="6">
        <v>8.473865324E9</v>
      </c>
      <c r="I408" s="6" t="s">
        <v>1253</v>
      </c>
      <c r="J408" s="6" t="s">
        <v>16</v>
      </c>
      <c r="K408" s="6" t="s">
        <v>25</v>
      </c>
      <c r="L408" s="6" t="s">
        <v>1254</v>
      </c>
    </row>
    <row r="409" ht="22.5" customHeight="1">
      <c r="A409" s="5">
        <v>46171.53923766204</v>
      </c>
      <c r="B409" s="6" t="s">
        <v>1255</v>
      </c>
      <c r="C409" s="6" t="s">
        <v>1256</v>
      </c>
      <c r="D409" s="3" t="str">
        <f t="shared" si="1"/>
        <v>AE-0408</v>
      </c>
      <c r="E409" s="3">
        <f t="array" ref="E409">IFERROR(XLOOKUP(D409,'Astronomy 101 Week 1 Quiz (Resp'!F:F,'Astronomy 101 Week 1 Quiz (Resp'!E:E),0)</f>
        <v>0</v>
      </c>
      <c r="F409" s="3" t="s">
        <v>14</v>
      </c>
      <c r="G409" s="3"/>
      <c r="H409" s="6">
        <v>9.365409256E9</v>
      </c>
      <c r="I409" s="6" t="s">
        <v>1257</v>
      </c>
      <c r="J409" s="6" t="s">
        <v>16</v>
      </c>
      <c r="K409" s="6" t="s">
        <v>17</v>
      </c>
      <c r="L409" s="6" t="s">
        <v>1258</v>
      </c>
    </row>
    <row r="410" ht="22.5" customHeight="1">
      <c r="A410" s="5">
        <v>46171.54095643519</v>
      </c>
      <c r="B410" s="6" t="s">
        <v>1259</v>
      </c>
      <c r="C410" s="6" t="s">
        <v>1260</v>
      </c>
      <c r="D410" s="3" t="str">
        <f t="shared" si="1"/>
        <v>AE-0409</v>
      </c>
      <c r="E410" s="3">
        <f t="array" ref="E410">IFERROR(XLOOKUP(D410,'Astronomy 101 Week 1 Quiz (Resp'!F:F,'Astronomy 101 Week 1 Quiz (Resp'!E:E),0)</f>
        <v>0</v>
      </c>
      <c r="F410" s="3" t="s">
        <v>14</v>
      </c>
      <c r="G410" s="3"/>
      <c r="H410" s="6">
        <v>7.396091073E9</v>
      </c>
      <c r="I410" s="6" t="s">
        <v>1261</v>
      </c>
      <c r="J410" s="6" t="s">
        <v>16</v>
      </c>
      <c r="K410" s="6" t="s">
        <v>17</v>
      </c>
      <c r="L410" s="6" t="s">
        <v>1262</v>
      </c>
    </row>
    <row r="411" ht="22.5" customHeight="1">
      <c r="A411" s="5">
        <v>46171.541017662035</v>
      </c>
      <c r="B411" s="6" t="s">
        <v>1263</v>
      </c>
      <c r="C411" s="6" t="s">
        <v>1264</v>
      </c>
      <c r="D411" s="3" t="str">
        <f t="shared" si="1"/>
        <v>AE-0410</v>
      </c>
      <c r="E411" s="3">
        <f t="array" ref="E411">IFERROR(XLOOKUP(D411,'Astronomy 101 Week 1 Quiz (Resp'!F:F,'Astronomy 101 Week 1 Quiz (Resp'!E:E),0)</f>
        <v>38</v>
      </c>
      <c r="F411" s="3" t="s">
        <v>14</v>
      </c>
      <c r="G411" s="3"/>
      <c r="H411" s="6">
        <v>8.807821768E9</v>
      </c>
      <c r="I411" s="6" t="s">
        <v>1265</v>
      </c>
      <c r="J411" s="6" t="s">
        <v>16</v>
      </c>
      <c r="K411" s="6" t="s">
        <v>17</v>
      </c>
      <c r="L411" s="6" t="s">
        <v>1266</v>
      </c>
    </row>
    <row r="412" ht="22.5" customHeight="1">
      <c r="A412" s="5">
        <v>46171.55149440972</v>
      </c>
      <c r="B412" s="6" t="s">
        <v>1267</v>
      </c>
      <c r="C412" s="6" t="s">
        <v>1268</v>
      </c>
      <c r="D412" s="3" t="str">
        <f t="shared" si="1"/>
        <v>AE-0411</v>
      </c>
      <c r="E412" s="3">
        <f t="array" ref="E412">IFERROR(XLOOKUP(D412,'Astronomy 101 Week 1 Quiz (Resp'!F:F,'Astronomy 101 Week 1 Quiz (Resp'!E:E),0)</f>
        <v>0</v>
      </c>
      <c r="F412" s="3" t="s">
        <v>14</v>
      </c>
      <c r="G412" s="3"/>
      <c r="H412" s="6">
        <v>8.756891879E9</v>
      </c>
      <c r="I412" s="6" t="s">
        <v>32</v>
      </c>
      <c r="J412" s="6" t="s">
        <v>16</v>
      </c>
      <c r="K412" s="6" t="s">
        <v>17</v>
      </c>
      <c r="L412" s="6" t="s">
        <v>1269</v>
      </c>
    </row>
    <row r="413" ht="22.5" customHeight="1">
      <c r="A413" s="5">
        <v>46171.55285940973</v>
      </c>
      <c r="B413" s="6" t="s">
        <v>1270</v>
      </c>
      <c r="C413" s="6" t="s">
        <v>1271</v>
      </c>
      <c r="D413" s="3" t="str">
        <f t="shared" si="1"/>
        <v>AE-0412</v>
      </c>
      <c r="E413" s="3">
        <f t="array" ref="E413">IFERROR(XLOOKUP(D413,'Astronomy 101 Week 1 Quiz (Resp'!F:F,'Astronomy 101 Week 1 Quiz (Resp'!E:E),0)</f>
        <v>0</v>
      </c>
      <c r="F413" s="3" t="s">
        <v>14</v>
      </c>
      <c r="G413" s="3"/>
      <c r="H413" s="7" t="s">
        <v>1272</v>
      </c>
      <c r="I413" s="6" t="s">
        <v>73</v>
      </c>
      <c r="J413" s="6" t="s">
        <v>16</v>
      </c>
      <c r="K413" s="6" t="s">
        <v>82</v>
      </c>
    </row>
    <row r="414" ht="22.5" customHeight="1">
      <c r="A414" s="5">
        <v>46171.55446267361</v>
      </c>
      <c r="B414" s="6" t="s">
        <v>1273</v>
      </c>
      <c r="C414" s="6" t="s">
        <v>1274</v>
      </c>
      <c r="D414" s="3" t="str">
        <f t="shared" si="1"/>
        <v>AE-0413</v>
      </c>
      <c r="E414" s="3">
        <f t="array" ref="E414">IFERROR(XLOOKUP(D414,'Astronomy 101 Week 1 Quiz (Resp'!F:F,'Astronomy 101 Week 1 Quiz (Resp'!E:E),0)</f>
        <v>35</v>
      </c>
      <c r="F414" s="3" t="s">
        <v>14</v>
      </c>
      <c r="G414" s="3"/>
      <c r="H414" s="6">
        <v>9.426823819E9</v>
      </c>
      <c r="I414" s="6" t="s">
        <v>1275</v>
      </c>
      <c r="J414" s="6" t="s">
        <v>16</v>
      </c>
      <c r="K414" s="6" t="s">
        <v>17</v>
      </c>
      <c r="L414" s="6" t="s">
        <v>1276</v>
      </c>
    </row>
    <row r="415" ht="22.5" customHeight="1">
      <c r="A415" s="5">
        <v>46171.554560185185</v>
      </c>
      <c r="B415" s="6"/>
      <c r="C415" s="6" t="s">
        <v>1277</v>
      </c>
      <c r="D415" s="3" t="str">
        <f t="shared" si="1"/>
        <v>AE-0414</v>
      </c>
      <c r="E415" s="3">
        <f t="array" ref="E415">IFERROR(XLOOKUP(D415,'Astronomy 101 Week 1 Quiz (Resp'!F:F,'Astronomy 101 Week 1 Quiz (Resp'!E:E),0)</f>
        <v>0</v>
      </c>
      <c r="F415" s="3" t="s">
        <v>734</v>
      </c>
      <c r="G415" s="3" t="s">
        <v>1278</v>
      </c>
      <c r="H415" s="6">
        <v>9.325501473E9</v>
      </c>
      <c r="I415" s="6" t="s">
        <v>1279</v>
      </c>
      <c r="J415" s="6" t="s">
        <v>16</v>
      </c>
      <c r="K415" s="6" t="s">
        <v>47</v>
      </c>
      <c r="L415" s="6" t="s">
        <v>1280</v>
      </c>
    </row>
    <row r="416" ht="22.5" customHeight="1">
      <c r="A416" s="5">
        <v>46171.554916493056</v>
      </c>
      <c r="B416" s="6" t="s">
        <v>1281</v>
      </c>
      <c r="C416" s="6" t="s">
        <v>1282</v>
      </c>
      <c r="D416" s="3" t="str">
        <f t="shared" si="1"/>
        <v>AE-0415</v>
      </c>
      <c r="E416" s="3">
        <f t="array" ref="E416">IFERROR(XLOOKUP(D416,'Astronomy 101 Week 1 Quiz (Resp'!F:F,'Astronomy 101 Week 1 Quiz (Resp'!E:E),0)</f>
        <v>0</v>
      </c>
      <c r="F416" s="3" t="s">
        <v>14</v>
      </c>
      <c r="G416" s="3"/>
      <c r="H416" s="6">
        <v>9.301162391E9</v>
      </c>
      <c r="I416" s="6" t="s">
        <v>1283</v>
      </c>
      <c r="J416" s="6" t="s">
        <v>16</v>
      </c>
      <c r="K416" s="6" t="s">
        <v>47</v>
      </c>
    </row>
    <row r="417" ht="22.5" customHeight="1">
      <c r="A417" s="5">
        <v>46171.55762832176</v>
      </c>
      <c r="B417" s="6" t="s">
        <v>1284</v>
      </c>
      <c r="C417" s="6" t="s">
        <v>1285</v>
      </c>
      <c r="D417" s="3" t="str">
        <f t="shared" si="1"/>
        <v>AE-0416</v>
      </c>
      <c r="E417" s="3">
        <f t="array" ref="E417">IFERROR(XLOOKUP(D417,'Astronomy 101 Week 1 Quiz (Resp'!F:F,'Astronomy 101 Week 1 Quiz (Resp'!E:E),0)</f>
        <v>0</v>
      </c>
      <c r="F417" s="3" t="s">
        <v>14</v>
      </c>
      <c r="G417" s="3"/>
      <c r="H417" s="6">
        <v>7.249226335E9</v>
      </c>
      <c r="I417" s="6" t="s">
        <v>1286</v>
      </c>
      <c r="J417" s="6" t="s">
        <v>16</v>
      </c>
      <c r="K417" s="6" t="s">
        <v>61</v>
      </c>
      <c r="L417" s="6" t="s">
        <v>1287</v>
      </c>
    </row>
    <row r="418" ht="22.5" customHeight="1">
      <c r="A418" s="5">
        <v>46171.55839346065</v>
      </c>
      <c r="B418" s="6" t="s">
        <v>1288</v>
      </c>
      <c r="C418" s="6" t="s">
        <v>1289</v>
      </c>
      <c r="D418" s="3" t="str">
        <f t="shared" si="1"/>
        <v>AE-0417</v>
      </c>
      <c r="E418" s="3">
        <f t="array" ref="E418">IFERROR(XLOOKUP(D418,'Astronomy 101 Week 1 Quiz (Resp'!F:F,'Astronomy 101 Week 1 Quiz (Resp'!E:E),0)</f>
        <v>43</v>
      </c>
      <c r="F418" s="3" t="s">
        <v>14</v>
      </c>
      <c r="G418" s="3"/>
      <c r="H418" s="6">
        <v>7.675001782E9</v>
      </c>
      <c r="I418" s="6" t="s">
        <v>1080</v>
      </c>
      <c r="J418" s="6" t="s">
        <v>16</v>
      </c>
      <c r="K418" s="6" t="s">
        <v>61</v>
      </c>
    </row>
    <row r="419" ht="22.5" customHeight="1">
      <c r="A419" s="5">
        <v>46171.560694872685</v>
      </c>
      <c r="B419" s="6" t="s">
        <v>1290</v>
      </c>
      <c r="C419" s="6" t="s">
        <v>1291</v>
      </c>
      <c r="D419" s="3" t="str">
        <f t="shared" si="1"/>
        <v>AE-0418</v>
      </c>
      <c r="E419" s="3">
        <f t="array" ref="E419">IFERROR(XLOOKUP(D419,'Astronomy 101 Week 1 Quiz (Resp'!F:F,'Astronomy 101 Week 1 Quiz (Resp'!E:E),0)</f>
        <v>0</v>
      </c>
      <c r="F419" s="3" t="s">
        <v>14</v>
      </c>
      <c r="G419" s="3"/>
      <c r="H419" s="6">
        <v>8.080235385E9</v>
      </c>
      <c r="I419" s="6" t="s">
        <v>1292</v>
      </c>
      <c r="J419" s="6" t="s">
        <v>16</v>
      </c>
      <c r="K419" s="6" t="s">
        <v>43</v>
      </c>
    </row>
    <row r="420" ht="22.5" customHeight="1">
      <c r="A420" s="5">
        <v>46171.56225685185</v>
      </c>
      <c r="B420" s="6" t="s">
        <v>1293</v>
      </c>
      <c r="C420" s="6" t="s">
        <v>1294</v>
      </c>
      <c r="D420" s="3" t="str">
        <f t="shared" si="1"/>
        <v>AE-0419</v>
      </c>
      <c r="E420" s="3">
        <f t="array" ref="E420">IFERROR(XLOOKUP(D420,'Astronomy 101 Week 1 Quiz (Resp'!F:F,'Astronomy 101 Week 1 Quiz (Resp'!E:E),0)</f>
        <v>0</v>
      </c>
      <c r="F420" s="3" t="s">
        <v>14</v>
      </c>
      <c r="G420" s="3"/>
      <c r="H420" s="6">
        <v>9.898463107E9</v>
      </c>
      <c r="I420" s="6" t="s">
        <v>1295</v>
      </c>
      <c r="J420" s="6" t="s">
        <v>16</v>
      </c>
      <c r="K420" s="6" t="s">
        <v>61</v>
      </c>
      <c r="L420" s="6" t="s">
        <v>1296</v>
      </c>
    </row>
    <row r="421" ht="22.5" customHeight="1">
      <c r="A421" s="5">
        <v>46171.563442824074</v>
      </c>
      <c r="B421" s="6" t="s">
        <v>1297</v>
      </c>
      <c r="C421" s="6" t="s">
        <v>1298</v>
      </c>
      <c r="D421" s="3" t="str">
        <f t="shared" si="1"/>
        <v>AE-0420</v>
      </c>
      <c r="E421" s="3">
        <f t="array" ref="E421">IFERROR(XLOOKUP(D421,'Astronomy 101 Week 1 Quiz (Resp'!F:F,'Astronomy 101 Week 1 Quiz (Resp'!E:E),0)</f>
        <v>45</v>
      </c>
      <c r="F421" s="3" t="s">
        <v>14</v>
      </c>
      <c r="G421" s="3"/>
      <c r="H421" s="6">
        <v>8.328823906E9</v>
      </c>
      <c r="I421" s="6" t="s">
        <v>1299</v>
      </c>
      <c r="J421" s="6" t="s">
        <v>16</v>
      </c>
      <c r="K421" s="6" t="s">
        <v>43</v>
      </c>
      <c r="L421" s="6" t="s">
        <v>1300</v>
      </c>
    </row>
    <row r="422" ht="22.5" customHeight="1">
      <c r="A422" s="5">
        <v>46171.5637483912</v>
      </c>
      <c r="B422" s="6" t="s">
        <v>1301</v>
      </c>
      <c r="C422" s="6" t="s">
        <v>1302</v>
      </c>
      <c r="D422" s="3" t="str">
        <f t="shared" si="1"/>
        <v>AE-0421</v>
      </c>
      <c r="E422" s="3">
        <f t="array" ref="E422">IFERROR(XLOOKUP(D422,'Astronomy 101 Week 1 Quiz (Resp'!F:F,'Astronomy 101 Week 1 Quiz (Resp'!E:E),0)</f>
        <v>0</v>
      </c>
      <c r="F422" s="3" t="s">
        <v>14</v>
      </c>
      <c r="G422" s="3"/>
      <c r="H422" s="6">
        <v>8.528261204E9</v>
      </c>
      <c r="I422" s="6" t="s">
        <v>1303</v>
      </c>
      <c r="J422" s="6" t="s">
        <v>16</v>
      </c>
      <c r="K422" s="6" t="s">
        <v>17</v>
      </c>
      <c r="L422" s="6" t="s">
        <v>1304</v>
      </c>
    </row>
    <row r="423" ht="22.5" customHeight="1">
      <c r="A423" s="5">
        <v>46171.564294502314</v>
      </c>
      <c r="B423" s="6" t="s">
        <v>1305</v>
      </c>
      <c r="C423" s="6" t="s">
        <v>1306</v>
      </c>
      <c r="D423" s="3" t="str">
        <f t="shared" si="1"/>
        <v>AE-0422</v>
      </c>
      <c r="E423" s="3">
        <f t="array" ref="E423">IFERROR(XLOOKUP(D423,'Astronomy 101 Week 1 Quiz (Resp'!F:F,'Astronomy 101 Week 1 Quiz (Resp'!E:E),0)</f>
        <v>0</v>
      </c>
      <c r="F423" s="3" t="s">
        <v>14</v>
      </c>
      <c r="G423" s="3"/>
      <c r="H423" s="6">
        <v>8.140134984E9</v>
      </c>
      <c r="I423" s="6" t="s">
        <v>1307</v>
      </c>
      <c r="J423" s="6" t="s">
        <v>16</v>
      </c>
      <c r="K423" s="6" t="s">
        <v>17</v>
      </c>
    </row>
    <row r="424" ht="22.5" customHeight="1">
      <c r="A424" s="5">
        <v>46171.56494144676</v>
      </c>
      <c r="B424" s="6" t="s">
        <v>1308</v>
      </c>
      <c r="C424" s="6" t="s">
        <v>1309</v>
      </c>
      <c r="D424" s="3" t="str">
        <f t="shared" si="1"/>
        <v>AE-0423</v>
      </c>
      <c r="E424" s="3">
        <f t="array" ref="E424">IFERROR(XLOOKUP(D424,'Astronomy 101 Week 1 Quiz (Resp'!F:F,'Astronomy 101 Week 1 Quiz (Resp'!E:E),0)</f>
        <v>0</v>
      </c>
      <c r="F424" s="3" t="s">
        <v>14</v>
      </c>
      <c r="G424" s="3"/>
      <c r="H424" s="6">
        <v>9.022536975E9</v>
      </c>
      <c r="I424" s="6" t="s">
        <v>1310</v>
      </c>
      <c r="J424" s="6" t="s">
        <v>16</v>
      </c>
      <c r="K424" s="6" t="s">
        <v>43</v>
      </c>
      <c r="L424" s="6" t="s">
        <v>1311</v>
      </c>
    </row>
    <row r="425" ht="22.5" customHeight="1">
      <c r="A425" s="5">
        <v>46171.56546890046</v>
      </c>
      <c r="B425" s="6" t="s">
        <v>1312</v>
      </c>
      <c r="C425" s="6" t="s">
        <v>1313</v>
      </c>
      <c r="D425" s="3" t="str">
        <f t="shared" si="1"/>
        <v>AE-0424</v>
      </c>
      <c r="E425" s="3">
        <f t="array" ref="E425">IFERROR(XLOOKUP(D425,'Astronomy 101 Week 1 Quiz (Resp'!F:F,'Astronomy 101 Week 1 Quiz (Resp'!E:E),0)</f>
        <v>0</v>
      </c>
      <c r="F425" s="3" t="s">
        <v>14</v>
      </c>
      <c r="G425" s="3"/>
      <c r="H425" s="7" t="s">
        <v>1314</v>
      </c>
      <c r="I425" s="6" t="s">
        <v>1315</v>
      </c>
      <c r="J425" s="6" t="s">
        <v>16</v>
      </c>
      <c r="K425" s="6" t="s">
        <v>17</v>
      </c>
      <c r="L425" s="6" t="s">
        <v>1316</v>
      </c>
    </row>
    <row r="426" ht="22.5" customHeight="1">
      <c r="A426" s="5">
        <v>46171.56835518518</v>
      </c>
      <c r="B426" s="6" t="s">
        <v>1317</v>
      </c>
      <c r="C426" s="6" t="s">
        <v>1318</v>
      </c>
      <c r="D426" s="3" t="str">
        <f t="shared" si="1"/>
        <v>AE-0425</v>
      </c>
      <c r="E426" s="3">
        <f t="array" ref="E426">IFERROR(XLOOKUP(D426,'Astronomy 101 Week 1 Quiz (Resp'!F:F,'Astronomy 101 Week 1 Quiz (Resp'!E:E),0)</f>
        <v>0</v>
      </c>
      <c r="F426" s="3" t="s">
        <v>14</v>
      </c>
      <c r="G426" s="3"/>
      <c r="H426" s="6">
        <v>8.590258719E9</v>
      </c>
      <c r="I426" s="6" t="s">
        <v>1062</v>
      </c>
      <c r="J426" s="6" t="s">
        <v>16</v>
      </c>
      <c r="K426" s="6" t="s">
        <v>47</v>
      </c>
    </row>
    <row r="427" ht="22.5" customHeight="1">
      <c r="A427" s="5">
        <v>46171.56910094907</v>
      </c>
      <c r="B427" s="6" t="s">
        <v>1319</v>
      </c>
      <c r="C427" s="6" t="s">
        <v>1320</v>
      </c>
      <c r="D427" s="3" t="str">
        <f t="shared" si="1"/>
        <v>AE-0426</v>
      </c>
      <c r="E427" s="3">
        <f t="array" ref="E427">IFERROR(XLOOKUP(D427,'Astronomy 101 Week 1 Quiz (Resp'!F:F,'Astronomy 101 Week 1 Quiz (Resp'!E:E),0)</f>
        <v>0</v>
      </c>
      <c r="F427" s="3" t="s">
        <v>14</v>
      </c>
      <c r="G427" s="3"/>
      <c r="H427" s="6">
        <v>9.433999382E9</v>
      </c>
      <c r="I427" s="6" t="s">
        <v>1321</v>
      </c>
      <c r="J427" s="6" t="s">
        <v>16</v>
      </c>
      <c r="K427" s="6" t="s">
        <v>61</v>
      </c>
      <c r="L427" s="6" t="s">
        <v>1322</v>
      </c>
    </row>
    <row r="428" ht="22.5" customHeight="1">
      <c r="A428" s="5">
        <v>46171.56954418981</v>
      </c>
      <c r="B428" s="6" t="s">
        <v>1323</v>
      </c>
      <c r="C428" s="6" t="s">
        <v>1324</v>
      </c>
      <c r="D428" s="3" t="str">
        <f t="shared" si="1"/>
        <v>AE-0427</v>
      </c>
      <c r="E428" s="3">
        <f t="array" ref="E428">IFERROR(XLOOKUP(D428,'Astronomy 101 Week 1 Quiz (Resp'!F:F,'Astronomy 101 Week 1 Quiz (Resp'!E:E),0)</f>
        <v>36</v>
      </c>
      <c r="F428" s="3" t="s">
        <v>14</v>
      </c>
      <c r="G428" s="3"/>
      <c r="H428" s="6">
        <v>7.012560335E9</v>
      </c>
      <c r="I428" s="6" t="s">
        <v>1325</v>
      </c>
      <c r="J428" s="6" t="s">
        <v>16</v>
      </c>
      <c r="K428" s="6" t="s">
        <v>17</v>
      </c>
      <c r="L428" s="6" t="s">
        <v>1326</v>
      </c>
    </row>
    <row r="429" ht="22.5" customHeight="1">
      <c r="A429" s="5">
        <v>46171.57052317129</v>
      </c>
      <c r="B429" s="6" t="s">
        <v>1327</v>
      </c>
      <c r="C429" s="6" t="s">
        <v>1328</v>
      </c>
      <c r="D429" s="3" t="str">
        <f t="shared" si="1"/>
        <v>AE-0428</v>
      </c>
      <c r="E429" s="3">
        <f t="array" ref="E429">IFERROR(XLOOKUP(D429,'Astronomy 101 Week 1 Quiz (Resp'!F:F,'Astronomy 101 Week 1 Quiz (Resp'!E:E),0)</f>
        <v>0</v>
      </c>
      <c r="F429" s="3" t="s">
        <v>14</v>
      </c>
      <c r="G429" s="3"/>
      <c r="H429" s="6">
        <v>8.9208751E9</v>
      </c>
      <c r="I429" s="6" t="s">
        <v>1329</v>
      </c>
      <c r="J429" s="6" t="s">
        <v>16</v>
      </c>
      <c r="K429" s="6" t="s">
        <v>82</v>
      </c>
      <c r="L429" s="6" t="s">
        <v>1330</v>
      </c>
    </row>
    <row r="430" ht="22.5" customHeight="1">
      <c r="A430" s="5">
        <v>46171.570696863426</v>
      </c>
      <c r="B430" s="6" t="s">
        <v>1331</v>
      </c>
      <c r="C430" s="6" t="s">
        <v>1332</v>
      </c>
      <c r="D430" s="3" t="str">
        <f t="shared" si="1"/>
        <v>AE-0429</v>
      </c>
      <c r="E430" s="3">
        <f t="array" ref="E430">IFERROR(XLOOKUP(D430,'Astronomy 101 Week 1 Quiz (Resp'!F:F,'Astronomy 101 Week 1 Quiz (Resp'!E:E),0)</f>
        <v>15</v>
      </c>
      <c r="F430" s="3" t="s">
        <v>14</v>
      </c>
      <c r="G430" s="3"/>
      <c r="H430" s="6">
        <v>9.43366484E9</v>
      </c>
      <c r="I430" s="6" t="s">
        <v>1333</v>
      </c>
      <c r="J430" s="6" t="s">
        <v>16</v>
      </c>
      <c r="K430" s="6" t="s">
        <v>21</v>
      </c>
      <c r="L430" s="6" t="s">
        <v>1334</v>
      </c>
    </row>
    <row r="431" ht="22.5" customHeight="1">
      <c r="A431" s="5">
        <v>46171.57102101852</v>
      </c>
      <c r="B431" s="6" t="s">
        <v>1335</v>
      </c>
      <c r="C431" s="6" t="s">
        <v>1336</v>
      </c>
      <c r="D431" s="3" t="str">
        <f t="shared" si="1"/>
        <v>AE-0430</v>
      </c>
      <c r="E431" s="3">
        <f t="array" ref="E431">IFERROR(XLOOKUP(D431,'Astronomy 101 Week 1 Quiz (Resp'!F:F,'Astronomy 101 Week 1 Quiz (Resp'!E:E),0)</f>
        <v>42</v>
      </c>
      <c r="F431" s="3" t="s">
        <v>14</v>
      </c>
      <c r="G431" s="3"/>
      <c r="H431" s="6">
        <v>7.278433495E9</v>
      </c>
      <c r="I431" s="6" t="s">
        <v>1337</v>
      </c>
      <c r="J431" s="6" t="s">
        <v>16</v>
      </c>
      <c r="K431" s="6" t="s">
        <v>17</v>
      </c>
    </row>
    <row r="432" ht="22.5" customHeight="1">
      <c r="A432" s="5">
        <v>46171.57117243056</v>
      </c>
      <c r="B432" s="6" t="s">
        <v>1338</v>
      </c>
      <c r="C432" s="6" t="s">
        <v>1339</v>
      </c>
      <c r="D432" s="3" t="str">
        <f t="shared" si="1"/>
        <v>AE-0431</v>
      </c>
      <c r="E432" s="3">
        <f t="array" ref="E432">IFERROR(XLOOKUP(D432,'Astronomy 101 Week 1 Quiz (Resp'!F:F,'Astronomy 101 Week 1 Quiz (Resp'!E:E),0)</f>
        <v>0</v>
      </c>
      <c r="F432" s="3" t="s">
        <v>14</v>
      </c>
      <c r="G432" s="3"/>
      <c r="H432" s="6">
        <v>9.870174676E9</v>
      </c>
      <c r="I432" s="6" t="s">
        <v>1340</v>
      </c>
      <c r="J432" s="6" t="s">
        <v>16</v>
      </c>
      <c r="K432" s="6" t="s">
        <v>21</v>
      </c>
      <c r="L432" s="6" t="s">
        <v>1341</v>
      </c>
    </row>
    <row r="433" ht="22.5" customHeight="1">
      <c r="A433" s="5">
        <v>46171.57285377315</v>
      </c>
      <c r="B433" s="6" t="s">
        <v>1342</v>
      </c>
      <c r="C433" s="6" t="s">
        <v>1343</v>
      </c>
      <c r="D433" s="3" t="str">
        <f t="shared" si="1"/>
        <v>AE-0432</v>
      </c>
      <c r="E433" s="3">
        <f t="array" ref="E433">IFERROR(XLOOKUP(D433,'Astronomy 101 Week 1 Quiz (Resp'!F:F,'Astronomy 101 Week 1 Quiz (Resp'!E:E),0)</f>
        <v>0</v>
      </c>
      <c r="F433" s="3" t="s">
        <v>14</v>
      </c>
      <c r="G433" s="3"/>
      <c r="H433" s="6">
        <v>9.011053618E9</v>
      </c>
      <c r="I433" s="6" t="s">
        <v>1344</v>
      </c>
      <c r="J433" s="6" t="s">
        <v>16</v>
      </c>
      <c r="K433" s="6" t="s">
        <v>25</v>
      </c>
    </row>
    <row r="434" ht="22.5" customHeight="1">
      <c r="A434" s="5">
        <v>46171.57422512732</v>
      </c>
      <c r="B434" s="6" t="s">
        <v>1345</v>
      </c>
      <c r="C434" s="8" t="s">
        <v>1346</v>
      </c>
      <c r="D434" s="3" t="str">
        <f t="shared" si="1"/>
        <v>AE-0433</v>
      </c>
      <c r="E434" s="3">
        <f t="array" ref="E434">IFERROR(XLOOKUP(D434,'Astronomy 101 Week 1 Quiz (Resp'!F:F,'Astronomy 101 Week 1 Quiz (Resp'!E:E),0)</f>
        <v>43</v>
      </c>
      <c r="F434" s="3" t="s">
        <v>734</v>
      </c>
      <c r="G434" s="3" t="s">
        <v>1347</v>
      </c>
      <c r="H434" s="6" t="s">
        <v>1348</v>
      </c>
      <c r="I434" s="6" t="s">
        <v>1349</v>
      </c>
      <c r="J434" s="6" t="s">
        <v>16</v>
      </c>
      <c r="K434" s="6" t="s">
        <v>61</v>
      </c>
      <c r="L434" s="6" t="s">
        <v>1350</v>
      </c>
    </row>
    <row r="435" ht="22.5" customHeight="1">
      <c r="A435" s="5">
        <v>46171.57425972223</v>
      </c>
      <c r="B435" s="6" t="s">
        <v>1351</v>
      </c>
      <c r="C435" s="6" t="s">
        <v>1352</v>
      </c>
      <c r="D435" s="3" t="str">
        <f t="shared" si="1"/>
        <v>AE-0434</v>
      </c>
      <c r="E435" s="3">
        <f t="array" ref="E435">IFERROR(XLOOKUP(D435,'Astronomy 101 Week 1 Quiz (Resp'!F:F,'Astronomy 101 Week 1 Quiz (Resp'!E:E),0)</f>
        <v>9</v>
      </c>
      <c r="F435" s="3" t="s">
        <v>14</v>
      </c>
      <c r="G435" s="3"/>
      <c r="H435" s="6">
        <v>9.540003673E9</v>
      </c>
      <c r="I435" s="6" t="s">
        <v>1349</v>
      </c>
      <c r="J435" s="6" t="s">
        <v>16</v>
      </c>
      <c r="K435" s="6" t="s">
        <v>43</v>
      </c>
      <c r="L435" s="6" t="s">
        <v>1353</v>
      </c>
    </row>
    <row r="436" ht="22.5" customHeight="1">
      <c r="A436" s="5">
        <v>46171.57432861111</v>
      </c>
      <c r="B436" s="6" t="s">
        <v>1354</v>
      </c>
      <c r="C436" s="6" t="s">
        <v>1355</v>
      </c>
      <c r="D436" s="3" t="str">
        <f t="shared" si="1"/>
        <v>AE-0435</v>
      </c>
      <c r="E436" s="3">
        <f t="array" ref="E436">IFERROR(XLOOKUP(D436,'Astronomy 101 Week 1 Quiz (Resp'!F:F,'Astronomy 101 Week 1 Quiz (Resp'!E:E),0)</f>
        <v>0</v>
      </c>
      <c r="F436" s="3" t="s">
        <v>14</v>
      </c>
      <c r="G436" s="3"/>
      <c r="H436" s="6">
        <v>9.361456105E9</v>
      </c>
      <c r="I436" s="6" t="s">
        <v>1356</v>
      </c>
      <c r="J436" s="6" t="s">
        <v>16</v>
      </c>
      <c r="K436" s="6" t="s">
        <v>17</v>
      </c>
      <c r="L436" s="6" t="s">
        <v>1357</v>
      </c>
    </row>
    <row r="437" ht="22.5" customHeight="1">
      <c r="A437" s="5">
        <v>46171.57446133102</v>
      </c>
      <c r="B437" s="6" t="s">
        <v>1358</v>
      </c>
      <c r="C437" s="6" t="s">
        <v>1359</v>
      </c>
      <c r="D437" s="3" t="str">
        <f t="shared" si="1"/>
        <v>AE-0436</v>
      </c>
      <c r="E437" s="3">
        <f t="array" ref="E437">IFERROR(XLOOKUP(D437,'Astronomy 101 Week 1 Quiz (Resp'!F:F,'Astronomy 101 Week 1 Quiz (Resp'!E:E),0)</f>
        <v>0</v>
      </c>
      <c r="F437" s="3" t="s">
        <v>14</v>
      </c>
      <c r="G437" s="3"/>
      <c r="H437" s="6">
        <v>8.741986045E9</v>
      </c>
      <c r="I437" s="6" t="s">
        <v>1360</v>
      </c>
      <c r="J437" s="6" t="s">
        <v>16</v>
      </c>
      <c r="K437" s="6" t="s">
        <v>17</v>
      </c>
      <c r="L437" s="6" t="s">
        <v>1361</v>
      </c>
    </row>
    <row r="438" ht="22.5" customHeight="1">
      <c r="A438" s="5">
        <v>46171.57563450231</v>
      </c>
      <c r="B438" s="6" t="s">
        <v>1362</v>
      </c>
      <c r="C438" s="6" t="s">
        <v>1363</v>
      </c>
      <c r="D438" s="3" t="str">
        <f t="shared" si="1"/>
        <v>AE-0437</v>
      </c>
      <c r="E438" s="3">
        <f t="array" ref="E438">IFERROR(XLOOKUP(D438,'Astronomy 101 Week 1 Quiz (Resp'!F:F,'Astronomy 101 Week 1 Quiz (Resp'!E:E),0)</f>
        <v>0</v>
      </c>
      <c r="F438" s="3" t="s">
        <v>14</v>
      </c>
      <c r="G438" s="3"/>
      <c r="H438" s="6">
        <v>7.005407996E9</v>
      </c>
      <c r="I438" s="6" t="s">
        <v>1364</v>
      </c>
      <c r="J438" s="6" t="s">
        <v>16</v>
      </c>
      <c r="K438" s="6" t="s">
        <v>82</v>
      </c>
      <c r="L438" s="6" t="s">
        <v>1365</v>
      </c>
    </row>
    <row r="439" ht="22.5" customHeight="1">
      <c r="A439" s="5">
        <v>46171.57582261574</v>
      </c>
      <c r="B439" s="6" t="s">
        <v>1366</v>
      </c>
      <c r="C439" s="6" t="s">
        <v>1367</v>
      </c>
      <c r="D439" s="3" t="str">
        <f t="shared" si="1"/>
        <v>AE-0438</v>
      </c>
      <c r="E439" s="3">
        <f t="array" ref="E439">IFERROR(XLOOKUP(D439,'Astronomy 101 Week 1 Quiz (Resp'!F:F,'Astronomy 101 Week 1 Quiz (Resp'!E:E),0)</f>
        <v>0</v>
      </c>
      <c r="F439" s="3" t="s">
        <v>14</v>
      </c>
      <c r="G439" s="3"/>
      <c r="H439" s="6">
        <v>8.279874643E9</v>
      </c>
      <c r="I439" s="6" t="s">
        <v>1349</v>
      </c>
      <c r="J439" s="6" t="s">
        <v>16</v>
      </c>
      <c r="K439" s="6" t="s">
        <v>47</v>
      </c>
      <c r="L439" s="6" t="s">
        <v>1368</v>
      </c>
    </row>
    <row r="440" ht="22.5" customHeight="1">
      <c r="A440" s="5">
        <v>46171.57709895833</v>
      </c>
      <c r="B440" s="6" t="s">
        <v>1369</v>
      </c>
      <c r="C440" s="6" t="s">
        <v>1370</v>
      </c>
      <c r="D440" s="3" t="str">
        <f t="shared" si="1"/>
        <v>AE-0439</v>
      </c>
      <c r="E440" s="3">
        <f t="array" ref="E440">IFERROR(XLOOKUP(D440,'Astronomy 101 Week 1 Quiz (Resp'!F:F,'Astronomy 101 Week 1 Quiz (Resp'!E:E),0)</f>
        <v>0</v>
      </c>
      <c r="F440" s="3" t="s">
        <v>14</v>
      </c>
      <c r="G440" s="3"/>
      <c r="H440" s="6">
        <v>7.550260404E9</v>
      </c>
      <c r="I440" s="6" t="s">
        <v>29</v>
      </c>
      <c r="J440" s="6" t="s">
        <v>16</v>
      </c>
      <c r="K440" s="6" t="s">
        <v>25</v>
      </c>
      <c r="L440" s="6" t="s">
        <v>1371</v>
      </c>
    </row>
    <row r="441" ht="22.5" customHeight="1">
      <c r="A441" s="5">
        <v>46171.578518587965</v>
      </c>
      <c r="B441" s="6" t="s">
        <v>1372</v>
      </c>
      <c r="C441" s="6" t="s">
        <v>1373</v>
      </c>
      <c r="D441" s="3" t="str">
        <f t="shared" si="1"/>
        <v>AE-0440</v>
      </c>
      <c r="E441" s="3">
        <f t="array" ref="E441">IFERROR(XLOOKUP(D441,'Astronomy 101 Week 1 Quiz (Resp'!F:F,'Astronomy 101 Week 1 Quiz (Resp'!E:E),0)</f>
        <v>43</v>
      </c>
      <c r="F441" s="3" t="s">
        <v>14</v>
      </c>
      <c r="G441" s="3"/>
      <c r="H441" s="6">
        <v>9.328119842E9</v>
      </c>
      <c r="I441" s="6" t="s">
        <v>1374</v>
      </c>
      <c r="J441" s="6" t="s">
        <v>16</v>
      </c>
      <c r="K441" s="6" t="s">
        <v>21</v>
      </c>
      <c r="L441" s="6" t="s">
        <v>1375</v>
      </c>
    </row>
    <row r="442" ht="22.5" customHeight="1">
      <c r="A442" s="5">
        <v>46171.57862421296</v>
      </c>
      <c r="B442" s="6" t="s">
        <v>1376</v>
      </c>
      <c r="C442" s="6" t="s">
        <v>1377</v>
      </c>
      <c r="D442" s="3" t="str">
        <f t="shared" si="1"/>
        <v>AE-0441</v>
      </c>
      <c r="E442" s="3">
        <f t="array" ref="E442">IFERROR(XLOOKUP(D442,'Astronomy 101 Week 1 Quiz (Resp'!F:F,'Astronomy 101 Week 1 Quiz (Resp'!E:E),0)</f>
        <v>0</v>
      </c>
      <c r="F442" s="3" t="s">
        <v>14</v>
      </c>
      <c r="G442" s="3"/>
      <c r="H442" s="6">
        <v>7.652017313E9</v>
      </c>
      <c r="I442" s="6" t="s">
        <v>1378</v>
      </c>
      <c r="J442" s="6" t="s">
        <v>16</v>
      </c>
      <c r="K442" s="6" t="s">
        <v>17</v>
      </c>
      <c r="L442" s="6" t="s">
        <v>1379</v>
      </c>
    </row>
    <row r="443" ht="22.5" customHeight="1">
      <c r="A443" s="5">
        <v>46171.57872790509</v>
      </c>
      <c r="B443" s="6" t="s">
        <v>1380</v>
      </c>
      <c r="C443" s="6" t="s">
        <v>1381</v>
      </c>
      <c r="D443" s="3" t="str">
        <f t="shared" si="1"/>
        <v>AE-0442</v>
      </c>
      <c r="E443" s="3">
        <f t="array" ref="E443">IFERROR(XLOOKUP(D443,'Astronomy 101 Week 1 Quiz (Resp'!F:F,'Astronomy 101 Week 1 Quiz (Resp'!E:E),0)</f>
        <v>0</v>
      </c>
      <c r="F443" s="3" t="s">
        <v>14</v>
      </c>
      <c r="G443" s="3"/>
      <c r="H443" s="6">
        <v>9.007542225E9</v>
      </c>
      <c r="I443" s="6" t="s">
        <v>1382</v>
      </c>
      <c r="J443" s="6" t="s">
        <v>16</v>
      </c>
      <c r="K443" s="6" t="s">
        <v>17</v>
      </c>
      <c r="L443" s="6" t="s">
        <v>1383</v>
      </c>
    </row>
    <row r="444" ht="22.5" customHeight="1">
      <c r="A444" s="5">
        <v>46171.579158761575</v>
      </c>
      <c r="B444" s="6" t="s">
        <v>1384</v>
      </c>
      <c r="C444" s="6" t="s">
        <v>1385</v>
      </c>
      <c r="D444" s="3" t="str">
        <f t="shared" si="1"/>
        <v>AE-0443</v>
      </c>
      <c r="E444" s="3">
        <f t="array" ref="E444">IFERROR(XLOOKUP(D444,'Astronomy 101 Week 1 Quiz (Resp'!F:F,'Astronomy 101 Week 1 Quiz (Resp'!E:E),0)</f>
        <v>0</v>
      </c>
      <c r="F444" s="3" t="s">
        <v>14</v>
      </c>
      <c r="G444" s="3"/>
      <c r="H444" s="6">
        <v>9.832097612E9</v>
      </c>
      <c r="I444" s="6" t="s">
        <v>1386</v>
      </c>
      <c r="J444" s="6" t="s">
        <v>16</v>
      </c>
      <c r="K444" s="6" t="s">
        <v>25</v>
      </c>
      <c r="L444" s="6" t="s">
        <v>1387</v>
      </c>
    </row>
    <row r="445" ht="22.5" customHeight="1">
      <c r="A445" s="5">
        <v>46171.5812878125</v>
      </c>
      <c r="B445" s="6" t="s">
        <v>1388</v>
      </c>
      <c r="C445" s="6" t="s">
        <v>1389</v>
      </c>
      <c r="D445" s="3" t="str">
        <f t="shared" si="1"/>
        <v>AE-0444</v>
      </c>
      <c r="E445" s="3">
        <f t="array" ref="E445">IFERROR(XLOOKUP(D445,'Astronomy 101 Week 1 Quiz (Resp'!F:F,'Astronomy 101 Week 1 Quiz (Resp'!E:E),0)</f>
        <v>0</v>
      </c>
      <c r="F445" s="3" t="s">
        <v>14</v>
      </c>
      <c r="G445" s="3"/>
      <c r="H445" s="6">
        <v>9.647131342E9</v>
      </c>
      <c r="I445" s="6" t="s">
        <v>1390</v>
      </c>
      <c r="J445" s="6" t="s">
        <v>16</v>
      </c>
      <c r="K445" s="6" t="s">
        <v>17</v>
      </c>
    </row>
    <row r="446" ht="22.5" customHeight="1">
      <c r="A446" s="5">
        <v>46171.58331716435</v>
      </c>
      <c r="B446" s="6" t="s">
        <v>1391</v>
      </c>
      <c r="C446" s="6" t="s">
        <v>1392</v>
      </c>
      <c r="D446" s="3" t="str">
        <f t="shared" si="1"/>
        <v>AE-0445</v>
      </c>
      <c r="E446" s="3">
        <f t="array" ref="E446">IFERROR(XLOOKUP(D446,'Astronomy 101 Week 1 Quiz (Resp'!F:F,'Astronomy 101 Week 1 Quiz (Resp'!E:E),0)</f>
        <v>0</v>
      </c>
      <c r="F446" s="3" t="s">
        <v>14</v>
      </c>
      <c r="G446" s="3"/>
      <c r="H446" s="6">
        <v>8.09959707E9</v>
      </c>
      <c r="I446" s="6" t="s">
        <v>1393</v>
      </c>
      <c r="J446" s="6" t="s">
        <v>16</v>
      </c>
      <c r="K446" s="6" t="s">
        <v>21</v>
      </c>
      <c r="L446" s="6" t="s">
        <v>1394</v>
      </c>
    </row>
    <row r="447" ht="22.5" customHeight="1">
      <c r="A447" s="5">
        <v>46171.58356109954</v>
      </c>
      <c r="B447" s="6" t="s">
        <v>1395</v>
      </c>
      <c r="C447" s="6" t="s">
        <v>1396</v>
      </c>
      <c r="D447" s="3" t="str">
        <f t="shared" si="1"/>
        <v>AE-0446</v>
      </c>
      <c r="E447" s="3">
        <f t="array" ref="E447">IFERROR(XLOOKUP(D447,'Astronomy 101 Week 1 Quiz (Resp'!F:F,'Astronomy 101 Week 1 Quiz (Resp'!E:E),0)</f>
        <v>0</v>
      </c>
      <c r="F447" s="3" t="s">
        <v>14</v>
      </c>
      <c r="G447" s="3"/>
      <c r="H447" s="6">
        <v>9.665230253E9</v>
      </c>
      <c r="I447" s="6" t="s">
        <v>1113</v>
      </c>
      <c r="J447" s="6" t="s">
        <v>16</v>
      </c>
      <c r="K447" s="6" t="s">
        <v>17</v>
      </c>
    </row>
    <row r="448" ht="22.5" customHeight="1">
      <c r="A448" s="5">
        <v>46171.58570326389</v>
      </c>
      <c r="B448" s="6" t="s">
        <v>1397</v>
      </c>
      <c r="C448" s="6" t="s">
        <v>1398</v>
      </c>
      <c r="D448" s="3" t="str">
        <f t="shared" si="1"/>
        <v>AE-0447</v>
      </c>
      <c r="E448" s="3">
        <f t="array" ref="E448">IFERROR(XLOOKUP(D448,'Astronomy 101 Week 1 Quiz (Resp'!F:F,'Astronomy 101 Week 1 Quiz (Resp'!E:E),0)</f>
        <v>0</v>
      </c>
      <c r="F448" s="3" t="s">
        <v>14</v>
      </c>
      <c r="G448" s="3"/>
      <c r="H448" s="6">
        <v>7.020599284E9</v>
      </c>
      <c r="I448" s="6" t="s">
        <v>1399</v>
      </c>
      <c r="J448" s="6" t="s">
        <v>16</v>
      </c>
      <c r="K448" s="6" t="s">
        <v>17</v>
      </c>
      <c r="L448" s="6" t="s">
        <v>1400</v>
      </c>
    </row>
    <row r="449" ht="22.5" customHeight="1">
      <c r="A449" s="5">
        <v>46171.58582898148</v>
      </c>
      <c r="B449" s="6" t="s">
        <v>1401</v>
      </c>
      <c r="C449" s="6" t="s">
        <v>1402</v>
      </c>
      <c r="D449" s="3" t="str">
        <f t="shared" si="1"/>
        <v>AE-0448</v>
      </c>
      <c r="E449" s="3">
        <f t="array" ref="E449">IFERROR(XLOOKUP(D449,'Astronomy 101 Week 1 Quiz (Resp'!F:F,'Astronomy 101 Week 1 Quiz (Resp'!E:E),0)</f>
        <v>0</v>
      </c>
      <c r="F449" s="3" t="s">
        <v>14</v>
      </c>
      <c r="G449" s="3"/>
      <c r="H449" s="6">
        <v>7.821930554E9</v>
      </c>
      <c r="I449" s="6" t="s">
        <v>975</v>
      </c>
      <c r="J449" s="6" t="s">
        <v>16</v>
      </c>
      <c r="K449" s="6" t="s">
        <v>21</v>
      </c>
    </row>
    <row r="450" ht="22.5" customHeight="1">
      <c r="A450" s="5">
        <v>46171.585948078704</v>
      </c>
      <c r="B450" s="6" t="s">
        <v>1403</v>
      </c>
      <c r="C450" s="6" t="s">
        <v>1404</v>
      </c>
      <c r="D450" s="3" t="str">
        <f t="shared" si="1"/>
        <v>AE-0449</v>
      </c>
      <c r="E450" s="3">
        <f t="array" ref="E450">IFERROR(XLOOKUP(D450,'Astronomy 101 Week 1 Quiz (Resp'!F:F,'Astronomy 101 Week 1 Quiz (Resp'!E:E),0)</f>
        <v>0</v>
      </c>
      <c r="F450" s="3" t="s">
        <v>14</v>
      </c>
      <c r="G450" s="3"/>
      <c r="H450" s="6">
        <v>7.517356489E9</v>
      </c>
      <c r="I450" s="6" t="s">
        <v>1139</v>
      </c>
      <c r="J450" s="6" t="s">
        <v>16</v>
      </c>
      <c r="K450" s="6" t="s">
        <v>17</v>
      </c>
    </row>
    <row r="451" ht="22.5" customHeight="1">
      <c r="A451" s="5">
        <v>46171.586066006945</v>
      </c>
      <c r="B451" s="6" t="s">
        <v>1405</v>
      </c>
      <c r="C451" s="6" t="s">
        <v>1406</v>
      </c>
      <c r="D451" s="3" t="str">
        <f t="shared" si="1"/>
        <v>AE-0450</v>
      </c>
      <c r="E451" s="3">
        <f t="array" ref="E451">IFERROR(XLOOKUP(D451,'Astronomy 101 Week 1 Quiz (Resp'!F:F,'Astronomy 101 Week 1 Quiz (Resp'!E:E),0)</f>
        <v>0</v>
      </c>
      <c r="F451" s="3" t="s">
        <v>14</v>
      </c>
      <c r="G451" s="3"/>
      <c r="H451" s="6">
        <v>8.968537398E9</v>
      </c>
      <c r="I451" s="6" t="s">
        <v>1407</v>
      </c>
      <c r="J451" s="6" t="s">
        <v>16</v>
      </c>
      <c r="K451" s="6" t="s">
        <v>61</v>
      </c>
      <c r="L451" s="6" t="s">
        <v>1408</v>
      </c>
    </row>
    <row r="452" ht="22.5" customHeight="1">
      <c r="A452" s="5">
        <v>46171.58663475694</v>
      </c>
      <c r="B452" s="6" t="s">
        <v>1409</v>
      </c>
      <c r="C452" s="6" t="s">
        <v>1410</v>
      </c>
      <c r="D452" s="3" t="str">
        <f t="shared" si="1"/>
        <v>AE-0451</v>
      </c>
      <c r="E452" s="3">
        <f t="array" ref="E452">IFERROR(XLOOKUP(D452,'Astronomy 101 Week 1 Quiz (Resp'!F:F,'Astronomy 101 Week 1 Quiz (Resp'!E:E),0)</f>
        <v>0</v>
      </c>
      <c r="F452" s="3" t="s">
        <v>14</v>
      </c>
      <c r="G452" s="3"/>
      <c r="H452" s="6">
        <v>8.530090224E9</v>
      </c>
      <c r="I452" s="6" t="s">
        <v>1411</v>
      </c>
      <c r="J452" s="6" t="s">
        <v>16</v>
      </c>
      <c r="K452" s="6" t="s">
        <v>17</v>
      </c>
      <c r="L452" s="6" t="s">
        <v>1412</v>
      </c>
    </row>
    <row r="453" ht="22.5" customHeight="1">
      <c r="A453" s="5">
        <v>46171.58677840278</v>
      </c>
      <c r="B453" s="6" t="s">
        <v>1413</v>
      </c>
      <c r="C453" s="6" t="s">
        <v>1414</v>
      </c>
      <c r="D453" s="3" t="str">
        <f t="shared" si="1"/>
        <v>AE-0452</v>
      </c>
      <c r="E453" s="3">
        <f t="array" ref="E453">IFERROR(XLOOKUP(D453,'Astronomy 101 Week 1 Quiz (Resp'!F:F,'Astronomy 101 Week 1 Quiz (Resp'!E:E),0)</f>
        <v>0</v>
      </c>
      <c r="F453" s="3" t="s">
        <v>14</v>
      </c>
      <c r="G453" s="3"/>
      <c r="H453" s="6">
        <v>6.306970805E9</v>
      </c>
      <c r="I453" s="6" t="s">
        <v>1415</v>
      </c>
      <c r="J453" s="6" t="s">
        <v>16</v>
      </c>
      <c r="K453" s="6" t="s">
        <v>17</v>
      </c>
      <c r="L453" s="6" t="s">
        <v>1416</v>
      </c>
    </row>
    <row r="454" ht="22.5" customHeight="1">
      <c r="A454" s="5">
        <v>46171.587043067135</v>
      </c>
      <c r="B454" s="6" t="s">
        <v>1417</v>
      </c>
      <c r="C454" s="6" t="s">
        <v>1418</v>
      </c>
      <c r="D454" s="3" t="str">
        <f t="shared" si="1"/>
        <v>AE-0453</v>
      </c>
      <c r="E454" s="3">
        <f t="array" ref="E454">IFERROR(XLOOKUP(D454,'Astronomy 101 Week 1 Quiz (Resp'!F:F,'Astronomy 101 Week 1 Quiz (Resp'!E:E),0)</f>
        <v>0</v>
      </c>
      <c r="F454" s="3" t="s">
        <v>14</v>
      </c>
      <c r="G454" s="3"/>
      <c r="H454" s="6">
        <v>8.848551448E9</v>
      </c>
      <c r="I454" s="6" t="s">
        <v>1419</v>
      </c>
      <c r="J454" s="6" t="s">
        <v>16</v>
      </c>
      <c r="K454" s="6" t="s">
        <v>47</v>
      </c>
      <c r="L454" s="6" t="s">
        <v>1420</v>
      </c>
    </row>
    <row r="455" ht="22.5" customHeight="1">
      <c r="A455" s="5">
        <v>46171.58856662037</v>
      </c>
      <c r="B455" s="6" t="s">
        <v>1421</v>
      </c>
      <c r="C455" s="6" t="s">
        <v>1422</v>
      </c>
      <c r="D455" s="3" t="str">
        <f t="shared" si="1"/>
        <v>AE-0454</v>
      </c>
      <c r="E455" s="3">
        <f t="array" ref="E455">IFERROR(XLOOKUP(D455,'Astronomy 101 Week 1 Quiz (Resp'!F:F,'Astronomy 101 Week 1 Quiz (Resp'!E:E),0)</f>
        <v>0</v>
      </c>
      <c r="F455" s="3" t="s">
        <v>14</v>
      </c>
      <c r="G455" s="3"/>
      <c r="H455" s="6">
        <v>8.281120744E9</v>
      </c>
      <c r="I455" s="6" t="s">
        <v>662</v>
      </c>
      <c r="J455" s="6" t="s">
        <v>16</v>
      </c>
      <c r="K455" s="6" t="s">
        <v>21</v>
      </c>
      <c r="L455" s="6" t="s">
        <v>1423</v>
      </c>
    </row>
    <row r="456" ht="22.5" customHeight="1">
      <c r="A456" s="5">
        <v>46171.588571562505</v>
      </c>
      <c r="B456" s="6" t="s">
        <v>1424</v>
      </c>
      <c r="C456" s="6" t="s">
        <v>1425</v>
      </c>
      <c r="D456" s="3" t="str">
        <f t="shared" si="1"/>
        <v>AE-0455</v>
      </c>
      <c r="E456" s="3">
        <f t="array" ref="E456">IFERROR(XLOOKUP(D456,'Astronomy 101 Week 1 Quiz (Resp'!F:F,'Astronomy 101 Week 1 Quiz (Resp'!E:E),0)</f>
        <v>0</v>
      </c>
      <c r="F456" s="3" t="s">
        <v>14</v>
      </c>
      <c r="G456" s="3"/>
      <c r="H456" s="6">
        <v>9.258444828E9</v>
      </c>
      <c r="I456" s="6" t="s">
        <v>1426</v>
      </c>
      <c r="J456" s="6" t="s">
        <v>16</v>
      </c>
      <c r="K456" s="6" t="s">
        <v>61</v>
      </c>
    </row>
    <row r="457" ht="22.5" customHeight="1">
      <c r="A457" s="5">
        <v>46171.58860427083</v>
      </c>
      <c r="B457" s="6" t="s">
        <v>1427</v>
      </c>
      <c r="C457" s="6" t="s">
        <v>1428</v>
      </c>
      <c r="D457" s="3" t="str">
        <f t="shared" si="1"/>
        <v>AE-0456</v>
      </c>
      <c r="E457" s="3">
        <f t="array" ref="E457">IFERROR(XLOOKUP(D457,'Astronomy 101 Week 1 Quiz (Resp'!F:F,'Astronomy 101 Week 1 Quiz (Resp'!E:E),0)</f>
        <v>0</v>
      </c>
      <c r="F457" s="3" t="s">
        <v>14</v>
      </c>
      <c r="G457" s="3"/>
      <c r="H457" s="6">
        <v>8.249842924E9</v>
      </c>
      <c r="I457" s="6" t="s">
        <v>1360</v>
      </c>
      <c r="J457" s="6" t="s">
        <v>16</v>
      </c>
      <c r="K457" s="6" t="s">
        <v>17</v>
      </c>
      <c r="L457" s="6" t="s">
        <v>1429</v>
      </c>
    </row>
    <row r="458" ht="22.5" customHeight="1">
      <c r="A458" s="5">
        <v>46171.58921377315</v>
      </c>
      <c r="B458" s="6" t="s">
        <v>1430</v>
      </c>
      <c r="C458" s="6" t="s">
        <v>1431</v>
      </c>
      <c r="D458" s="3" t="str">
        <f t="shared" si="1"/>
        <v>AE-0457</v>
      </c>
      <c r="E458" s="3">
        <f t="array" ref="E458">IFERROR(XLOOKUP(D458,'Astronomy 101 Week 1 Quiz (Resp'!F:F,'Astronomy 101 Week 1 Quiz (Resp'!E:E),0)</f>
        <v>0</v>
      </c>
      <c r="F458" s="3" t="s">
        <v>14</v>
      </c>
      <c r="G458" s="3"/>
      <c r="H458" s="6">
        <v>7.50602362E9</v>
      </c>
      <c r="I458" s="6" t="s">
        <v>1432</v>
      </c>
      <c r="J458" s="6" t="s">
        <v>16</v>
      </c>
      <c r="K458" s="6" t="s">
        <v>61</v>
      </c>
      <c r="L458" s="6" t="s">
        <v>1433</v>
      </c>
    </row>
    <row r="459" ht="22.5" customHeight="1">
      <c r="A459" s="5">
        <v>46171.590117604166</v>
      </c>
      <c r="B459" s="6" t="s">
        <v>1434</v>
      </c>
      <c r="C459" s="6" t="s">
        <v>1435</v>
      </c>
      <c r="D459" s="3" t="str">
        <f t="shared" si="1"/>
        <v>AE-0458</v>
      </c>
      <c r="E459" s="3">
        <f t="array" ref="E459">IFERROR(XLOOKUP(D459,'Astronomy 101 Week 1 Quiz (Resp'!F:F,'Astronomy 101 Week 1 Quiz (Resp'!E:E),0)</f>
        <v>0</v>
      </c>
      <c r="F459" s="3" t="s">
        <v>14</v>
      </c>
      <c r="G459" s="3"/>
      <c r="H459" s="6">
        <v>9.619116909E9</v>
      </c>
      <c r="I459" s="6" t="s">
        <v>1436</v>
      </c>
      <c r="J459" s="6" t="s">
        <v>16</v>
      </c>
      <c r="K459" s="6" t="s">
        <v>47</v>
      </c>
      <c r="L459" s="6" t="s">
        <v>1437</v>
      </c>
    </row>
    <row r="460" ht="22.5" customHeight="1">
      <c r="A460" s="5">
        <v>46171.59043196759</v>
      </c>
      <c r="B460" s="6" t="s">
        <v>1438</v>
      </c>
      <c r="C460" s="6" t="s">
        <v>1439</v>
      </c>
      <c r="D460" s="3" t="str">
        <f t="shared" si="1"/>
        <v>AE-0459</v>
      </c>
      <c r="E460" s="3">
        <f t="array" ref="E460">IFERROR(XLOOKUP(D460,'Astronomy 101 Week 1 Quiz (Resp'!F:F,'Astronomy 101 Week 1 Quiz (Resp'!E:E),0)</f>
        <v>0</v>
      </c>
      <c r="F460" s="3" t="s">
        <v>14</v>
      </c>
      <c r="G460" s="3"/>
      <c r="H460" s="7" t="s">
        <v>1440</v>
      </c>
      <c r="I460" s="6" t="s">
        <v>1441</v>
      </c>
      <c r="J460" s="6" t="s">
        <v>16</v>
      </c>
      <c r="K460" s="6" t="s">
        <v>17</v>
      </c>
      <c r="L460" s="6" t="s">
        <v>1442</v>
      </c>
    </row>
    <row r="461" ht="22.5" customHeight="1">
      <c r="A461" s="5">
        <v>46171.59250770834</v>
      </c>
      <c r="B461" s="6" t="s">
        <v>1443</v>
      </c>
      <c r="C461" s="6" t="s">
        <v>1444</v>
      </c>
      <c r="D461" s="3" t="str">
        <f t="shared" si="1"/>
        <v>AE-0460</v>
      </c>
      <c r="E461" s="3">
        <f t="array" ref="E461">IFERROR(XLOOKUP(D461,'Astronomy 101 Week 1 Quiz (Resp'!F:F,'Astronomy 101 Week 1 Quiz (Resp'!E:E),0)</f>
        <v>0</v>
      </c>
      <c r="F461" s="3" t="s">
        <v>14</v>
      </c>
      <c r="G461" s="3"/>
      <c r="H461" s="6">
        <v>9.356840534E9</v>
      </c>
      <c r="I461" s="6" t="s">
        <v>1445</v>
      </c>
      <c r="J461" s="6" t="s">
        <v>16</v>
      </c>
      <c r="K461" s="6" t="s">
        <v>47</v>
      </c>
    </row>
    <row r="462" ht="22.5" customHeight="1">
      <c r="A462" s="5">
        <v>46171.59436503472</v>
      </c>
      <c r="B462" s="6" t="s">
        <v>1446</v>
      </c>
      <c r="C462" s="6" t="s">
        <v>1447</v>
      </c>
      <c r="D462" s="3" t="str">
        <f t="shared" si="1"/>
        <v>AE-0461</v>
      </c>
      <c r="E462" s="3">
        <f t="array" ref="E462">IFERROR(XLOOKUP(D462,'Astronomy 101 Week 1 Quiz (Resp'!F:F,'Astronomy 101 Week 1 Quiz (Resp'!E:E),0)</f>
        <v>0</v>
      </c>
      <c r="F462" s="3" t="s">
        <v>14</v>
      </c>
      <c r="G462" s="3"/>
      <c r="H462" s="6">
        <v>8.509732101E9</v>
      </c>
      <c r="I462" s="6" t="s">
        <v>742</v>
      </c>
      <c r="J462" s="6" t="s">
        <v>16</v>
      </c>
      <c r="K462" s="6" t="s">
        <v>47</v>
      </c>
      <c r="L462" s="6" t="s">
        <v>1448</v>
      </c>
    </row>
    <row r="463" ht="22.5" customHeight="1">
      <c r="A463" s="5">
        <v>46171.597149189816</v>
      </c>
      <c r="B463" s="6" t="s">
        <v>1449</v>
      </c>
      <c r="C463" s="6" t="s">
        <v>1450</v>
      </c>
      <c r="D463" s="3" t="str">
        <f t="shared" si="1"/>
        <v>AE-0462</v>
      </c>
      <c r="E463" s="3">
        <f t="array" ref="E463">IFERROR(XLOOKUP(D463,'Astronomy 101 Week 1 Quiz (Resp'!F:F,'Astronomy 101 Week 1 Quiz (Resp'!E:E),0)</f>
        <v>39</v>
      </c>
      <c r="F463" s="3" t="s">
        <v>14</v>
      </c>
      <c r="G463" s="3"/>
      <c r="H463" s="6">
        <v>9.637727089E9</v>
      </c>
      <c r="I463" s="6" t="s">
        <v>783</v>
      </c>
      <c r="J463" s="6" t="s">
        <v>16</v>
      </c>
      <c r="K463" s="6" t="s">
        <v>17</v>
      </c>
      <c r="L463" s="6" t="s">
        <v>1451</v>
      </c>
    </row>
    <row r="464" ht="22.5" customHeight="1">
      <c r="A464" s="5">
        <v>46171.59886290509</v>
      </c>
      <c r="B464" s="6" t="s">
        <v>1452</v>
      </c>
      <c r="C464" s="6" t="s">
        <v>1453</v>
      </c>
      <c r="D464" s="3" t="str">
        <f t="shared" si="1"/>
        <v>AE-0463</v>
      </c>
      <c r="E464" s="3">
        <f t="array" ref="E464">IFERROR(XLOOKUP(D464,'Astronomy 101 Week 1 Quiz (Resp'!F:F,'Astronomy 101 Week 1 Quiz (Resp'!E:E),0)</f>
        <v>0</v>
      </c>
      <c r="F464" s="3" t="s">
        <v>14</v>
      </c>
      <c r="G464" s="3"/>
      <c r="H464" s="6">
        <v>8.073205415E9</v>
      </c>
      <c r="I464" s="6" t="s">
        <v>1374</v>
      </c>
      <c r="J464" s="6" t="s">
        <v>16</v>
      </c>
      <c r="K464" s="6" t="s">
        <v>21</v>
      </c>
      <c r="L464" s="6" t="s">
        <v>1454</v>
      </c>
    </row>
    <row r="465" ht="22.5" customHeight="1">
      <c r="A465" s="5">
        <v>46171.600464247684</v>
      </c>
      <c r="B465" s="6" t="s">
        <v>1455</v>
      </c>
      <c r="C465" s="6" t="s">
        <v>1456</v>
      </c>
      <c r="D465" s="3" t="str">
        <f t="shared" si="1"/>
        <v>AE-0464</v>
      </c>
      <c r="E465" s="3">
        <f t="array" ref="E465">IFERROR(XLOOKUP(D465,'Astronomy 101 Week 1 Quiz (Resp'!F:F,'Astronomy 101 Week 1 Quiz (Resp'!E:E),0)</f>
        <v>33</v>
      </c>
      <c r="F465" s="3" t="s">
        <v>14</v>
      </c>
      <c r="G465" s="3"/>
      <c r="H465" s="6">
        <v>9.179840616E9</v>
      </c>
      <c r="I465" s="6" t="s">
        <v>1349</v>
      </c>
      <c r="J465" s="6" t="s">
        <v>16</v>
      </c>
      <c r="K465" s="6" t="s">
        <v>17</v>
      </c>
      <c r="L465" s="6" t="s">
        <v>1457</v>
      </c>
    </row>
    <row r="466" ht="22.5" customHeight="1">
      <c r="A466" s="5">
        <v>46171.60205768519</v>
      </c>
      <c r="B466" s="6" t="s">
        <v>1458</v>
      </c>
      <c r="C466" s="6" t="s">
        <v>1459</v>
      </c>
      <c r="D466" s="3" t="str">
        <f t="shared" si="1"/>
        <v>AE-0465</v>
      </c>
      <c r="E466" s="3">
        <f t="array" ref="E466">IFERROR(XLOOKUP(D466,'Astronomy 101 Week 1 Quiz (Resp'!F:F,'Astronomy 101 Week 1 Quiz (Resp'!E:E),0)</f>
        <v>18</v>
      </c>
      <c r="F466" s="3" t="s">
        <v>14</v>
      </c>
      <c r="G466" s="3"/>
      <c r="H466" s="6" t="s">
        <v>1460</v>
      </c>
      <c r="I466" s="6" t="s">
        <v>1461</v>
      </c>
      <c r="J466" s="6" t="s">
        <v>16</v>
      </c>
      <c r="K466" s="6" t="s">
        <v>25</v>
      </c>
      <c r="L466" s="6" t="s">
        <v>1462</v>
      </c>
    </row>
    <row r="467" ht="22.5" customHeight="1">
      <c r="A467" s="5">
        <v>46171.603384270835</v>
      </c>
      <c r="B467" s="6" t="s">
        <v>1463</v>
      </c>
      <c r="C467" s="6" t="s">
        <v>1464</v>
      </c>
      <c r="D467" s="3" t="str">
        <f t="shared" si="1"/>
        <v>AE-0466</v>
      </c>
      <c r="E467" s="3">
        <f t="array" ref="E467">IFERROR(XLOOKUP(D467,'Astronomy 101 Week 1 Quiz (Resp'!F:F,'Astronomy 101 Week 1 Quiz (Resp'!E:E),0)</f>
        <v>44</v>
      </c>
      <c r="F467" s="3" t="s">
        <v>14</v>
      </c>
      <c r="G467" s="3"/>
      <c r="H467" s="6">
        <v>9.325324892E9</v>
      </c>
      <c r="I467" s="6" t="s">
        <v>1465</v>
      </c>
      <c r="J467" s="6" t="s">
        <v>16</v>
      </c>
      <c r="K467" s="6" t="s">
        <v>47</v>
      </c>
    </row>
    <row r="468" ht="22.5" customHeight="1">
      <c r="A468" s="5">
        <v>46171.60372032407</v>
      </c>
      <c r="B468" s="6" t="s">
        <v>1466</v>
      </c>
      <c r="C468" s="6" t="s">
        <v>1467</v>
      </c>
      <c r="D468" s="3" t="str">
        <f t="shared" si="1"/>
        <v>AE-0467</v>
      </c>
      <c r="E468" s="3">
        <f t="array" ref="E468">IFERROR(XLOOKUP(D468,'Astronomy 101 Week 1 Quiz (Resp'!F:F,'Astronomy 101 Week 1 Quiz (Resp'!E:E),0)</f>
        <v>38</v>
      </c>
      <c r="F468" s="3" t="s">
        <v>14</v>
      </c>
      <c r="G468" s="3"/>
      <c r="H468" s="6">
        <v>8.668462213E9</v>
      </c>
      <c r="I468" s="6" t="s">
        <v>1113</v>
      </c>
      <c r="J468" s="6" t="s">
        <v>16</v>
      </c>
      <c r="K468" s="6" t="s">
        <v>17</v>
      </c>
    </row>
    <row r="469" ht="22.5" customHeight="1">
      <c r="A469" s="5">
        <v>46171.60578246528</v>
      </c>
      <c r="B469" s="6" t="s">
        <v>1468</v>
      </c>
      <c r="C469" s="6" t="s">
        <v>1469</v>
      </c>
      <c r="D469" s="3" t="str">
        <f t="shared" si="1"/>
        <v>AE-0468</v>
      </c>
      <c r="E469" s="3">
        <f t="array" ref="E469">IFERROR(XLOOKUP(D469,'Astronomy 101 Week 1 Quiz (Resp'!F:F,'Astronomy 101 Week 1 Quiz (Resp'!E:E),0)</f>
        <v>0</v>
      </c>
      <c r="F469" s="3" t="s">
        <v>14</v>
      </c>
      <c r="G469" s="3"/>
      <c r="H469" s="6">
        <v>6.355142584E9</v>
      </c>
      <c r="I469" s="6" t="s">
        <v>1059</v>
      </c>
      <c r="J469" s="6" t="s">
        <v>16</v>
      </c>
      <c r="K469" s="6" t="s">
        <v>17</v>
      </c>
    </row>
    <row r="470" ht="22.5" customHeight="1">
      <c r="A470" s="5">
        <v>46171.60611417824</v>
      </c>
      <c r="B470" s="6" t="s">
        <v>1470</v>
      </c>
      <c r="C470" s="6" t="s">
        <v>1471</v>
      </c>
      <c r="D470" s="3" t="str">
        <f t="shared" si="1"/>
        <v>AE-0469</v>
      </c>
      <c r="E470" s="3">
        <f t="array" ref="E470">IFERROR(XLOOKUP(D470,'Astronomy 101 Week 1 Quiz (Resp'!F:F,'Astronomy 101 Week 1 Quiz (Resp'!E:E),0)</f>
        <v>0</v>
      </c>
      <c r="F470" s="3" t="s">
        <v>14</v>
      </c>
      <c r="G470" s="3"/>
      <c r="H470" s="6">
        <v>7.499538578E9</v>
      </c>
      <c r="I470" s="6" t="s">
        <v>1472</v>
      </c>
      <c r="J470" s="6" t="s">
        <v>16</v>
      </c>
      <c r="K470" s="6" t="s">
        <v>17</v>
      </c>
    </row>
    <row r="471" ht="22.5" customHeight="1">
      <c r="A471" s="5">
        <v>46171.60689606481</v>
      </c>
      <c r="B471" s="6" t="s">
        <v>1473</v>
      </c>
      <c r="C471" s="6" t="s">
        <v>1474</v>
      </c>
      <c r="D471" s="3" t="str">
        <f t="shared" si="1"/>
        <v>AE-0470</v>
      </c>
      <c r="E471" s="3">
        <f t="array" ref="E471">IFERROR(XLOOKUP(D471,'Astronomy 101 Week 1 Quiz (Resp'!F:F,'Astronomy 101 Week 1 Quiz (Resp'!E:E),0)</f>
        <v>28</v>
      </c>
      <c r="F471" s="3" t="s">
        <v>14</v>
      </c>
      <c r="G471" s="3"/>
      <c r="H471" s="6">
        <v>9.529119815E9</v>
      </c>
      <c r="I471" s="6" t="s">
        <v>1475</v>
      </c>
      <c r="J471" s="6" t="s">
        <v>16</v>
      </c>
      <c r="K471" s="6" t="s">
        <v>82</v>
      </c>
      <c r="L471" s="6" t="s">
        <v>1476</v>
      </c>
    </row>
    <row r="472" ht="22.5" customHeight="1">
      <c r="A472" s="5">
        <v>46171.60869375</v>
      </c>
      <c r="B472" s="6" t="s">
        <v>1477</v>
      </c>
      <c r="C472" s="6" t="s">
        <v>1478</v>
      </c>
      <c r="D472" s="3" t="str">
        <f t="shared" si="1"/>
        <v>AE-0471</v>
      </c>
      <c r="E472" s="3">
        <f t="array" ref="E472">IFERROR(XLOOKUP(D472,'Astronomy 101 Week 1 Quiz (Resp'!F:F,'Astronomy 101 Week 1 Quiz (Resp'!E:E),0)</f>
        <v>0</v>
      </c>
      <c r="F472" s="3" t="s">
        <v>14</v>
      </c>
      <c r="G472" s="3"/>
      <c r="H472" s="6">
        <v>6.289954702E9</v>
      </c>
      <c r="I472" s="6" t="s">
        <v>1479</v>
      </c>
      <c r="J472" s="6" t="s">
        <v>16</v>
      </c>
      <c r="K472" s="6" t="s">
        <v>17</v>
      </c>
      <c r="L472" s="6" t="s">
        <v>1480</v>
      </c>
    </row>
    <row r="473" ht="22.5" customHeight="1">
      <c r="A473" s="5">
        <v>46171.61338978009</v>
      </c>
      <c r="B473" s="6" t="s">
        <v>1481</v>
      </c>
      <c r="C473" s="6" t="s">
        <v>1482</v>
      </c>
      <c r="D473" s="3" t="str">
        <f t="shared" si="1"/>
        <v>AE-0472</v>
      </c>
      <c r="E473" s="3">
        <f t="array" ref="E473">IFERROR(XLOOKUP(D473,'Astronomy 101 Week 1 Quiz (Resp'!F:F,'Astronomy 101 Week 1 Quiz (Resp'!E:E),0)</f>
        <v>38</v>
      </c>
      <c r="F473" s="3" t="s">
        <v>14</v>
      </c>
      <c r="G473" s="3"/>
      <c r="H473" s="6">
        <v>7.044483264E9</v>
      </c>
      <c r="I473" s="6" t="s">
        <v>662</v>
      </c>
      <c r="J473" s="6" t="s">
        <v>16</v>
      </c>
    </row>
    <row r="474" ht="22.5" customHeight="1">
      <c r="A474" s="5">
        <v>46171.61557725695</v>
      </c>
      <c r="B474" s="6" t="s">
        <v>1483</v>
      </c>
      <c r="C474" s="6" t="s">
        <v>1484</v>
      </c>
      <c r="D474" s="3" t="str">
        <f t="shared" si="1"/>
        <v>AE-0473</v>
      </c>
      <c r="E474" s="3">
        <f t="array" ref="E474">IFERROR(XLOOKUP(D474,'Astronomy 101 Week 1 Quiz (Resp'!F:F,'Astronomy 101 Week 1 Quiz (Resp'!E:E),0)</f>
        <v>0</v>
      </c>
      <c r="F474" s="3" t="s">
        <v>14</v>
      </c>
      <c r="G474" s="3"/>
      <c r="H474" s="7" t="s">
        <v>1485</v>
      </c>
      <c r="I474" s="6" t="s">
        <v>1486</v>
      </c>
      <c r="J474" s="6" t="s">
        <v>16</v>
      </c>
      <c r="K474" s="6" t="s">
        <v>17</v>
      </c>
      <c r="L474" s="6" t="s">
        <v>1487</v>
      </c>
    </row>
    <row r="475" ht="22.5" customHeight="1">
      <c r="A475" s="5">
        <v>46171.61573564815</v>
      </c>
      <c r="B475" s="6" t="s">
        <v>1488</v>
      </c>
      <c r="C475" s="6" t="s">
        <v>1489</v>
      </c>
      <c r="D475" s="3" t="str">
        <f t="shared" si="1"/>
        <v>AE-0474</v>
      </c>
      <c r="E475" s="3">
        <f t="array" ref="E475">IFERROR(XLOOKUP(D475,'Astronomy 101 Week 1 Quiz (Resp'!F:F,'Astronomy 101 Week 1 Quiz (Resp'!E:E),0)</f>
        <v>44</v>
      </c>
      <c r="F475" s="3" t="s">
        <v>14</v>
      </c>
      <c r="G475" s="3"/>
      <c r="H475" s="6">
        <v>7.908212937E9</v>
      </c>
      <c r="I475" s="6" t="s">
        <v>698</v>
      </c>
      <c r="J475" s="6" t="s">
        <v>16</v>
      </c>
      <c r="K475" s="6" t="s">
        <v>17</v>
      </c>
    </row>
    <row r="476" ht="22.5" customHeight="1">
      <c r="A476" s="5">
        <v>46171.61642097222</v>
      </c>
      <c r="B476" s="6" t="s">
        <v>1490</v>
      </c>
      <c r="C476" s="6" t="s">
        <v>1491</v>
      </c>
      <c r="D476" s="3" t="str">
        <f t="shared" si="1"/>
        <v>AE-0475</v>
      </c>
      <c r="E476" s="3">
        <f t="array" ref="E476">IFERROR(XLOOKUP(D476,'Astronomy 101 Week 1 Quiz (Resp'!F:F,'Astronomy 101 Week 1 Quiz (Resp'!E:E),0)</f>
        <v>0</v>
      </c>
      <c r="F476" s="3" t="s">
        <v>14</v>
      </c>
      <c r="G476" s="3"/>
      <c r="H476" s="6">
        <v>7.35019247E9</v>
      </c>
      <c r="I476" s="6" t="s">
        <v>1215</v>
      </c>
      <c r="J476" s="6" t="s">
        <v>16</v>
      </c>
      <c r="K476" s="6" t="s">
        <v>17</v>
      </c>
    </row>
    <row r="477" ht="22.5" customHeight="1">
      <c r="A477" s="5">
        <v>46171.617303969906</v>
      </c>
      <c r="B477" s="6" t="s">
        <v>1492</v>
      </c>
      <c r="C477" s="6" t="s">
        <v>1493</v>
      </c>
      <c r="D477" s="3" t="str">
        <f t="shared" si="1"/>
        <v>AE-0476</v>
      </c>
      <c r="E477" s="3">
        <f t="array" ref="E477">IFERROR(XLOOKUP(D477,'Astronomy 101 Week 1 Quiz (Resp'!F:F,'Astronomy 101 Week 1 Quiz (Resp'!E:E),0)</f>
        <v>0</v>
      </c>
      <c r="F477" s="3" t="s">
        <v>14</v>
      </c>
      <c r="G477" s="3"/>
      <c r="H477" s="6">
        <v>9.61157506E9</v>
      </c>
      <c r="I477" s="6" t="s">
        <v>1494</v>
      </c>
      <c r="J477" s="6" t="s">
        <v>16</v>
      </c>
      <c r="K477" s="6" t="s">
        <v>82</v>
      </c>
    </row>
    <row r="478" ht="22.5" customHeight="1">
      <c r="A478" s="5">
        <v>46171.61943409722</v>
      </c>
      <c r="B478" s="6" t="s">
        <v>1495</v>
      </c>
      <c r="C478" s="6" t="s">
        <v>1496</v>
      </c>
      <c r="D478" s="3" t="str">
        <f t="shared" si="1"/>
        <v>AE-0477</v>
      </c>
      <c r="E478" s="3">
        <f t="array" ref="E478">IFERROR(XLOOKUP(D478,'Astronomy 101 Week 1 Quiz (Resp'!F:F,'Astronomy 101 Week 1 Quiz (Resp'!E:E),0)</f>
        <v>0</v>
      </c>
      <c r="F478" s="3" t="s">
        <v>14</v>
      </c>
      <c r="G478" s="3"/>
      <c r="H478" s="6">
        <v>7.285081928E9</v>
      </c>
      <c r="I478" s="6" t="s">
        <v>1497</v>
      </c>
      <c r="J478" s="6" t="s">
        <v>16</v>
      </c>
      <c r="K478" s="6" t="s">
        <v>17</v>
      </c>
      <c r="L478" s="6" t="s">
        <v>1498</v>
      </c>
    </row>
    <row r="479" ht="22.5" customHeight="1">
      <c r="A479" s="5">
        <v>46171.62637439815</v>
      </c>
      <c r="B479" s="6" t="s">
        <v>1499</v>
      </c>
      <c r="C479" s="6" t="s">
        <v>1500</v>
      </c>
      <c r="D479" s="3" t="str">
        <f t="shared" si="1"/>
        <v>AE-0478</v>
      </c>
      <c r="E479" s="3">
        <f t="array" ref="E479">IFERROR(XLOOKUP(D479,'Astronomy 101 Week 1 Quiz (Resp'!F:F,'Astronomy 101 Week 1 Quiz (Resp'!E:E),0)</f>
        <v>44</v>
      </c>
      <c r="F479" s="3" t="s">
        <v>14</v>
      </c>
      <c r="G479" s="3"/>
      <c r="H479" s="6">
        <v>6.291068974E9</v>
      </c>
      <c r="I479" s="6" t="s">
        <v>662</v>
      </c>
      <c r="J479" s="6" t="s">
        <v>16</v>
      </c>
      <c r="K479" s="6" t="s">
        <v>17</v>
      </c>
      <c r="L479" s="6" t="s">
        <v>1501</v>
      </c>
    </row>
    <row r="480" ht="22.5" customHeight="1">
      <c r="A480" s="5">
        <v>46171.6265890625</v>
      </c>
      <c r="B480" s="6" t="s">
        <v>1502</v>
      </c>
      <c r="C480" s="6" t="s">
        <v>1503</v>
      </c>
      <c r="D480" s="3" t="str">
        <f t="shared" si="1"/>
        <v>AE-0479</v>
      </c>
      <c r="E480" s="3">
        <f t="array" ref="E480">IFERROR(XLOOKUP(D480,'Astronomy 101 Week 1 Quiz (Resp'!F:F,'Astronomy 101 Week 1 Quiz (Resp'!E:E),0)</f>
        <v>0</v>
      </c>
      <c r="F480" s="3" t="s">
        <v>14</v>
      </c>
      <c r="G480" s="3"/>
      <c r="H480" s="6">
        <v>9.518353167E9</v>
      </c>
      <c r="I480" s="6" t="s">
        <v>1504</v>
      </c>
      <c r="J480" s="6" t="s">
        <v>16</v>
      </c>
      <c r="K480" s="6" t="s">
        <v>21</v>
      </c>
    </row>
    <row r="481" ht="22.5" customHeight="1">
      <c r="A481" s="5">
        <v>46171.62806675926</v>
      </c>
      <c r="B481" s="6" t="s">
        <v>1505</v>
      </c>
      <c r="C481" s="6" t="s">
        <v>1506</v>
      </c>
      <c r="D481" s="3" t="str">
        <f t="shared" si="1"/>
        <v>AE-0480</v>
      </c>
      <c r="E481" s="3">
        <f t="array" ref="E481">IFERROR(XLOOKUP(D481,'Astronomy 101 Week 1 Quiz (Resp'!F:F,'Astronomy 101 Week 1 Quiz (Resp'!E:E),0)</f>
        <v>0</v>
      </c>
      <c r="F481" s="3" t="s">
        <v>14</v>
      </c>
      <c r="G481" s="3"/>
      <c r="H481" s="6">
        <v>9.359903241E9</v>
      </c>
      <c r="I481" s="6" t="s">
        <v>1507</v>
      </c>
      <c r="J481" s="6" t="s">
        <v>16</v>
      </c>
      <c r="K481" s="6" t="s">
        <v>17</v>
      </c>
      <c r="L481" s="6" t="s">
        <v>1508</v>
      </c>
    </row>
    <row r="482" ht="22.5" customHeight="1">
      <c r="A482" s="5">
        <v>46171.628236979166</v>
      </c>
      <c r="B482" s="6" t="s">
        <v>1509</v>
      </c>
      <c r="C482" s="6" t="s">
        <v>1510</v>
      </c>
      <c r="D482" s="3" t="str">
        <f t="shared" si="1"/>
        <v>AE-0481</v>
      </c>
      <c r="E482" s="3">
        <f t="array" ref="E482">IFERROR(XLOOKUP(D482,'Astronomy 101 Week 1 Quiz (Resp'!F:F,'Astronomy 101 Week 1 Quiz (Resp'!E:E),0)</f>
        <v>46</v>
      </c>
      <c r="F482" s="3" t="s">
        <v>14</v>
      </c>
      <c r="G482" s="3"/>
      <c r="H482" s="6">
        <v>8.767445711E9</v>
      </c>
      <c r="I482" s="6" t="s">
        <v>975</v>
      </c>
      <c r="J482" s="6" t="s">
        <v>16</v>
      </c>
      <c r="K482" s="6" t="s">
        <v>82</v>
      </c>
      <c r="L482" s="6" t="s">
        <v>1511</v>
      </c>
    </row>
    <row r="483" ht="22.5" customHeight="1">
      <c r="A483" s="5">
        <v>46171.63236195601</v>
      </c>
      <c r="B483" s="6" t="s">
        <v>1512</v>
      </c>
      <c r="C483" s="6" t="s">
        <v>1513</v>
      </c>
      <c r="D483" s="3" t="str">
        <f t="shared" si="1"/>
        <v>AE-0482</v>
      </c>
      <c r="E483" s="3">
        <f t="array" ref="E483">IFERROR(XLOOKUP(D483,'Astronomy 101 Week 1 Quiz (Resp'!F:F,'Astronomy 101 Week 1 Quiz (Resp'!E:E),0)</f>
        <v>34</v>
      </c>
      <c r="F483" s="3" t="s">
        <v>14</v>
      </c>
      <c r="G483" s="3"/>
      <c r="H483" s="6">
        <v>8.32989681E9</v>
      </c>
      <c r="I483" s="6" t="s">
        <v>950</v>
      </c>
      <c r="J483" s="6" t="s">
        <v>16</v>
      </c>
      <c r="K483" s="6" t="s">
        <v>17</v>
      </c>
      <c r="L483" s="6" t="s">
        <v>1514</v>
      </c>
    </row>
    <row r="484" ht="22.5" customHeight="1">
      <c r="A484" s="5">
        <v>46171.63576612269</v>
      </c>
      <c r="B484" s="6" t="s">
        <v>1505</v>
      </c>
      <c r="C484" s="6" t="s">
        <v>1506</v>
      </c>
      <c r="D484" s="3" t="str">
        <f t="shared" si="1"/>
        <v>AE-0483</v>
      </c>
      <c r="E484" s="3">
        <f t="array" ref="E484">IFERROR(XLOOKUP(D484,'Astronomy 101 Week 1 Quiz (Resp'!F:F,'Astronomy 101 Week 1 Quiz (Resp'!E:E),0)</f>
        <v>0</v>
      </c>
      <c r="F484" s="3" t="s">
        <v>14</v>
      </c>
      <c r="G484" s="3"/>
      <c r="H484" s="6">
        <v>9.359903241E9</v>
      </c>
      <c r="I484" s="6" t="s">
        <v>1507</v>
      </c>
      <c r="J484" s="6" t="s">
        <v>16</v>
      </c>
      <c r="K484" s="6" t="s">
        <v>17</v>
      </c>
      <c r="L484" s="6" t="s">
        <v>1515</v>
      </c>
    </row>
    <row r="485" ht="22.5" customHeight="1">
      <c r="A485" s="5">
        <v>46171.636010393515</v>
      </c>
      <c r="B485" s="6" t="s">
        <v>1516</v>
      </c>
      <c r="C485" s="6" t="s">
        <v>1517</v>
      </c>
      <c r="D485" s="3" t="str">
        <f t="shared" si="1"/>
        <v>AE-0484</v>
      </c>
      <c r="E485" s="3">
        <f t="array" ref="E485">IFERROR(XLOOKUP(D485,'Astronomy 101 Week 1 Quiz (Resp'!F:F,'Astronomy 101 Week 1 Quiz (Resp'!E:E),0)</f>
        <v>0</v>
      </c>
      <c r="F485" s="3" t="s">
        <v>14</v>
      </c>
      <c r="G485" s="3"/>
      <c r="H485" s="6">
        <v>7.993367175E9</v>
      </c>
      <c r="I485" s="6" t="s">
        <v>1518</v>
      </c>
      <c r="J485" s="6" t="s">
        <v>16</v>
      </c>
      <c r="K485" s="6" t="s">
        <v>47</v>
      </c>
    </row>
    <row r="486" ht="22.5" customHeight="1">
      <c r="A486" s="5">
        <v>46171.637190891204</v>
      </c>
      <c r="B486" s="6" t="s">
        <v>1519</v>
      </c>
      <c r="C486" s="6" t="s">
        <v>1520</v>
      </c>
      <c r="D486" s="3" t="str">
        <f t="shared" si="1"/>
        <v>AE-0485</v>
      </c>
      <c r="E486" s="3">
        <f t="array" ref="E486">IFERROR(XLOOKUP(D486,'Astronomy 101 Week 1 Quiz (Resp'!F:F,'Astronomy 101 Week 1 Quiz (Resp'!E:E),0)</f>
        <v>0</v>
      </c>
      <c r="F486" s="3" t="s">
        <v>14</v>
      </c>
      <c r="G486" s="3"/>
      <c r="H486" s="6">
        <v>7.865897236E9</v>
      </c>
      <c r="I486" s="6" t="s">
        <v>698</v>
      </c>
      <c r="J486" s="6" t="s">
        <v>16</v>
      </c>
      <c r="K486" s="6" t="s">
        <v>43</v>
      </c>
    </row>
    <row r="487" ht="22.5" customHeight="1">
      <c r="A487" s="5">
        <v>46171.63832087963</v>
      </c>
      <c r="B487" s="6" t="s">
        <v>1521</v>
      </c>
      <c r="C487" s="6" t="s">
        <v>1522</v>
      </c>
      <c r="D487" s="3" t="str">
        <f t="shared" si="1"/>
        <v>AE-0486</v>
      </c>
      <c r="E487" s="3">
        <f t="array" ref="E487">IFERROR(XLOOKUP(D487,'Astronomy 101 Week 1 Quiz (Resp'!F:F,'Astronomy 101 Week 1 Quiz (Resp'!E:E),0)</f>
        <v>0</v>
      </c>
      <c r="F487" s="3" t="s">
        <v>14</v>
      </c>
      <c r="G487" s="3"/>
      <c r="H487" s="6">
        <v>7.779041426E9</v>
      </c>
      <c r="I487" s="6" t="s">
        <v>1523</v>
      </c>
      <c r="J487" s="6" t="s">
        <v>16</v>
      </c>
      <c r="K487" s="6" t="s">
        <v>17</v>
      </c>
      <c r="L487" s="6" t="s">
        <v>1524</v>
      </c>
    </row>
    <row r="488" ht="22.5" customHeight="1">
      <c r="A488" s="5">
        <v>46171.641758564816</v>
      </c>
      <c r="B488" s="6" t="s">
        <v>1525</v>
      </c>
      <c r="C488" s="6" t="s">
        <v>1526</v>
      </c>
      <c r="D488" s="3" t="str">
        <f t="shared" si="1"/>
        <v>AE-0487</v>
      </c>
      <c r="E488" s="3">
        <f t="array" ref="E488">IFERROR(XLOOKUP(D488,'Astronomy 101 Week 1 Quiz (Resp'!F:F,'Astronomy 101 Week 1 Quiz (Resp'!E:E),0)</f>
        <v>0</v>
      </c>
      <c r="F488" s="3" t="s">
        <v>14</v>
      </c>
      <c r="G488" s="3"/>
      <c r="H488" s="6">
        <v>9.400332713E9</v>
      </c>
      <c r="I488" s="6" t="s">
        <v>29</v>
      </c>
      <c r="J488" s="6" t="s">
        <v>16</v>
      </c>
      <c r="K488" s="6" t="s">
        <v>17</v>
      </c>
      <c r="L488" s="6" t="s">
        <v>1527</v>
      </c>
    </row>
    <row r="489" ht="22.5" customHeight="1">
      <c r="A489" s="5">
        <v>46171.64632884259</v>
      </c>
      <c r="B489" s="6" t="s">
        <v>1528</v>
      </c>
      <c r="C489" s="6" t="s">
        <v>1529</v>
      </c>
      <c r="D489" s="3" t="str">
        <f t="shared" si="1"/>
        <v>AE-0488</v>
      </c>
      <c r="E489" s="3">
        <f t="array" ref="E489">IFERROR(XLOOKUP(D489,'Astronomy 101 Week 1 Quiz (Resp'!F:F,'Astronomy 101 Week 1 Quiz (Resp'!E:E),0)</f>
        <v>44</v>
      </c>
      <c r="F489" s="3" t="s">
        <v>14</v>
      </c>
      <c r="G489" s="3"/>
      <c r="H489" s="6">
        <v>6.372079493E9</v>
      </c>
      <c r="I489" s="6" t="s">
        <v>665</v>
      </c>
      <c r="J489" s="6" t="s">
        <v>16</v>
      </c>
      <c r="K489" s="6" t="s">
        <v>21</v>
      </c>
      <c r="L489" s="6" t="s">
        <v>1530</v>
      </c>
    </row>
    <row r="490" ht="22.5" customHeight="1">
      <c r="A490" s="5">
        <v>46171.65004962963</v>
      </c>
      <c r="B490" s="6" t="s">
        <v>1531</v>
      </c>
      <c r="C490" s="6" t="s">
        <v>1532</v>
      </c>
      <c r="D490" s="3" t="str">
        <f t="shared" si="1"/>
        <v>AE-0489</v>
      </c>
      <c r="E490" s="3">
        <f t="array" ref="E490">IFERROR(XLOOKUP(D490,'Astronomy 101 Week 1 Quiz (Resp'!F:F,'Astronomy 101 Week 1 Quiz (Resp'!E:E),0)</f>
        <v>35</v>
      </c>
      <c r="F490" s="3" t="s">
        <v>14</v>
      </c>
      <c r="G490" s="3"/>
      <c r="H490" s="6">
        <v>9.594788686E9</v>
      </c>
      <c r="I490" s="6" t="s">
        <v>1113</v>
      </c>
      <c r="J490" s="6" t="s">
        <v>16</v>
      </c>
      <c r="K490" s="6" t="s">
        <v>21</v>
      </c>
      <c r="L490" s="6" t="s">
        <v>1533</v>
      </c>
    </row>
    <row r="491" ht="22.5" customHeight="1">
      <c r="A491" s="5">
        <v>46171.65069692129</v>
      </c>
      <c r="B491" s="6" t="s">
        <v>1534</v>
      </c>
      <c r="C491" s="6" t="s">
        <v>1535</v>
      </c>
      <c r="D491" s="3" t="str">
        <f t="shared" si="1"/>
        <v>AE-0490</v>
      </c>
      <c r="E491" s="3">
        <f t="array" ref="E491">IFERROR(XLOOKUP(D491,'Astronomy 101 Week 1 Quiz (Resp'!F:F,'Astronomy 101 Week 1 Quiz (Resp'!E:E),0)</f>
        <v>0</v>
      </c>
      <c r="F491" s="3" t="s">
        <v>14</v>
      </c>
      <c r="G491" s="3"/>
      <c r="H491" s="6">
        <v>8.299029635E9</v>
      </c>
      <c r="I491" s="6" t="s">
        <v>1340</v>
      </c>
      <c r="J491" s="6" t="s">
        <v>16</v>
      </c>
      <c r="K491" s="6" t="s">
        <v>17</v>
      </c>
    </row>
    <row r="492" ht="22.5" customHeight="1">
      <c r="A492" s="5">
        <v>46171.65832377315</v>
      </c>
      <c r="B492" s="6" t="s">
        <v>1536</v>
      </c>
      <c r="C492" s="6" t="s">
        <v>1537</v>
      </c>
      <c r="D492" s="3" t="str">
        <f t="shared" si="1"/>
        <v>AE-0491</v>
      </c>
      <c r="E492" s="3">
        <f t="array" ref="E492">IFERROR(XLOOKUP(D492,'Astronomy 101 Week 1 Quiz (Resp'!F:F,'Astronomy 101 Week 1 Quiz (Resp'!E:E),0)</f>
        <v>0</v>
      </c>
      <c r="F492" s="3" t="s">
        <v>14</v>
      </c>
      <c r="G492" s="3"/>
      <c r="H492" s="6">
        <v>7.354901896E9</v>
      </c>
      <c r="I492" s="6" t="s">
        <v>1538</v>
      </c>
      <c r="J492" s="6" t="s">
        <v>16</v>
      </c>
      <c r="K492" s="6" t="s">
        <v>61</v>
      </c>
      <c r="L492" s="6" t="s">
        <v>1539</v>
      </c>
    </row>
    <row r="493" ht="22.5" customHeight="1">
      <c r="A493" s="5">
        <v>46171.65862969907</v>
      </c>
      <c r="B493" s="6" t="s">
        <v>1540</v>
      </c>
      <c r="C493" s="6" t="s">
        <v>1541</v>
      </c>
      <c r="D493" s="3" t="str">
        <f t="shared" si="1"/>
        <v>AE-0492</v>
      </c>
      <c r="E493" s="3">
        <f t="array" ref="E493">IFERROR(XLOOKUP(D493,'Astronomy 101 Week 1 Quiz (Resp'!F:F,'Astronomy 101 Week 1 Quiz (Resp'!E:E),0)</f>
        <v>0</v>
      </c>
      <c r="F493" s="3" t="s">
        <v>14</v>
      </c>
      <c r="G493" s="3"/>
      <c r="H493" s="6">
        <v>8.369698544E9</v>
      </c>
      <c r="I493" s="6" t="s">
        <v>64</v>
      </c>
      <c r="J493" s="6" t="s">
        <v>16</v>
      </c>
      <c r="K493" s="6" t="s">
        <v>61</v>
      </c>
      <c r="L493" s="6" t="s">
        <v>1542</v>
      </c>
    </row>
    <row r="494" ht="22.5" customHeight="1">
      <c r="A494" s="5">
        <v>46171.66037974537</v>
      </c>
      <c r="B494" s="6" t="s">
        <v>1543</v>
      </c>
      <c r="C494" s="6" t="s">
        <v>1544</v>
      </c>
      <c r="D494" s="3" t="str">
        <f t="shared" si="1"/>
        <v>AE-0493</v>
      </c>
      <c r="E494" s="3">
        <f t="array" ref="E494">IFERROR(XLOOKUP(D494,'Astronomy 101 Week 1 Quiz (Resp'!F:F,'Astronomy 101 Week 1 Quiz (Resp'!E:E),0)</f>
        <v>0</v>
      </c>
      <c r="F494" s="3" t="s">
        <v>14</v>
      </c>
      <c r="G494" s="3"/>
      <c r="H494" s="6">
        <v>9.182728614E9</v>
      </c>
      <c r="I494" s="6" t="s">
        <v>1158</v>
      </c>
      <c r="J494" s="6" t="s">
        <v>16</v>
      </c>
      <c r="K494" s="6" t="s">
        <v>61</v>
      </c>
      <c r="L494" s="6" t="s">
        <v>1545</v>
      </c>
    </row>
    <row r="495" ht="22.5" customHeight="1">
      <c r="A495" s="5">
        <v>46171.66523133102</v>
      </c>
      <c r="B495" s="6" t="s">
        <v>1546</v>
      </c>
      <c r="C495" s="6" t="s">
        <v>1547</v>
      </c>
      <c r="D495" s="3" t="str">
        <f t="shared" si="1"/>
        <v>AE-0494</v>
      </c>
      <c r="E495" s="3">
        <f t="array" ref="E495">IFERROR(XLOOKUP(D495,'Astronomy 101 Week 1 Quiz (Resp'!F:F,'Astronomy 101 Week 1 Quiz (Resp'!E:E),0)</f>
        <v>0</v>
      </c>
      <c r="F495" s="3" t="s">
        <v>14</v>
      </c>
      <c r="G495" s="3"/>
      <c r="H495" s="7" t="s">
        <v>1548</v>
      </c>
      <c r="I495" s="6" t="s">
        <v>1549</v>
      </c>
      <c r="J495" s="6" t="s">
        <v>16</v>
      </c>
      <c r="K495" s="6" t="s">
        <v>82</v>
      </c>
      <c r="L495" s="6" t="s">
        <v>1550</v>
      </c>
    </row>
    <row r="496" ht="22.5" customHeight="1">
      <c r="A496" s="5">
        <v>46171.67131972223</v>
      </c>
      <c r="B496" s="6" t="s">
        <v>1551</v>
      </c>
      <c r="C496" s="6" t="s">
        <v>1552</v>
      </c>
      <c r="D496" s="3" t="str">
        <f t="shared" si="1"/>
        <v>AE-0495</v>
      </c>
      <c r="E496" s="3">
        <f t="array" ref="E496">IFERROR(XLOOKUP(D496,'Astronomy 101 Week 1 Quiz (Resp'!F:F,'Astronomy 101 Week 1 Quiz (Resp'!E:E),0)</f>
        <v>0</v>
      </c>
      <c r="F496" s="3" t="s">
        <v>14</v>
      </c>
      <c r="G496" s="3"/>
      <c r="H496" s="6">
        <v>9.881475008E9</v>
      </c>
      <c r="I496" s="6" t="s">
        <v>1553</v>
      </c>
      <c r="J496" s="6" t="s">
        <v>16</v>
      </c>
      <c r="K496" s="6" t="s">
        <v>17</v>
      </c>
      <c r="L496" s="6" t="s">
        <v>1554</v>
      </c>
    </row>
    <row r="497" ht="22.5" customHeight="1">
      <c r="A497" s="5">
        <v>46171.673364965274</v>
      </c>
      <c r="B497" s="6" t="s">
        <v>1555</v>
      </c>
      <c r="C497" s="6" t="s">
        <v>1556</v>
      </c>
      <c r="D497" s="3" t="str">
        <f t="shared" si="1"/>
        <v>AE-0496</v>
      </c>
      <c r="E497" s="3">
        <f t="array" ref="E497">IFERROR(XLOOKUP(D497,'Astronomy 101 Week 1 Quiz (Resp'!F:F,'Astronomy 101 Week 1 Quiz (Resp'!E:E),0)</f>
        <v>46</v>
      </c>
      <c r="F497" s="3" t="s">
        <v>14</v>
      </c>
      <c r="G497" s="3"/>
      <c r="H497" s="6">
        <v>9.72770775E9</v>
      </c>
      <c r="I497" s="6" t="s">
        <v>1557</v>
      </c>
      <c r="J497" s="6" t="s">
        <v>16</v>
      </c>
      <c r="K497" s="6" t="s">
        <v>82</v>
      </c>
      <c r="L497" s="6" t="s">
        <v>1558</v>
      </c>
    </row>
    <row r="498" ht="22.5" customHeight="1">
      <c r="A498" s="5">
        <v>46171.67419767361</v>
      </c>
      <c r="B498" s="6" t="s">
        <v>1559</v>
      </c>
      <c r="C498" s="6" t="s">
        <v>1560</v>
      </c>
      <c r="D498" s="3" t="str">
        <f t="shared" si="1"/>
        <v>AE-0497</v>
      </c>
      <c r="E498" s="3">
        <f t="array" ref="E498">IFERROR(XLOOKUP(D498,'Astronomy 101 Week 1 Quiz (Resp'!F:F,'Astronomy 101 Week 1 Quiz (Resp'!E:E),0)</f>
        <v>45</v>
      </c>
      <c r="F498" s="3" t="s">
        <v>14</v>
      </c>
      <c r="G498" s="3"/>
      <c r="H498" s="6">
        <v>7.622836123E9</v>
      </c>
      <c r="I498" s="6" t="s">
        <v>1561</v>
      </c>
      <c r="J498" s="6" t="s">
        <v>16</v>
      </c>
      <c r="K498" s="6" t="s">
        <v>17</v>
      </c>
      <c r="L498" s="6" t="s">
        <v>1562</v>
      </c>
    </row>
    <row r="499" ht="22.5" customHeight="1">
      <c r="A499" s="5">
        <v>46171.676740717594</v>
      </c>
      <c r="B499" s="6" t="s">
        <v>1563</v>
      </c>
      <c r="C499" s="6" t="s">
        <v>1564</v>
      </c>
      <c r="D499" s="3" t="str">
        <f t="shared" si="1"/>
        <v>AE-0498</v>
      </c>
      <c r="E499" s="3">
        <f t="array" ref="E499">IFERROR(XLOOKUP(D499,'Astronomy 101 Week 1 Quiz (Resp'!F:F,'Astronomy 101 Week 1 Quiz (Resp'!E:E),0)</f>
        <v>43</v>
      </c>
      <c r="F499" s="3" t="s">
        <v>14</v>
      </c>
      <c r="G499" s="3"/>
      <c r="H499" s="6">
        <v>9.209386147E9</v>
      </c>
      <c r="I499" s="6" t="s">
        <v>1565</v>
      </c>
      <c r="J499" s="6" t="s">
        <v>16</v>
      </c>
      <c r="K499" s="6" t="s">
        <v>21</v>
      </c>
      <c r="L499" s="6" t="s">
        <v>1566</v>
      </c>
    </row>
    <row r="500" ht="22.5" customHeight="1">
      <c r="A500" s="5">
        <v>46171.67823107639</v>
      </c>
      <c r="B500" s="6" t="s">
        <v>1021</v>
      </c>
      <c r="C500" s="6" t="s">
        <v>1567</v>
      </c>
      <c r="D500" s="3" t="str">
        <f t="shared" si="1"/>
        <v>AE-0499</v>
      </c>
      <c r="E500" s="3">
        <f t="array" ref="E500">IFERROR(XLOOKUP(D500,'Astronomy 101 Week 1 Quiz (Resp'!F:F,'Astronomy 101 Week 1 Quiz (Resp'!E:E),0)</f>
        <v>0</v>
      </c>
      <c r="F500" s="3" t="s">
        <v>14</v>
      </c>
      <c r="G500" s="3"/>
      <c r="H500" s="6">
        <v>6.37978426E9</v>
      </c>
      <c r="I500" s="6" t="s">
        <v>1568</v>
      </c>
      <c r="J500" s="6" t="s">
        <v>16</v>
      </c>
      <c r="K500" s="6" t="s">
        <v>17</v>
      </c>
    </row>
    <row r="501" ht="22.5" customHeight="1">
      <c r="A501" s="5">
        <v>46171.68525810185</v>
      </c>
      <c r="B501" s="6" t="s">
        <v>1569</v>
      </c>
      <c r="C501" s="6" t="s">
        <v>1570</v>
      </c>
      <c r="D501" s="3" t="str">
        <f t="shared" si="1"/>
        <v>AE-0500</v>
      </c>
      <c r="E501" s="3">
        <f t="array" ref="E501">IFERROR(XLOOKUP(D501,'Astronomy 101 Week 1 Quiz (Resp'!F:F,'Astronomy 101 Week 1 Quiz (Resp'!E:E),0)</f>
        <v>0</v>
      </c>
      <c r="F501" s="3" t="s">
        <v>14</v>
      </c>
      <c r="G501" s="3"/>
      <c r="H501" s="6">
        <v>7.204711983E9</v>
      </c>
      <c r="I501" s="6" t="s">
        <v>64</v>
      </c>
      <c r="J501" s="6" t="s">
        <v>33</v>
      </c>
      <c r="K501" s="6" t="s">
        <v>17</v>
      </c>
      <c r="L501" s="6" t="s">
        <v>1571</v>
      </c>
    </row>
    <row r="502" ht="22.5" customHeight="1">
      <c r="A502" s="5">
        <v>46171.686714375</v>
      </c>
      <c r="B502" s="6" t="s">
        <v>1572</v>
      </c>
      <c r="C502" s="6" t="s">
        <v>1573</v>
      </c>
      <c r="D502" s="3" t="str">
        <f t="shared" si="1"/>
        <v>AE-0501</v>
      </c>
      <c r="E502" s="3">
        <f t="array" ref="E502">IFERROR(XLOOKUP(D502,'Astronomy 101 Week 1 Quiz (Resp'!F:F,'Astronomy 101 Week 1 Quiz (Resp'!E:E),0)</f>
        <v>0</v>
      </c>
      <c r="F502" s="3" t="s">
        <v>14</v>
      </c>
      <c r="G502" s="3"/>
      <c r="H502" s="6">
        <v>7.756802102E9</v>
      </c>
      <c r="I502" s="6" t="s">
        <v>1574</v>
      </c>
      <c r="J502" s="6" t="s">
        <v>16</v>
      </c>
      <c r="K502" s="6" t="s">
        <v>17</v>
      </c>
    </row>
    <row r="503" ht="22.5" customHeight="1">
      <c r="A503" s="5">
        <v>46171.69337650463</v>
      </c>
      <c r="B503" s="6" t="s">
        <v>1575</v>
      </c>
      <c r="C503" s="6" t="s">
        <v>1576</v>
      </c>
      <c r="D503" s="3" t="str">
        <f t="shared" si="1"/>
        <v>AE-0502</v>
      </c>
      <c r="E503" s="3">
        <f t="array" ref="E503">IFERROR(XLOOKUP(D503,'Astronomy 101 Week 1 Quiz (Resp'!F:F,'Astronomy 101 Week 1 Quiz (Resp'!E:E),0)</f>
        <v>0</v>
      </c>
      <c r="F503" s="3" t="s">
        <v>14</v>
      </c>
      <c r="G503" s="3"/>
      <c r="H503" s="6">
        <v>8.07485509E9</v>
      </c>
      <c r="I503" s="6" t="s">
        <v>1062</v>
      </c>
      <c r="J503" s="6" t="s">
        <v>16</v>
      </c>
      <c r="K503" s="6" t="s">
        <v>61</v>
      </c>
    </row>
    <row r="504" ht="22.5" customHeight="1">
      <c r="A504" s="5">
        <v>46171.695480208335</v>
      </c>
      <c r="B504" s="6" t="s">
        <v>1577</v>
      </c>
      <c r="C504" s="6" t="s">
        <v>1578</v>
      </c>
      <c r="D504" s="3" t="str">
        <f t="shared" si="1"/>
        <v>AE-0503</v>
      </c>
      <c r="E504" s="3">
        <f t="array" ref="E504">IFERROR(XLOOKUP(D504,'Astronomy 101 Week 1 Quiz (Resp'!F:F,'Astronomy 101 Week 1 Quiz (Resp'!E:E),0)</f>
        <v>0</v>
      </c>
      <c r="F504" s="3" t="s">
        <v>14</v>
      </c>
      <c r="G504" s="3"/>
      <c r="H504" s="6">
        <v>9.370853708E9</v>
      </c>
      <c r="I504" s="6" t="s">
        <v>1579</v>
      </c>
      <c r="J504" s="6" t="s">
        <v>16</v>
      </c>
      <c r="K504" s="6" t="s">
        <v>47</v>
      </c>
      <c r="L504" s="6" t="s">
        <v>1580</v>
      </c>
    </row>
    <row r="505" ht="22.5" customHeight="1">
      <c r="A505" s="5">
        <v>46171.69612748842</v>
      </c>
      <c r="B505" s="6" t="s">
        <v>1581</v>
      </c>
      <c r="C505" s="6" t="s">
        <v>1582</v>
      </c>
      <c r="D505" s="3" t="str">
        <f t="shared" si="1"/>
        <v>AE-0504</v>
      </c>
      <c r="E505" s="3">
        <f t="array" ref="E505">IFERROR(XLOOKUP(D505,'Astronomy 101 Week 1 Quiz (Resp'!F:F,'Astronomy 101 Week 1 Quiz (Resp'!E:E),0)</f>
        <v>0</v>
      </c>
      <c r="F505" s="3" t="s">
        <v>14</v>
      </c>
      <c r="G505" s="3"/>
      <c r="H505" s="6">
        <v>9.142250272E9</v>
      </c>
      <c r="I505" s="6" t="s">
        <v>655</v>
      </c>
      <c r="J505" s="6" t="s">
        <v>16</v>
      </c>
      <c r="K505" s="6" t="s">
        <v>82</v>
      </c>
    </row>
    <row r="506" ht="22.5" customHeight="1">
      <c r="A506" s="5">
        <v>46171.702082303236</v>
      </c>
      <c r="B506" s="6" t="s">
        <v>1583</v>
      </c>
      <c r="C506" s="6" t="s">
        <v>1584</v>
      </c>
      <c r="D506" s="3" t="str">
        <f t="shared" si="1"/>
        <v>AE-0505</v>
      </c>
      <c r="E506" s="3">
        <f t="array" ref="E506">IFERROR(XLOOKUP(D506,'Astronomy 101 Week 1 Quiz (Resp'!F:F,'Astronomy 101 Week 1 Quiz (Resp'!E:E),0)</f>
        <v>0</v>
      </c>
      <c r="F506" s="3" t="s">
        <v>14</v>
      </c>
      <c r="G506" s="3"/>
      <c r="H506" s="6">
        <v>7.905502106E9</v>
      </c>
      <c r="I506" s="6" t="s">
        <v>1585</v>
      </c>
      <c r="J506" s="6" t="s">
        <v>16</v>
      </c>
      <c r="K506" s="6" t="s">
        <v>47</v>
      </c>
    </row>
    <row r="507" ht="22.5" customHeight="1">
      <c r="A507" s="5">
        <v>46171.70378740741</v>
      </c>
      <c r="B507" s="6" t="s">
        <v>1586</v>
      </c>
      <c r="C507" s="6" t="s">
        <v>1587</v>
      </c>
      <c r="D507" s="3" t="str">
        <f t="shared" si="1"/>
        <v>AE-0506</v>
      </c>
      <c r="E507" s="3">
        <f t="array" ref="E507">IFERROR(XLOOKUP(D507,'Astronomy 101 Week 1 Quiz (Resp'!F:F,'Astronomy 101 Week 1 Quiz (Resp'!E:E),0)</f>
        <v>0</v>
      </c>
      <c r="F507" s="3" t="s">
        <v>14</v>
      </c>
      <c r="G507" s="3"/>
      <c r="H507" s="6">
        <v>9.313326905E9</v>
      </c>
      <c r="I507" s="6" t="s">
        <v>1588</v>
      </c>
      <c r="J507" s="6" t="s">
        <v>16</v>
      </c>
      <c r="K507" s="6" t="s">
        <v>61</v>
      </c>
    </row>
    <row r="508" ht="22.5" customHeight="1">
      <c r="A508" s="5">
        <v>46171.70581113426</v>
      </c>
      <c r="B508" s="6" t="s">
        <v>1589</v>
      </c>
      <c r="C508" s="6" t="s">
        <v>1590</v>
      </c>
      <c r="D508" s="3" t="str">
        <f t="shared" si="1"/>
        <v>AE-0507</v>
      </c>
      <c r="E508" s="3">
        <f t="array" ref="E508">IFERROR(XLOOKUP(D508,'Astronomy 101 Week 1 Quiz (Resp'!F:F,'Astronomy 101 Week 1 Quiz (Resp'!E:E),0)</f>
        <v>0</v>
      </c>
      <c r="F508" s="3" t="s">
        <v>14</v>
      </c>
      <c r="G508" s="3"/>
      <c r="H508" s="6">
        <v>9.911933537E9</v>
      </c>
      <c r="I508" s="6" t="s">
        <v>1591</v>
      </c>
      <c r="J508" s="6" t="s">
        <v>16</v>
      </c>
      <c r="K508" s="6" t="s">
        <v>61</v>
      </c>
      <c r="L508" s="6" t="s">
        <v>1592</v>
      </c>
    </row>
    <row r="509" ht="22.5" customHeight="1">
      <c r="A509" s="5">
        <v>46171.70774844907</v>
      </c>
      <c r="B509" s="6" t="s">
        <v>1593</v>
      </c>
      <c r="C509" s="6" t="s">
        <v>1594</v>
      </c>
      <c r="D509" s="3" t="str">
        <f t="shared" si="1"/>
        <v>AE-0508</v>
      </c>
      <c r="E509" s="3">
        <f t="array" ref="E509">IFERROR(XLOOKUP(D509,'Astronomy 101 Week 1 Quiz (Resp'!F:F,'Astronomy 101 Week 1 Quiz (Resp'!E:E),0)</f>
        <v>0</v>
      </c>
      <c r="F509" s="3" t="s">
        <v>14</v>
      </c>
      <c r="G509" s="3"/>
      <c r="H509" s="6">
        <v>7.980964186E9</v>
      </c>
      <c r="I509" s="6" t="s">
        <v>1595</v>
      </c>
      <c r="J509" s="6" t="s">
        <v>16</v>
      </c>
      <c r="K509" s="6" t="s">
        <v>17</v>
      </c>
      <c r="L509" s="6" t="s">
        <v>1596</v>
      </c>
    </row>
    <row r="510" ht="22.5" customHeight="1">
      <c r="A510" s="5">
        <v>46171.70844501157</v>
      </c>
      <c r="B510" s="6" t="s">
        <v>1597</v>
      </c>
      <c r="C510" s="6" t="s">
        <v>1598</v>
      </c>
      <c r="D510" s="3" t="str">
        <f t="shared" si="1"/>
        <v>AE-0509</v>
      </c>
      <c r="E510" s="3">
        <f t="array" ref="E510">IFERROR(XLOOKUP(D510,'Astronomy 101 Week 1 Quiz (Resp'!F:F,'Astronomy 101 Week 1 Quiz (Resp'!E:E),0)</f>
        <v>0</v>
      </c>
      <c r="F510" s="3" t="s">
        <v>14</v>
      </c>
      <c r="G510" s="3"/>
      <c r="H510" s="6">
        <v>6.360204846E9</v>
      </c>
      <c r="I510" s="6" t="s">
        <v>1599</v>
      </c>
      <c r="J510" s="6" t="s">
        <v>16</v>
      </c>
      <c r="K510" s="6" t="s">
        <v>21</v>
      </c>
      <c r="L510" s="6" t="s">
        <v>1600</v>
      </c>
    </row>
    <row r="511" ht="22.5" customHeight="1">
      <c r="A511" s="5">
        <v>46171.71032375</v>
      </c>
      <c r="B511" s="6" t="s">
        <v>1601</v>
      </c>
      <c r="C511" s="6" t="s">
        <v>1602</v>
      </c>
      <c r="D511" s="3" t="str">
        <f t="shared" si="1"/>
        <v>AE-0510</v>
      </c>
      <c r="E511" s="3">
        <f t="array" ref="E511">IFERROR(XLOOKUP(D511,'Astronomy 101 Week 1 Quiz (Resp'!F:F,'Astronomy 101 Week 1 Quiz (Resp'!E:E),0)</f>
        <v>0</v>
      </c>
      <c r="F511" s="3" t="s">
        <v>14</v>
      </c>
      <c r="G511" s="3"/>
      <c r="H511" s="6">
        <v>7.35082082E9</v>
      </c>
      <c r="I511" s="6" t="s">
        <v>1603</v>
      </c>
      <c r="J511" s="6" t="s">
        <v>16</v>
      </c>
      <c r="K511" s="6" t="s">
        <v>43</v>
      </c>
      <c r="L511" s="6" t="s">
        <v>1604</v>
      </c>
    </row>
    <row r="512" ht="22.5" customHeight="1">
      <c r="A512" s="5">
        <v>46171.71418265047</v>
      </c>
      <c r="B512" s="6" t="s">
        <v>1605</v>
      </c>
      <c r="C512" s="6" t="s">
        <v>1606</v>
      </c>
      <c r="D512" s="3" t="str">
        <f t="shared" si="1"/>
        <v>AE-0511</v>
      </c>
      <c r="E512" s="3">
        <f t="array" ref="E512">IFERROR(XLOOKUP(D512,'Astronomy 101 Week 1 Quiz (Resp'!F:F,'Astronomy 101 Week 1 Quiz (Resp'!E:E),0)</f>
        <v>0</v>
      </c>
      <c r="F512" s="3" t="s">
        <v>14</v>
      </c>
      <c r="G512" s="3"/>
      <c r="H512" s="6">
        <v>7.779875162E9</v>
      </c>
      <c r="I512" s="6" t="s">
        <v>1607</v>
      </c>
      <c r="J512" s="6" t="s">
        <v>16</v>
      </c>
      <c r="K512" s="6" t="s">
        <v>17</v>
      </c>
      <c r="L512" s="6" t="s">
        <v>1608</v>
      </c>
    </row>
    <row r="513" ht="22.5" customHeight="1">
      <c r="A513" s="5">
        <v>46171.72154875</v>
      </c>
      <c r="B513" s="6" t="s">
        <v>1477</v>
      </c>
      <c r="C513" s="6" t="s">
        <v>1478</v>
      </c>
      <c r="D513" s="3" t="str">
        <f t="shared" si="1"/>
        <v>AE-0512</v>
      </c>
      <c r="E513" s="3">
        <f t="array" ref="E513">IFERROR(XLOOKUP(D513,'Astronomy 101 Week 1 Quiz (Resp'!F:F,'Astronomy 101 Week 1 Quiz (Resp'!E:E),0)</f>
        <v>44</v>
      </c>
      <c r="F513" s="3" t="s">
        <v>14</v>
      </c>
      <c r="G513" s="3"/>
      <c r="H513" s="6">
        <v>6.289954702E9</v>
      </c>
      <c r="I513" s="6" t="s">
        <v>1609</v>
      </c>
      <c r="J513" s="6" t="s">
        <v>16</v>
      </c>
      <c r="K513" s="6" t="s">
        <v>17</v>
      </c>
      <c r="L513" s="6" t="s">
        <v>1610</v>
      </c>
    </row>
    <row r="514" ht="22.5" customHeight="1">
      <c r="A514" s="5">
        <v>46171.723639930555</v>
      </c>
      <c r="B514" s="6" t="s">
        <v>1611</v>
      </c>
      <c r="C514" s="6" t="s">
        <v>1612</v>
      </c>
      <c r="D514" s="3" t="str">
        <f t="shared" si="1"/>
        <v>AE-0513</v>
      </c>
      <c r="E514" s="3">
        <f t="array" ref="E514">IFERROR(XLOOKUP(D514,'Astronomy 101 Week 1 Quiz (Resp'!F:F,'Astronomy 101 Week 1 Quiz (Resp'!E:E),0)</f>
        <v>0</v>
      </c>
      <c r="F514" s="3" t="s">
        <v>14</v>
      </c>
      <c r="G514" s="3"/>
      <c r="H514" s="6">
        <v>7.091185787E9</v>
      </c>
      <c r="I514" s="6" t="s">
        <v>1613</v>
      </c>
      <c r="J514" s="6" t="s">
        <v>16</v>
      </c>
      <c r="K514" s="6" t="s">
        <v>21</v>
      </c>
      <c r="L514" s="6" t="s">
        <v>1614</v>
      </c>
    </row>
    <row r="515" ht="22.5" customHeight="1">
      <c r="A515" s="5">
        <v>46171.74130709491</v>
      </c>
      <c r="B515" s="6" t="s">
        <v>1615</v>
      </c>
      <c r="C515" s="6" t="s">
        <v>1616</v>
      </c>
      <c r="D515" s="3" t="str">
        <f t="shared" si="1"/>
        <v>AE-0514</v>
      </c>
      <c r="E515" s="3">
        <f t="array" ref="E515">IFERROR(XLOOKUP(D515,'Astronomy 101 Week 1 Quiz (Resp'!F:F,'Astronomy 101 Week 1 Quiz (Resp'!E:E),0)</f>
        <v>32</v>
      </c>
      <c r="F515" s="3" t="s">
        <v>14</v>
      </c>
      <c r="G515" s="3"/>
      <c r="H515" s="6" t="s">
        <v>1617</v>
      </c>
      <c r="I515" s="6" t="s">
        <v>1618</v>
      </c>
      <c r="J515" s="6" t="s">
        <v>16</v>
      </c>
      <c r="K515" s="6" t="s">
        <v>21</v>
      </c>
    </row>
    <row r="516" ht="22.5" customHeight="1">
      <c r="A516" s="5">
        <v>46171.747959953704</v>
      </c>
      <c r="B516" s="6" t="s">
        <v>1619</v>
      </c>
      <c r="C516" s="6" t="s">
        <v>1620</v>
      </c>
      <c r="D516" s="3" t="str">
        <f t="shared" si="1"/>
        <v>AE-0515</v>
      </c>
      <c r="E516" s="3">
        <f t="array" ref="E516">IFERROR(XLOOKUP(D516,'Astronomy 101 Week 1 Quiz (Resp'!F:F,'Astronomy 101 Week 1 Quiz (Resp'!E:E),0)</f>
        <v>0</v>
      </c>
      <c r="F516" s="3" t="s">
        <v>14</v>
      </c>
      <c r="G516" s="3"/>
      <c r="H516" s="6">
        <v>9.175890506E9</v>
      </c>
      <c r="I516" s="6" t="s">
        <v>742</v>
      </c>
      <c r="J516" s="6" t="s">
        <v>16</v>
      </c>
      <c r="K516" s="6" t="s">
        <v>17</v>
      </c>
      <c r="L516" s="6" t="s">
        <v>1621</v>
      </c>
    </row>
    <row r="517" ht="22.5" customHeight="1">
      <c r="A517" s="5">
        <v>46171.75206762731</v>
      </c>
      <c r="B517" s="6" t="s">
        <v>1622</v>
      </c>
      <c r="C517" s="6" t="s">
        <v>1623</v>
      </c>
      <c r="D517" s="3" t="str">
        <f t="shared" si="1"/>
        <v>AE-0516</v>
      </c>
      <c r="E517" s="3">
        <f t="array" ref="E517">IFERROR(XLOOKUP(D517,'Astronomy 101 Week 1 Quiz (Resp'!F:F,'Astronomy 101 Week 1 Quiz (Resp'!E:E),0)</f>
        <v>0</v>
      </c>
      <c r="F517" s="3" t="s">
        <v>14</v>
      </c>
      <c r="G517" s="3"/>
      <c r="H517" s="6">
        <v>7.019493518E9</v>
      </c>
      <c r="I517" s="6" t="s">
        <v>1624</v>
      </c>
      <c r="J517" s="6" t="s">
        <v>16</v>
      </c>
      <c r="K517" s="6" t="s">
        <v>61</v>
      </c>
      <c r="L517" s="6" t="s">
        <v>1625</v>
      </c>
    </row>
    <row r="518" ht="22.5" customHeight="1">
      <c r="A518" s="5">
        <v>46171.75580673611</v>
      </c>
      <c r="B518" s="6" t="s">
        <v>1626</v>
      </c>
      <c r="C518" s="6" t="s">
        <v>1627</v>
      </c>
      <c r="D518" s="3" t="str">
        <f t="shared" si="1"/>
        <v>AE-0517</v>
      </c>
      <c r="E518" s="3">
        <f t="array" ref="E518">IFERROR(XLOOKUP(D518,'Astronomy 101 Week 1 Quiz (Resp'!F:F,'Astronomy 101 Week 1 Quiz (Resp'!E:E),0)</f>
        <v>0</v>
      </c>
      <c r="F518" s="3" t="s">
        <v>14</v>
      </c>
      <c r="G518" s="3"/>
      <c r="H518" s="6">
        <v>7.806064457E9</v>
      </c>
      <c r="I518" s="6" t="s">
        <v>417</v>
      </c>
      <c r="J518" s="6" t="s">
        <v>16</v>
      </c>
      <c r="K518" s="6" t="s">
        <v>61</v>
      </c>
    </row>
    <row r="519" ht="22.5" customHeight="1">
      <c r="A519" s="5">
        <v>46171.756699861115</v>
      </c>
      <c r="B519" s="6" t="s">
        <v>1628</v>
      </c>
      <c r="C519" s="6" t="s">
        <v>1629</v>
      </c>
      <c r="D519" s="3" t="str">
        <f t="shared" si="1"/>
        <v>AE-0518</v>
      </c>
      <c r="E519" s="3">
        <f t="array" ref="E519">IFERROR(XLOOKUP(D519,'Astronomy 101 Week 1 Quiz (Resp'!F:F,'Astronomy 101 Week 1 Quiz (Resp'!E:E),0)</f>
        <v>0</v>
      </c>
      <c r="F519" s="3" t="s">
        <v>14</v>
      </c>
      <c r="G519" s="3"/>
      <c r="H519" s="6">
        <v>9.863047975E9</v>
      </c>
      <c r="I519" s="6" t="s">
        <v>1630</v>
      </c>
      <c r="J519" s="6" t="s">
        <v>16</v>
      </c>
      <c r="K519" s="6" t="s">
        <v>17</v>
      </c>
    </row>
    <row r="520" ht="22.5" customHeight="1">
      <c r="A520" s="5">
        <v>46171.765327615736</v>
      </c>
      <c r="B520" s="6" t="s">
        <v>1631</v>
      </c>
      <c r="C520" s="6" t="s">
        <v>1632</v>
      </c>
      <c r="D520" s="3" t="str">
        <f t="shared" si="1"/>
        <v>AE-0519</v>
      </c>
      <c r="E520" s="3">
        <f t="array" ref="E520">IFERROR(XLOOKUP(D520,'Astronomy 101 Week 1 Quiz (Resp'!F:F,'Astronomy 101 Week 1 Quiz (Resp'!E:E),0)</f>
        <v>41</v>
      </c>
      <c r="F520" s="3" t="s">
        <v>14</v>
      </c>
      <c r="G520" s="3"/>
      <c r="H520" s="6">
        <v>8.413949649E9</v>
      </c>
      <c r="I520" s="6" t="s">
        <v>1633</v>
      </c>
      <c r="J520" s="6" t="s">
        <v>16</v>
      </c>
      <c r="K520" s="6" t="s">
        <v>61</v>
      </c>
      <c r="L520" s="6" t="s">
        <v>1634</v>
      </c>
    </row>
    <row r="521" ht="22.5" customHeight="1">
      <c r="A521" s="5">
        <v>46171.76761083333</v>
      </c>
      <c r="B521" s="6" t="s">
        <v>1635</v>
      </c>
      <c r="C521" s="6" t="s">
        <v>1636</v>
      </c>
      <c r="D521" s="3" t="str">
        <f t="shared" si="1"/>
        <v>AE-0520</v>
      </c>
      <c r="E521" s="3">
        <f t="array" ref="E521">IFERROR(XLOOKUP(D521,'Astronomy 101 Week 1 Quiz (Resp'!F:F,'Astronomy 101 Week 1 Quiz (Resp'!E:E),0)</f>
        <v>0</v>
      </c>
      <c r="F521" s="3" t="s">
        <v>14</v>
      </c>
      <c r="G521" s="3"/>
      <c r="H521" s="6">
        <v>9.420465879E9</v>
      </c>
      <c r="I521" s="6" t="s">
        <v>1637</v>
      </c>
      <c r="J521" s="6" t="s">
        <v>16</v>
      </c>
      <c r="K521" s="6" t="s">
        <v>17</v>
      </c>
      <c r="L521" s="6" t="s">
        <v>1638</v>
      </c>
    </row>
    <row r="522" ht="22.5" customHeight="1">
      <c r="A522" s="5">
        <v>46171.769197002315</v>
      </c>
      <c r="B522" s="6" t="s">
        <v>1639</v>
      </c>
      <c r="C522" s="6" t="s">
        <v>1640</v>
      </c>
      <c r="D522" s="3" t="str">
        <f t="shared" si="1"/>
        <v>AE-0521</v>
      </c>
      <c r="E522" s="3">
        <f t="array" ref="E522">IFERROR(XLOOKUP(D522,'Astronomy 101 Week 1 Quiz (Resp'!F:F,'Astronomy 101 Week 1 Quiz (Resp'!E:E),0)</f>
        <v>0</v>
      </c>
      <c r="F522" s="3" t="s">
        <v>14</v>
      </c>
      <c r="G522" s="3"/>
      <c r="H522" s="6">
        <v>8.863810875E9</v>
      </c>
      <c r="I522" s="6" t="s">
        <v>429</v>
      </c>
      <c r="J522" s="6" t="s">
        <v>16</v>
      </c>
      <c r="K522" s="6" t="s">
        <v>25</v>
      </c>
      <c r="L522" s="6" t="s">
        <v>1641</v>
      </c>
    </row>
    <row r="523" ht="22.5" customHeight="1">
      <c r="A523" s="5">
        <v>46171.78031722222</v>
      </c>
      <c r="B523" s="6" t="s">
        <v>1642</v>
      </c>
      <c r="C523" s="6" t="s">
        <v>1643</v>
      </c>
      <c r="D523" s="3" t="str">
        <f t="shared" si="1"/>
        <v>AE-0522</v>
      </c>
      <c r="E523" s="3">
        <f t="array" ref="E523">IFERROR(XLOOKUP(D523,'Astronomy 101 Week 1 Quiz (Resp'!F:F,'Astronomy 101 Week 1 Quiz (Resp'!E:E),0)</f>
        <v>27</v>
      </c>
      <c r="F523" s="3" t="s">
        <v>14</v>
      </c>
      <c r="G523" s="3"/>
      <c r="H523" s="6">
        <v>9.673540998E9</v>
      </c>
      <c r="I523" s="6" t="s">
        <v>1644</v>
      </c>
      <c r="J523" s="6" t="s">
        <v>16</v>
      </c>
      <c r="K523" s="6" t="s">
        <v>17</v>
      </c>
      <c r="L523" s="6" t="s">
        <v>1645</v>
      </c>
    </row>
    <row r="524" ht="22.5" customHeight="1">
      <c r="A524" s="5">
        <v>46171.795934884256</v>
      </c>
      <c r="B524" s="6" t="s">
        <v>1646</v>
      </c>
      <c r="C524" s="6" t="s">
        <v>1647</v>
      </c>
      <c r="D524" s="3" t="str">
        <f t="shared" si="1"/>
        <v>AE-0523</v>
      </c>
      <c r="E524" s="3">
        <f t="array" ref="E524">IFERROR(XLOOKUP(D524,'Astronomy 101 Week 1 Quiz (Resp'!F:F,'Astronomy 101 Week 1 Quiz (Resp'!E:E),0)</f>
        <v>0</v>
      </c>
      <c r="F524" s="3" t="s">
        <v>14</v>
      </c>
      <c r="G524" s="3"/>
      <c r="H524" s="6">
        <v>8.638877951E9</v>
      </c>
      <c r="I524" s="6" t="s">
        <v>64</v>
      </c>
      <c r="J524" s="6" t="s">
        <v>16</v>
      </c>
      <c r="K524" s="6" t="s">
        <v>25</v>
      </c>
      <c r="L524" s="6" t="s">
        <v>1648</v>
      </c>
    </row>
    <row r="525" ht="22.5" customHeight="1">
      <c r="A525" s="5">
        <v>46171.80619716435</v>
      </c>
      <c r="B525" s="6" t="s">
        <v>1649</v>
      </c>
      <c r="C525" s="6" t="s">
        <v>1650</v>
      </c>
      <c r="D525" s="3" t="str">
        <f t="shared" si="1"/>
        <v>AE-0524</v>
      </c>
      <c r="E525" s="3">
        <f t="array" ref="E525">IFERROR(XLOOKUP(D525,'Astronomy 101 Week 1 Quiz (Resp'!F:F,'Astronomy 101 Week 1 Quiz (Resp'!E:E),0)</f>
        <v>43</v>
      </c>
      <c r="F525" s="3" t="s">
        <v>14</v>
      </c>
      <c r="G525" s="3"/>
      <c r="H525" s="6">
        <v>8.767993248E9</v>
      </c>
      <c r="I525" s="6" t="s">
        <v>1651</v>
      </c>
      <c r="J525" s="6" t="s">
        <v>16</v>
      </c>
      <c r="K525" s="6" t="s">
        <v>43</v>
      </c>
      <c r="L525" s="6" t="s">
        <v>1652</v>
      </c>
    </row>
    <row r="526" ht="22.5" customHeight="1">
      <c r="A526" s="5">
        <v>46171.81075107639</v>
      </c>
      <c r="B526" s="6" t="s">
        <v>1653</v>
      </c>
      <c r="C526" s="6" t="s">
        <v>1654</v>
      </c>
      <c r="D526" s="3" t="str">
        <f t="shared" si="1"/>
        <v>AE-0525</v>
      </c>
      <c r="E526" s="3">
        <f t="array" ref="E526">IFERROR(XLOOKUP(D526,'Astronomy 101 Week 1 Quiz (Resp'!F:F,'Astronomy 101 Week 1 Quiz (Resp'!E:E),0)</f>
        <v>39</v>
      </c>
      <c r="F526" s="3" t="s">
        <v>14</v>
      </c>
      <c r="G526" s="3"/>
      <c r="H526" s="6">
        <v>9.499186028E9</v>
      </c>
      <c r="I526" s="6" t="s">
        <v>32</v>
      </c>
      <c r="J526" s="6" t="s">
        <v>16</v>
      </c>
      <c r="K526" s="6" t="s">
        <v>17</v>
      </c>
    </row>
    <row r="527" ht="22.5" customHeight="1">
      <c r="A527" s="5">
        <v>46171.811338368054</v>
      </c>
      <c r="B527" s="6" t="s">
        <v>1655</v>
      </c>
      <c r="C527" s="6" t="s">
        <v>1656</v>
      </c>
      <c r="D527" s="3" t="str">
        <f t="shared" si="1"/>
        <v>AE-0526</v>
      </c>
      <c r="E527" s="3">
        <f t="array" ref="E527">IFERROR(XLOOKUP(D527,'Astronomy 101 Week 1 Quiz (Resp'!F:F,'Astronomy 101 Week 1 Quiz (Resp'!E:E),0)</f>
        <v>46</v>
      </c>
      <c r="F527" s="3" t="s">
        <v>14</v>
      </c>
      <c r="G527" s="3"/>
      <c r="H527" s="6" t="s">
        <v>1657</v>
      </c>
      <c r="I527" s="6" t="s">
        <v>153</v>
      </c>
      <c r="J527" s="6" t="s">
        <v>33</v>
      </c>
      <c r="K527" s="6" t="s">
        <v>17</v>
      </c>
    </row>
    <row r="528" ht="22.5" customHeight="1">
      <c r="A528" s="5">
        <v>46171.81883375</v>
      </c>
      <c r="B528" s="6" t="s">
        <v>1658</v>
      </c>
      <c r="C528" s="6" t="s">
        <v>1659</v>
      </c>
      <c r="D528" s="3" t="str">
        <f t="shared" si="1"/>
        <v>AE-0527</v>
      </c>
      <c r="E528" s="3">
        <f t="array" ref="E528">IFERROR(XLOOKUP(D528,'Astronomy 101 Week 1 Quiz (Resp'!F:F,'Astronomy 101 Week 1 Quiz (Resp'!E:E),0)</f>
        <v>0</v>
      </c>
      <c r="F528" s="3" t="s">
        <v>14</v>
      </c>
      <c r="G528" s="3"/>
      <c r="H528" s="6">
        <v>7.276055317E9</v>
      </c>
      <c r="I528" s="6" t="s">
        <v>1660</v>
      </c>
      <c r="J528" s="6" t="s">
        <v>16</v>
      </c>
      <c r="K528" s="6" t="s">
        <v>25</v>
      </c>
      <c r="L528" s="6" t="s">
        <v>1661</v>
      </c>
    </row>
    <row r="529" ht="22.5" customHeight="1">
      <c r="A529" s="5">
        <v>46171.82011572916</v>
      </c>
      <c r="B529" s="6" t="s">
        <v>1662</v>
      </c>
      <c r="C529" s="6" t="s">
        <v>1663</v>
      </c>
      <c r="D529" s="3" t="str">
        <f t="shared" si="1"/>
        <v>AE-0528</v>
      </c>
      <c r="E529" s="3">
        <f t="array" ref="E529">IFERROR(XLOOKUP(D529,'Astronomy 101 Week 1 Quiz (Resp'!F:F,'Astronomy 101 Week 1 Quiz (Resp'!E:E),0)</f>
        <v>0</v>
      </c>
      <c r="F529" s="3" t="s">
        <v>14</v>
      </c>
      <c r="G529" s="3"/>
      <c r="H529" s="6">
        <v>9.233437686E9</v>
      </c>
      <c r="I529" s="6" t="s">
        <v>1257</v>
      </c>
      <c r="J529" s="6" t="s">
        <v>16</v>
      </c>
      <c r="K529" s="6" t="s">
        <v>82</v>
      </c>
      <c r="L529" s="6" t="s">
        <v>1664</v>
      </c>
    </row>
    <row r="530" ht="22.5" customHeight="1">
      <c r="A530" s="5">
        <v>46171.82015206019</v>
      </c>
      <c r="B530" s="6" t="s">
        <v>1665</v>
      </c>
      <c r="C530" s="6" t="s">
        <v>1666</v>
      </c>
      <c r="D530" s="3" t="str">
        <f t="shared" si="1"/>
        <v>AE-0529</v>
      </c>
      <c r="E530" s="3">
        <f t="array" ref="E530">IFERROR(XLOOKUP(D530,'Astronomy 101 Week 1 Quiz (Resp'!F:F,'Astronomy 101 Week 1 Quiz (Resp'!E:E),0)</f>
        <v>42</v>
      </c>
      <c r="F530" s="3" t="s">
        <v>14</v>
      </c>
      <c r="G530" s="3"/>
      <c r="H530" s="6">
        <v>9.89822267E9</v>
      </c>
      <c r="I530" s="6" t="s">
        <v>1667</v>
      </c>
      <c r="J530" s="6" t="s">
        <v>16</v>
      </c>
      <c r="K530" s="6" t="s">
        <v>43</v>
      </c>
      <c r="L530" s="6" t="s">
        <v>1668</v>
      </c>
    </row>
    <row r="531" ht="22.5" customHeight="1">
      <c r="A531" s="5">
        <v>46171.821360381946</v>
      </c>
      <c r="B531" s="6" t="s">
        <v>1669</v>
      </c>
      <c r="C531" s="6" t="s">
        <v>1670</v>
      </c>
      <c r="D531" s="3" t="str">
        <f t="shared" si="1"/>
        <v>AE-0530</v>
      </c>
      <c r="E531" s="3">
        <f t="array" ref="E531">IFERROR(XLOOKUP(D531,'Astronomy 101 Week 1 Quiz (Resp'!F:F,'Astronomy 101 Week 1 Quiz (Resp'!E:E),0)</f>
        <v>0</v>
      </c>
      <c r="F531" s="3" t="s">
        <v>14</v>
      </c>
      <c r="G531" s="3"/>
      <c r="H531" s="6">
        <v>9.137829388E9</v>
      </c>
      <c r="I531" s="6" t="s">
        <v>1671</v>
      </c>
      <c r="J531" s="6" t="s">
        <v>16</v>
      </c>
      <c r="K531" s="6" t="s">
        <v>21</v>
      </c>
      <c r="L531" s="6" t="s">
        <v>1672</v>
      </c>
    </row>
    <row r="532" ht="22.5" customHeight="1">
      <c r="A532" s="5">
        <v>46171.82154851852</v>
      </c>
      <c r="B532" s="6" t="s">
        <v>1673</v>
      </c>
      <c r="C532" s="6" t="s">
        <v>1674</v>
      </c>
      <c r="D532" s="3" t="str">
        <f t="shared" si="1"/>
        <v>AE-0531</v>
      </c>
      <c r="E532" s="3">
        <f t="array" ref="E532">IFERROR(XLOOKUP(D532,'Astronomy 101 Week 1 Quiz (Resp'!F:F,'Astronomy 101 Week 1 Quiz (Resp'!E:E),0)</f>
        <v>0</v>
      </c>
      <c r="F532" s="3" t="s">
        <v>14</v>
      </c>
      <c r="G532" s="3"/>
      <c r="H532" s="6">
        <v>9.334294896E9</v>
      </c>
      <c r="I532" s="6" t="s">
        <v>1675</v>
      </c>
      <c r="J532" s="6" t="s">
        <v>16</v>
      </c>
      <c r="K532" s="6" t="s">
        <v>17</v>
      </c>
    </row>
    <row r="533" ht="22.5" customHeight="1">
      <c r="A533" s="5">
        <v>46171.82381107639</v>
      </c>
      <c r="B533" s="6" t="s">
        <v>1676</v>
      </c>
      <c r="C533" s="6" t="s">
        <v>1677</v>
      </c>
      <c r="D533" s="3" t="str">
        <f t="shared" si="1"/>
        <v>AE-0532</v>
      </c>
      <c r="E533" s="3">
        <f t="array" ref="E533">IFERROR(XLOOKUP(D533,'Astronomy 101 Week 1 Quiz (Resp'!F:F,'Astronomy 101 Week 1 Quiz (Resp'!E:E),0)</f>
        <v>0</v>
      </c>
      <c r="F533" s="3" t="s">
        <v>14</v>
      </c>
      <c r="G533" s="3"/>
      <c r="H533" s="6">
        <v>8.078207252E9</v>
      </c>
      <c r="I533" s="6" t="s">
        <v>1678</v>
      </c>
      <c r="J533" s="6" t="s">
        <v>16</v>
      </c>
      <c r="K533" s="6" t="s">
        <v>21</v>
      </c>
    </row>
    <row r="534" ht="22.5" customHeight="1">
      <c r="A534" s="5">
        <v>46171.8258347338</v>
      </c>
      <c r="B534" s="6" t="s">
        <v>1679</v>
      </c>
      <c r="C534" s="6" t="s">
        <v>1680</v>
      </c>
      <c r="D534" s="3" t="str">
        <f t="shared" si="1"/>
        <v>AE-0533</v>
      </c>
      <c r="E534" s="3">
        <f t="array" ref="E534">IFERROR(XLOOKUP(D534,'Astronomy 101 Week 1 Quiz (Resp'!F:F,'Astronomy 101 Week 1 Quiz (Resp'!E:E),0)</f>
        <v>0</v>
      </c>
      <c r="F534" s="3" t="s">
        <v>14</v>
      </c>
      <c r="G534" s="3"/>
      <c r="H534" s="6">
        <v>9.832902566E9</v>
      </c>
      <c r="I534" s="6" t="s">
        <v>1055</v>
      </c>
      <c r="J534" s="6" t="s">
        <v>16</v>
      </c>
      <c r="K534" s="6" t="s">
        <v>17</v>
      </c>
    </row>
    <row r="535" ht="22.5" customHeight="1">
      <c r="A535" s="5">
        <v>46171.83450467592</v>
      </c>
      <c r="B535" s="6" t="s">
        <v>1681</v>
      </c>
      <c r="C535" s="6" t="s">
        <v>1682</v>
      </c>
      <c r="D535" s="3" t="str">
        <f t="shared" si="1"/>
        <v>AE-0534</v>
      </c>
      <c r="E535" s="3">
        <f t="array" ref="E535">IFERROR(XLOOKUP(D535,'Astronomy 101 Week 1 Quiz (Resp'!F:F,'Astronomy 101 Week 1 Quiz (Resp'!E:E),0)</f>
        <v>20</v>
      </c>
      <c r="F535" s="3" t="s">
        <v>14</v>
      </c>
      <c r="G535" s="3"/>
      <c r="H535" s="6">
        <v>8.019072299E9</v>
      </c>
      <c r="I535" s="6" t="s">
        <v>1683</v>
      </c>
      <c r="J535" s="6" t="s">
        <v>16</v>
      </c>
      <c r="K535" s="6" t="s">
        <v>82</v>
      </c>
      <c r="L535" s="6" t="s">
        <v>1684</v>
      </c>
    </row>
    <row r="536" ht="22.5" customHeight="1">
      <c r="A536" s="5">
        <v>46171.83619078704</v>
      </c>
      <c r="B536" s="6" t="s">
        <v>1685</v>
      </c>
      <c r="C536" s="6" t="s">
        <v>1686</v>
      </c>
      <c r="D536" s="3" t="str">
        <f t="shared" si="1"/>
        <v>AE-0535</v>
      </c>
      <c r="E536" s="3">
        <f t="array" ref="E536">IFERROR(XLOOKUP(D536,'Astronomy 101 Week 1 Quiz (Resp'!F:F,'Astronomy 101 Week 1 Quiz (Resp'!E:E),0)</f>
        <v>40</v>
      </c>
      <c r="F536" s="3" t="s">
        <v>14</v>
      </c>
      <c r="G536" s="3"/>
      <c r="H536" s="6" t="s">
        <v>1687</v>
      </c>
      <c r="I536" s="6" t="s">
        <v>1688</v>
      </c>
      <c r="J536" s="6" t="s">
        <v>16</v>
      </c>
      <c r="K536" s="6" t="s">
        <v>17</v>
      </c>
      <c r="L536" s="6" t="s">
        <v>1689</v>
      </c>
    </row>
    <row r="537" ht="22.5" customHeight="1">
      <c r="A537" s="5">
        <v>46171.83629861111</v>
      </c>
      <c r="B537" s="6" t="s">
        <v>1690</v>
      </c>
      <c r="C537" s="6" t="s">
        <v>1691</v>
      </c>
      <c r="D537" s="3" t="str">
        <f t="shared" si="1"/>
        <v>AE-0536</v>
      </c>
      <c r="E537" s="3">
        <f t="array" ref="E537">IFERROR(XLOOKUP(D537,'Astronomy 101 Week 1 Quiz (Resp'!F:F,'Astronomy 101 Week 1 Quiz (Resp'!E:E),0)</f>
        <v>0</v>
      </c>
      <c r="F537" s="3" t="s">
        <v>14</v>
      </c>
      <c r="G537" s="3"/>
      <c r="H537" s="6">
        <v>8.653071888E9</v>
      </c>
      <c r="I537" s="6" t="s">
        <v>698</v>
      </c>
      <c r="J537" s="6" t="s">
        <v>16</v>
      </c>
      <c r="K537" s="6" t="s">
        <v>47</v>
      </c>
      <c r="L537" s="6" t="s">
        <v>1692</v>
      </c>
    </row>
    <row r="538" ht="22.5" customHeight="1">
      <c r="A538" s="5">
        <v>46171.83725615741</v>
      </c>
      <c r="B538" s="6" t="s">
        <v>379</v>
      </c>
      <c r="C538" s="6" t="s">
        <v>380</v>
      </c>
      <c r="D538" s="3" t="str">
        <f t="shared" si="1"/>
        <v>AE-0537</v>
      </c>
      <c r="E538" s="3">
        <f t="array" ref="E538">IFERROR(XLOOKUP(D538,'Astronomy 101 Week 1 Quiz (Resp'!F:F,'Astronomy 101 Week 1 Quiz (Resp'!E:E),0)</f>
        <v>0</v>
      </c>
      <c r="F538" s="3" t="s">
        <v>14</v>
      </c>
      <c r="G538" s="3"/>
      <c r="H538" s="6">
        <v>6.364512271E9</v>
      </c>
      <c r="I538" s="6" t="s">
        <v>381</v>
      </c>
      <c r="J538" s="6" t="s">
        <v>16</v>
      </c>
      <c r="K538" s="6" t="s">
        <v>17</v>
      </c>
      <c r="L538" s="6" t="s">
        <v>1693</v>
      </c>
    </row>
    <row r="539" ht="22.5" customHeight="1">
      <c r="A539" s="5">
        <v>46171.84116589121</v>
      </c>
      <c r="B539" s="6" t="s">
        <v>1694</v>
      </c>
      <c r="C539" s="6" t="s">
        <v>1695</v>
      </c>
      <c r="D539" s="3" t="str">
        <f t="shared" si="1"/>
        <v>AE-0538</v>
      </c>
      <c r="E539" s="3">
        <f t="array" ref="E539">IFERROR(XLOOKUP(D539,'Astronomy 101 Week 1 Quiz (Resp'!F:F,'Astronomy 101 Week 1 Quiz (Resp'!E:E),0)</f>
        <v>0</v>
      </c>
      <c r="F539" s="3" t="s">
        <v>14</v>
      </c>
      <c r="G539" s="3"/>
      <c r="H539" s="6">
        <v>9.627576505E9</v>
      </c>
      <c r="I539" s="6" t="s">
        <v>374</v>
      </c>
      <c r="J539" s="6" t="s">
        <v>16</v>
      </c>
      <c r="K539" s="6" t="s">
        <v>17</v>
      </c>
    </row>
    <row r="540" ht="22.5" customHeight="1">
      <c r="A540" s="5">
        <v>46171.84306694445</v>
      </c>
      <c r="B540" s="6" t="s">
        <v>1696</v>
      </c>
      <c r="C540" s="6" t="s">
        <v>1697</v>
      </c>
      <c r="D540" s="3" t="str">
        <f t="shared" si="1"/>
        <v>AE-0539</v>
      </c>
      <c r="E540" s="3">
        <f t="array" ref="E540">IFERROR(XLOOKUP(D540,'Astronomy 101 Week 1 Quiz (Resp'!F:F,'Astronomy 101 Week 1 Quiz (Resp'!E:E),0)</f>
        <v>0</v>
      </c>
      <c r="F540" s="3" t="s">
        <v>14</v>
      </c>
      <c r="G540" s="3"/>
      <c r="H540" s="6">
        <v>8.320128867E9</v>
      </c>
      <c r="I540" s="6" t="s">
        <v>1698</v>
      </c>
      <c r="J540" s="6" t="s">
        <v>16</v>
      </c>
      <c r="K540" s="6" t="s">
        <v>47</v>
      </c>
    </row>
    <row r="541" ht="22.5" customHeight="1">
      <c r="A541" s="5">
        <v>46171.843456111106</v>
      </c>
      <c r="B541" s="6" t="s">
        <v>647</v>
      </c>
      <c r="C541" s="6" t="s">
        <v>647</v>
      </c>
      <c r="D541" s="3" t="str">
        <f t="shared" si="1"/>
        <v>AE-0540</v>
      </c>
      <c r="E541" s="3">
        <f t="array" ref="E541">IFERROR(XLOOKUP(D541,'Astronomy 101 Week 1 Quiz (Resp'!F:F,'Astronomy 101 Week 1 Quiz (Resp'!E:E),0)</f>
        <v>0</v>
      </c>
      <c r="F541" s="3" t="s">
        <v>734</v>
      </c>
      <c r="G541" s="3" t="s">
        <v>1699</v>
      </c>
      <c r="H541" s="6">
        <v>9.211689019E9</v>
      </c>
      <c r="I541" s="6" t="s">
        <v>507</v>
      </c>
      <c r="J541" s="6" t="s">
        <v>16</v>
      </c>
      <c r="K541" s="6" t="s">
        <v>17</v>
      </c>
      <c r="L541" s="6" t="s">
        <v>1700</v>
      </c>
    </row>
    <row r="542" ht="22.5" customHeight="1">
      <c r="A542" s="5">
        <v>46171.84688739583</v>
      </c>
      <c r="B542" s="6" t="s">
        <v>1701</v>
      </c>
      <c r="C542" s="6" t="s">
        <v>1702</v>
      </c>
      <c r="D542" s="3" t="str">
        <f t="shared" si="1"/>
        <v>AE-0541</v>
      </c>
      <c r="E542" s="3">
        <f t="array" ref="E542">IFERROR(XLOOKUP(D542,'Astronomy 101 Week 1 Quiz (Resp'!F:F,'Astronomy 101 Week 1 Quiz (Resp'!E:E),0)</f>
        <v>0</v>
      </c>
      <c r="F542" s="3" t="s">
        <v>14</v>
      </c>
      <c r="G542" s="3"/>
      <c r="H542" s="6">
        <v>6.353848213E9</v>
      </c>
      <c r="I542" s="6" t="s">
        <v>1703</v>
      </c>
      <c r="J542" s="6" t="s">
        <v>16</v>
      </c>
      <c r="K542" s="6" t="s">
        <v>17</v>
      </c>
    </row>
    <row r="543" ht="22.5" customHeight="1">
      <c r="A543" s="5">
        <v>46171.847759861106</v>
      </c>
      <c r="B543" s="9" t="s">
        <v>1704</v>
      </c>
      <c r="C543" s="6" t="s">
        <v>1705</v>
      </c>
      <c r="D543" s="3" t="str">
        <f t="shared" si="1"/>
        <v>AE-0542</v>
      </c>
      <c r="E543" s="3">
        <f t="array" ref="E543">IFERROR(XLOOKUP(D543,'Astronomy 101 Week 1 Quiz (Resp'!F:F,'Astronomy 101 Week 1 Quiz (Resp'!E:E),0)</f>
        <v>0</v>
      </c>
      <c r="F543" s="3" t="s">
        <v>734</v>
      </c>
      <c r="G543" s="3" t="s">
        <v>1706</v>
      </c>
      <c r="H543" s="6">
        <v>6.363636363E9</v>
      </c>
      <c r="I543" s="6" t="s">
        <v>1707</v>
      </c>
      <c r="J543" s="6" t="s">
        <v>33</v>
      </c>
      <c r="K543" s="6" t="s">
        <v>17</v>
      </c>
    </row>
    <row r="544" ht="22.5" customHeight="1">
      <c r="A544" s="5">
        <v>46171.849142060186</v>
      </c>
      <c r="B544" s="6" t="s">
        <v>1708</v>
      </c>
      <c r="C544" s="6" t="s">
        <v>1709</v>
      </c>
      <c r="D544" s="3" t="str">
        <f t="shared" si="1"/>
        <v>AE-0543</v>
      </c>
      <c r="E544" s="3">
        <f t="array" ref="E544">IFERROR(XLOOKUP(D544,'Astronomy 101 Week 1 Quiz (Resp'!F:F,'Astronomy 101 Week 1 Quiz (Resp'!E:E),0)</f>
        <v>0</v>
      </c>
      <c r="F544" s="3" t="s">
        <v>14</v>
      </c>
      <c r="G544" s="3"/>
      <c r="H544" s="6">
        <v>7.872351451E9</v>
      </c>
      <c r="I544" s="6" t="s">
        <v>1710</v>
      </c>
      <c r="J544" s="6" t="s">
        <v>16</v>
      </c>
      <c r="K544" s="6" t="s">
        <v>17</v>
      </c>
      <c r="L544" s="6" t="s">
        <v>1711</v>
      </c>
    </row>
    <row r="545" ht="22.5" customHeight="1">
      <c r="A545" s="5">
        <v>46171.849867094905</v>
      </c>
      <c r="B545" s="6" t="s">
        <v>1712</v>
      </c>
      <c r="C545" s="6" t="s">
        <v>1713</v>
      </c>
      <c r="D545" s="3" t="str">
        <f t="shared" si="1"/>
        <v>AE-0544</v>
      </c>
      <c r="E545" s="3">
        <f t="array" ref="E545">IFERROR(XLOOKUP(D545,'Astronomy 101 Week 1 Quiz (Resp'!F:F,'Astronomy 101 Week 1 Quiz (Resp'!E:E),0)</f>
        <v>0</v>
      </c>
      <c r="F545" s="3" t="s">
        <v>14</v>
      </c>
      <c r="G545" s="3"/>
      <c r="H545" s="6">
        <v>9.574750444E9</v>
      </c>
      <c r="I545" s="6" t="s">
        <v>1714</v>
      </c>
      <c r="J545" s="6" t="s">
        <v>33</v>
      </c>
      <c r="K545" s="6" t="s">
        <v>17</v>
      </c>
      <c r="L545" s="6" t="s">
        <v>1715</v>
      </c>
    </row>
    <row r="546" ht="22.5" customHeight="1">
      <c r="A546" s="5">
        <v>46171.8511453588</v>
      </c>
      <c r="B546" s="6" t="s">
        <v>1716</v>
      </c>
      <c r="C546" s="6" t="s">
        <v>1717</v>
      </c>
      <c r="D546" s="3" t="str">
        <f t="shared" si="1"/>
        <v>AE-0545</v>
      </c>
      <c r="E546" s="3">
        <f t="array" ref="E546">IFERROR(XLOOKUP(D546,'Astronomy 101 Week 1 Quiz (Resp'!F:F,'Astronomy 101 Week 1 Quiz (Resp'!E:E),0)</f>
        <v>0</v>
      </c>
      <c r="F546" s="3" t="s">
        <v>14</v>
      </c>
      <c r="G546" s="3"/>
      <c r="H546" s="6">
        <v>9.080624123E9</v>
      </c>
      <c r="I546" s="6" t="s">
        <v>1718</v>
      </c>
      <c r="J546" s="6" t="s">
        <v>16</v>
      </c>
    </row>
    <row r="547" ht="22.5" customHeight="1">
      <c r="A547" s="5">
        <v>46171.85132236111</v>
      </c>
      <c r="B547" s="6" t="s">
        <v>1719</v>
      </c>
      <c r="C547" s="6" t="s">
        <v>1720</v>
      </c>
      <c r="D547" s="3" t="str">
        <f t="shared" si="1"/>
        <v>AE-0546</v>
      </c>
      <c r="E547" s="3">
        <f t="array" ref="E547">IFERROR(XLOOKUP(D547,'Astronomy 101 Week 1 Quiz (Resp'!F:F,'Astronomy 101 Week 1 Quiz (Resp'!E:E),0)</f>
        <v>0</v>
      </c>
      <c r="F547" s="3" t="s">
        <v>14</v>
      </c>
      <c r="G547" s="3"/>
      <c r="H547" s="6">
        <v>8.983125415E9</v>
      </c>
      <c r="I547" s="6" t="s">
        <v>1721</v>
      </c>
      <c r="J547" s="6" t="s">
        <v>16</v>
      </c>
      <c r="K547" s="6" t="s">
        <v>17</v>
      </c>
    </row>
    <row r="548" ht="22.5" customHeight="1">
      <c r="A548" s="5">
        <v>46171.851565439814</v>
      </c>
      <c r="B548" s="6" t="s">
        <v>1722</v>
      </c>
      <c r="C548" s="6" t="s">
        <v>1717</v>
      </c>
      <c r="D548" s="3" t="str">
        <f t="shared" si="1"/>
        <v>AE-0547</v>
      </c>
      <c r="E548" s="3">
        <f t="array" ref="E548">IFERROR(XLOOKUP(D548,'Astronomy 101 Week 1 Quiz (Resp'!F:F,'Astronomy 101 Week 1 Quiz (Resp'!E:E),0)</f>
        <v>0</v>
      </c>
      <c r="F548" s="3" t="s">
        <v>14</v>
      </c>
      <c r="G548" s="3"/>
      <c r="H548" s="6">
        <v>9.080624123E9</v>
      </c>
      <c r="I548" s="6" t="s">
        <v>1718</v>
      </c>
      <c r="J548" s="6" t="s">
        <v>16</v>
      </c>
      <c r="K548" s="6" t="s">
        <v>25</v>
      </c>
    </row>
    <row r="549" ht="22.5" customHeight="1">
      <c r="A549" s="5">
        <v>46171.852647499996</v>
      </c>
      <c r="B549" s="6" t="s">
        <v>1723</v>
      </c>
      <c r="C549" s="6" t="s">
        <v>1724</v>
      </c>
      <c r="D549" s="3" t="str">
        <f t="shared" si="1"/>
        <v>AE-0548</v>
      </c>
      <c r="E549" s="3">
        <f t="array" ref="E549">IFERROR(XLOOKUP(D549,'Astronomy 101 Week 1 Quiz (Resp'!F:F,'Astronomy 101 Week 1 Quiz (Resp'!E:E),0)</f>
        <v>0</v>
      </c>
      <c r="F549" s="3" t="s">
        <v>14</v>
      </c>
      <c r="G549" s="3"/>
      <c r="H549" s="7" t="s">
        <v>1725</v>
      </c>
      <c r="I549" s="6" t="s">
        <v>1726</v>
      </c>
      <c r="J549" s="6" t="s">
        <v>16</v>
      </c>
      <c r="K549" s="6" t="s">
        <v>21</v>
      </c>
      <c r="L549" s="6" t="s">
        <v>1727</v>
      </c>
    </row>
    <row r="550" ht="22.5" customHeight="1">
      <c r="A550" s="5">
        <v>46171.85786662037</v>
      </c>
      <c r="B550" s="6" t="s">
        <v>1728</v>
      </c>
      <c r="C550" s="6" t="s">
        <v>1729</v>
      </c>
      <c r="D550" s="3" t="str">
        <f t="shared" si="1"/>
        <v>AE-0549</v>
      </c>
      <c r="E550" s="3">
        <f t="array" ref="E550">IFERROR(XLOOKUP(D550,'Astronomy 101 Week 1 Quiz (Resp'!F:F,'Astronomy 101 Week 1 Quiz (Resp'!E:E),0)</f>
        <v>0</v>
      </c>
      <c r="F550" s="3" t="s">
        <v>14</v>
      </c>
      <c r="G550" s="3"/>
      <c r="H550" s="6">
        <v>8.31002056E9</v>
      </c>
      <c r="I550" s="6" t="s">
        <v>1730</v>
      </c>
      <c r="J550" s="6" t="s">
        <v>33</v>
      </c>
      <c r="K550" s="6" t="s">
        <v>17</v>
      </c>
    </row>
    <row r="551" ht="22.5" customHeight="1">
      <c r="A551" s="5">
        <v>46171.85803585648</v>
      </c>
      <c r="B551" s="6" t="s">
        <v>1731</v>
      </c>
      <c r="C551" s="6" t="s">
        <v>1732</v>
      </c>
      <c r="D551" s="3" t="str">
        <f t="shared" si="1"/>
        <v>AE-0550</v>
      </c>
      <c r="E551" s="3">
        <f t="array" ref="E551">IFERROR(XLOOKUP(D551,'Astronomy 101 Week 1 Quiz (Resp'!F:F,'Astronomy 101 Week 1 Quiz (Resp'!E:E),0)</f>
        <v>0</v>
      </c>
      <c r="F551" s="3" t="s">
        <v>14</v>
      </c>
      <c r="G551" s="3"/>
      <c r="H551" s="6">
        <v>9.42203154E9</v>
      </c>
      <c r="I551" s="6" t="s">
        <v>1733</v>
      </c>
      <c r="J551" s="6" t="s">
        <v>16</v>
      </c>
      <c r="K551" s="6" t="s">
        <v>17</v>
      </c>
    </row>
    <row r="552" ht="22.5" customHeight="1">
      <c r="A552" s="5">
        <v>46171.858271481484</v>
      </c>
      <c r="B552" s="6" t="s">
        <v>1734</v>
      </c>
      <c r="C552" s="6" t="s">
        <v>1735</v>
      </c>
      <c r="D552" s="3" t="str">
        <f t="shared" si="1"/>
        <v>AE-0551</v>
      </c>
      <c r="E552" s="3">
        <f t="array" ref="E552">IFERROR(XLOOKUP(D552,'Astronomy 101 Week 1 Quiz (Resp'!F:F,'Astronomy 101 Week 1 Quiz (Resp'!E:E),0)</f>
        <v>46</v>
      </c>
      <c r="F552" s="3" t="s">
        <v>14</v>
      </c>
      <c r="G552" s="3"/>
      <c r="H552" s="6">
        <v>8.147213298E9</v>
      </c>
      <c r="I552" s="6" t="s">
        <v>1736</v>
      </c>
      <c r="J552" s="6" t="s">
        <v>16</v>
      </c>
    </row>
    <row r="553" ht="22.5" customHeight="1">
      <c r="A553" s="5">
        <v>46171.860705127314</v>
      </c>
      <c r="B553" s="6" t="s">
        <v>1737</v>
      </c>
      <c r="C553" s="6" t="s">
        <v>1738</v>
      </c>
      <c r="D553" s="3" t="str">
        <f t="shared" si="1"/>
        <v>AE-0552</v>
      </c>
      <c r="E553" s="3">
        <f t="array" ref="E553">IFERROR(XLOOKUP(D553,'Astronomy 101 Week 1 Quiz (Resp'!F:F,'Astronomy 101 Week 1 Quiz (Resp'!E:E),0)</f>
        <v>44</v>
      </c>
      <c r="F553" s="3" t="s">
        <v>14</v>
      </c>
      <c r="G553" s="3"/>
      <c r="H553" s="6">
        <v>8.010042485E9</v>
      </c>
      <c r="I553" s="6" t="s">
        <v>1113</v>
      </c>
      <c r="J553" s="6" t="s">
        <v>16</v>
      </c>
      <c r="K553" s="6" t="s">
        <v>25</v>
      </c>
    </row>
    <row r="554" ht="22.5" customHeight="1">
      <c r="A554" s="5">
        <v>46171.86110180555</v>
      </c>
      <c r="B554" s="6" t="s">
        <v>1739</v>
      </c>
      <c r="C554" s="6" t="s">
        <v>1740</v>
      </c>
      <c r="D554" s="3" t="str">
        <f t="shared" si="1"/>
        <v>AE-0553</v>
      </c>
      <c r="E554" s="3">
        <f t="array" ref="E554">IFERROR(XLOOKUP(D554,'Astronomy 101 Week 1 Quiz (Resp'!F:F,'Astronomy 101 Week 1 Quiz (Resp'!E:E),0)</f>
        <v>0</v>
      </c>
      <c r="F554" s="3" t="s">
        <v>14</v>
      </c>
      <c r="G554" s="3"/>
      <c r="H554" s="6">
        <v>9.973384806E9</v>
      </c>
      <c r="I554" s="6" t="s">
        <v>395</v>
      </c>
      <c r="J554" s="6" t="s">
        <v>16</v>
      </c>
      <c r="K554" s="6" t="s">
        <v>17</v>
      </c>
      <c r="L554" s="6" t="s">
        <v>1741</v>
      </c>
    </row>
    <row r="555" ht="22.5" customHeight="1">
      <c r="A555" s="5">
        <v>46171.86313164352</v>
      </c>
      <c r="B555" s="6" t="s">
        <v>1742</v>
      </c>
      <c r="C555" s="6" t="s">
        <v>1743</v>
      </c>
      <c r="D555" s="3" t="str">
        <f t="shared" si="1"/>
        <v>AE-0554</v>
      </c>
      <c r="E555" s="3">
        <f t="array" ref="E555">IFERROR(XLOOKUP(D555,'Astronomy 101 Week 1 Quiz (Resp'!F:F,'Astronomy 101 Week 1 Quiz (Resp'!E:E),0)</f>
        <v>0</v>
      </c>
      <c r="F555" s="3" t="s">
        <v>14</v>
      </c>
      <c r="G555" s="3"/>
      <c r="H555" s="6">
        <v>9.539427349E9</v>
      </c>
      <c r="I555" s="6" t="s">
        <v>1744</v>
      </c>
      <c r="J555" s="6" t="s">
        <v>16</v>
      </c>
      <c r="K555" s="6" t="s">
        <v>17</v>
      </c>
      <c r="L555" s="6" t="s">
        <v>1745</v>
      </c>
    </row>
    <row r="556" ht="22.5" customHeight="1">
      <c r="A556" s="5">
        <v>46171.8641871875</v>
      </c>
      <c r="B556" s="6" t="s">
        <v>1746</v>
      </c>
      <c r="C556" s="6" t="s">
        <v>1747</v>
      </c>
      <c r="D556" s="3" t="str">
        <f t="shared" si="1"/>
        <v>AE-0555</v>
      </c>
      <c r="E556" s="3">
        <f t="array" ref="E556">IFERROR(XLOOKUP(D556,'Astronomy 101 Week 1 Quiz (Resp'!F:F,'Astronomy 101 Week 1 Quiz (Resp'!E:E),0)</f>
        <v>0</v>
      </c>
      <c r="F556" s="3" t="s">
        <v>14</v>
      </c>
      <c r="G556" s="3"/>
      <c r="H556" s="6">
        <v>9.005015643E9</v>
      </c>
      <c r="I556" s="6" t="s">
        <v>384</v>
      </c>
      <c r="J556" s="6" t="s">
        <v>16</v>
      </c>
      <c r="K556" s="6" t="s">
        <v>61</v>
      </c>
      <c r="L556" s="6" t="s">
        <v>1748</v>
      </c>
    </row>
    <row r="557" ht="22.5" customHeight="1">
      <c r="A557" s="5">
        <v>46171.86447033565</v>
      </c>
      <c r="B557" s="6" t="s">
        <v>1749</v>
      </c>
      <c r="C557" s="6" t="s">
        <v>1750</v>
      </c>
      <c r="D557" s="3" t="str">
        <f t="shared" si="1"/>
        <v>AE-0556</v>
      </c>
      <c r="E557" s="3">
        <f t="array" ref="E557">IFERROR(XLOOKUP(D557,'Astronomy 101 Week 1 Quiz (Resp'!F:F,'Astronomy 101 Week 1 Quiz (Resp'!E:E),0)</f>
        <v>0</v>
      </c>
      <c r="F557" s="3" t="s">
        <v>14</v>
      </c>
      <c r="G557" s="3"/>
      <c r="H557" s="6">
        <v>9.046990847E9</v>
      </c>
      <c r="I557" s="6" t="s">
        <v>1751</v>
      </c>
      <c r="J557" s="6" t="s">
        <v>16</v>
      </c>
      <c r="K557" s="6" t="s">
        <v>47</v>
      </c>
      <c r="L557" s="6" t="s">
        <v>1752</v>
      </c>
    </row>
    <row r="558" ht="22.5" customHeight="1">
      <c r="A558" s="5">
        <v>46171.86469989583</v>
      </c>
      <c r="B558" s="6" t="s">
        <v>1753</v>
      </c>
      <c r="C558" s="6" t="s">
        <v>1754</v>
      </c>
      <c r="D558" s="3" t="str">
        <f t="shared" si="1"/>
        <v>AE-0557</v>
      </c>
      <c r="E558" s="3">
        <f t="array" ref="E558">IFERROR(XLOOKUP(D558,'Astronomy 101 Week 1 Quiz (Resp'!F:F,'Astronomy 101 Week 1 Quiz (Resp'!E:E),0)</f>
        <v>0</v>
      </c>
      <c r="F558" s="3" t="s">
        <v>14</v>
      </c>
      <c r="G558" s="3"/>
      <c r="H558" s="6">
        <v>8.145933302E9</v>
      </c>
      <c r="I558" s="6" t="s">
        <v>1755</v>
      </c>
      <c r="J558" s="6" t="s">
        <v>16</v>
      </c>
      <c r="K558" s="6" t="s">
        <v>17</v>
      </c>
      <c r="L558" s="6" t="s">
        <v>1756</v>
      </c>
    </row>
    <row r="559" ht="22.5" customHeight="1">
      <c r="A559" s="5">
        <v>46171.86557016204</v>
      </c>
      <c r="B559" s="6" t="s">
        <v>1757</v>
      </c>
      <c r="C559" s="6" t="s">
        <v>1758</v>
      </c>
      <c r="D559" s="3" t="str">
        <f t="shared" si="1"/>
        <v>AE-0558</v>
      </c>
      <c r="E559" s="3">
        <f t="array" ref="E559">IFERROR(XLOOKUP(D559,'Astronomy 101 Week 1 Quiz (Resp'!F:F,'Astronomy 101 Week 1 Quiz (Resp'!E:E),0)</f>
        <v>0</v>
      </c>
      <c r="F559" s="3" t="s">
        <v>14</v>
      </c>
      <c r="G559" s="3"/>
      <c r="H559" s="6">
        <v>9.922941098E9</v>
      </c>
      <c r="I559" s="6" t="s">
        <v>1759</v>
      </c>
      <c r="J559" s="6" t="s">
        <v>16</v>
      </c>
      <c r="K559" s="6" t="s">
        <v>17</v>
      </c>
    </row>
    <row r="560" ht="22.5" customHeight="1">
      <c r="A560" s="5">
        <v>46171.865676319445</v>
      </c>
      <c r="B560" s="6" t="s">
        <v>1760</v>
      </c>
      <c r="C560" s="6" t="s">
        <v>1761</v>
      </c>
      <c r="D560" s="3" t="str">
        <f t="shared" si="1"/>
        <v>AE-0559</v>
      </c>
      <c r="E560" s="3">
        <f t="array" ref="E560">IFERROR(XLOOKUP(D560,'Astronomy 101 Week 1 Quiz (Resp'!F:F,'Astronomy 101 Week 1 Quiz (Resp'!E:E),0)</f>
        <v>0</v>
      </c>
      <c r="F560" s="3" t="s">
        <v>14</v>
      </c>
      <c r="G560" s="3"/>
      <c r="H560" s="6">
        <v>7.892347478E9</v>
      </c>
      <c r="I560" s="6" t="s">
        <v>1762</v>
      </c>
      <c r="J560" s="6" t="s">
        <v>16</v>
      </c>
      <c r="K560" s="6" t="s">
        <v>17</v>
      </c>
      <c r="L560" s="6" t="s">
        <v>1763</v>
      </c>
    </row>
    <row r="561" ht="22.5" customHeight="1">
      <c r="A561" s="5">
        <v>46171.86671960648</v>
      </c>
      <c r="B561" s="6" t="s">
        <v>1764</v>
      </c>
      <c r="C561" s="6" t="s">
        <v>1765</v>
      </c>
      <c r="D561" s="3" t="str">
        <f t="shared" si="1"/>
        <v>AE-0560</v>
      </c>
      <c r="E561" s="3">
        <f t="array" ref="E561">IFERROR(XLOOKUP(D561,'Astronomy 101 Week 1 Quiz (Resp'!F:F,'Astronomy 101 Week 1 Quiz (Resp'!E:E),0)</f>
        <v>35</v>
      </c>
      <c r="F561" s="3" t="s">
        <v>14</v>
      </c>
      <c r="G561" s="3"/>
      <c r="H561" s="6">
        <v>8.96261234E9</v>
      </c>
      <c r="I561" s="6" t="s">
        <v>1766</v>
      </c>
      <c r="J561" s="6" t="s">
        <v>16</v>
      </c>
      <c r="K561" s="6" t="s">
        <v>17</v>
      </c>
      <c r="L561" s="6" t="s">
        <v>1767</v>
      </c>
    </row>
    <row r="562" ht="22.5" customHeight="1">
      <c r="A562" s="5">
        <v>46171.86716771991</v>
      </c>
      <c r="B562" s="6" t="s">
        <v>1768</v>
      </c>
      <c r="C562" s="6" t="s">
        <v>1769</v>
      </c>
      <c r="D562" s="3" t="str">
        <f t="shared" si="1"/>
        <v>AE-0561</v>
      </c>
      <c r="E562" s="3">
        <f t="array" ref="E562">IFERROR(XLOOKUP(D562,'Astronomy 101 Week 1 Quiz (Resp'!F:F,'Astronomy 101 Week 1 Quiz (Resp'!E:E),0)</f>
        <v>0</v>
      </c>
      <c r="F562" s="3" t="s">
        <v>14</v>
      </c>
      <c r="G562" s="3"/>
      <c r="H562" s="6">
        <v>7.875324081E9</v>
      </c>
      <c r="I562" s="6" t="s">
        <v>1770</v>
      </c>
      <c r="J562" s="6" t="s">
        <v>16</v>
      </c>
      <c r="K562" s="6" t="s">
        <v>61</v>
      </c>
      <c r="L562" s="6" t="s">
        <v>1771</v>
      </c>
    </row>
    <row r="563" ht="22.5" customHeight="1">
      <c r="A563" s="5">
        <v>46171.86745148148</v>
      </c>
      <c r="B563" s="6" t="s">
        <v>1772</v>
      </c>
      <c r="C563" s="6" t="s">
        <v>1773</v>
      </c>
      <c r="D563" s="3" t="str">
        <f t="shared" si="1"/>
        <v>AE-0562</v>
      </c>
      <c r="E563" s="3">
        <f t="array" ref="E563">IFERROR(XLOOKUP(D563,'Astronomy 101 Week 1 Quiz (Resp'!F:F,'Astronomy 101 Week 1 Quiz (Resp'!E:E),0)</f>
        <v>33</v>
      </c>
      <c r="F563" s="3" t="s">
        <v>14</v>
      </c>
      <c r="G563" s="3"/>
      <c r="H563" s="6">
        <v>9.412739243E9</v>
      </c>
      <c r="I563" s="6" t="s">
        <v>1774</v>
      </c>
      <c r="J563" s="6" t="s">
        <v>16</v>
      </c>
      <c r="K563" s="6" t="s">
        <v>17</v>
      </c>
      <c r="L563" s="6" t="s">
        <v>1775</v>
      </c>
    </row>
    <row r="564" ht="22.5" customHeight="1">
      <c r="A564" s="5">
        <v>46171.867558495374</v>
      </c>
      <c r="B564" s="6" t="s">
        <v>1776</v>
      </c>
      <c r="C564" s="6" t="s">
        <v>1777</v>
      </c>
      <c r="D564" s="3" t="str">
        <f t="shared" si="1"/>
        <v>AE-0563</v>
      </c>
      <c r="E564" s="3">
        <f t="array" ref="E564">IFERROR(XLOOKUP(D564,'Astronomy 101 Week 1 Quiz (Resp'!F:F,'Astronomy 101 Week 1 Quiz (Resp'!E:E),0)</f>
        <v>0</v>
      </c>
      <c r="F564" s="3" t="s">
        <v>14</v>
      </c>
      <c r="G564" s="3"/>
      <c r="H564" s="6">
        <v>7.976068525E9</v>
      </c>
      <c r="I564" s="6" t="s">
        <v>1778</v>
      </c>
      <c r="J564" s="6" t="s">
        <v>16</v>
      </c>
      <c r="K564" s="6" t="s">
        <v>17</v>
      </c>
    </row>
    <row r="565" ht="22.5" customHeight="1">
      <c r="A565" s="5">
        <v>46171.867858020836</v>
      </c>
      <c r="B565" s="6" t="s">
        <v>1779</v>
      </c>
      <c r="C565" s="6" t="s">
        <v>1780</v>
      </c>
      <c r="D565" s="3" t="str">
        <f t="shared" si="1"/>
        <v>AE-0564</v>
      </c>
      <c r="E565" s="3">
        <f t="array" ref="E565">IFERROR(XLOOKUP(D565,'Astronomy 101 Week 1 Quiz (Resp'!F:F,'Astronomy 101 Week 1 Quiz (Resp'!E:E),0)</f>
        <v>0</v>
      </c>
      <c r="F565" s="3" t="s">
        <v>14</v>
      </c>
      <c r="G565" s="3"/>
      <c r="H565" s="6">
        <v>6.202117412E9</v>
      </c>
      <c r="I565" s="6" t="s">
        <v>384</v>
      </c>
      <c r="J565" s="6" t="s">
        <v>16</v>
      </c>
      <c r="K565" s="6" t="s">
        <v>17</v>
      </c>
    </row>
    <row r="566" ht="22.5" customHeight="1">
      <c r="A566" s="5">
        <v>46171.86840501157</v>
      </c>
      <c r="B566" s="6" t="s">
        <v>1781</v>
      </c>
      <c r="C566" s="6" t="s">
        <v>1782</v>
      </c>
      <c r="D566" s="3" t="str">
        <f t="shared" si="1"/>
        <v>AE-0565</v>
      </c>
      <c r="E566" s="3">
        <f t="array" ref="E566">IFERROR(XLOOKUP(D566,'Astronomy 101 Week 1 Quiz (Resp'!F:F,'Astronomy 101 Week 1 Quiz (Resp'!E:E),0)</f>
        <v>0</v>
      </c>
      <c r="F566" s="3" t="s">
        <v>14</v>
      </c>
      <c r="G566" s="3"/>
      <c r="H566" s="6">
        <v>7.044475959E9</v>
      </c>
      <c r="I566" s="6" t="s">
        <v>742</v>
      </c>
      <c r="J566" s="6" t="s">
        <v>16</v>
      </c>
      <c r="K566" s="6" t="s">
        <v>17</v>
      </c>
      <c r="L566" s="6" t="s">
        <v>1783</v>
      </c>
    </row>
    <row r="567" ht="22.5" customHeight="1">
      <c r="A567" s="5">
        <v>46171.86848188657</v>
      </c>
      <c r="B567" s="6" t="s">
        <v>1784</v>
      </c>
      <c r="C567" s="6" t="s">
        <v>1785</v>
      </c>
      <c r="D567" s="3" t="str">
        <f t="shared" si="1"/>
        <v>AE-0566</v>
      </c>
      <c r="E567" s="3">
        <f t="array" ref="E567">IFERROR(XLOOKUP(D567,'Astronomy 101 Week 1 Quiz (Resp'!F:F,'Astronomy 101 Week 1 Quiz (Resp'!E:E),0)</f>
        <v>0</v>
      </c>
      <c r="F567" s="3" t="s">
        <v>14</v>
      </c>
      <c r="G567" s="3"/>
      <c r="H567" s="6">
        <v>6.366070554E9</v>
      </c>
      <c r="I567" s="6" t="s">
        <v>1786</v>
      </c>
      <c r="J567" s="6" t="s">
        <v>16</v>
      </c>
      <c r="K567" s="6" t="s">
        <v>43</v>
      </c>
      <c r="L567" s="6" t="s">
        <v>1787</v>
      </c>
    </row>
    <row r="568" ht="22.5" customHeight="1">
      <c r="A568" s="5">
        <v>46171.87088822917</v>
      </c>
      <c r="B568" s="6" t="s">
        <v>1788</v>
      </c>
      <c r="C568" s="6" t="s">
        <v>1789</v>
      </c>
      <c r="D568" s="3" t="str">
        <f t="shared" si="1"/>
        <v>AE-0567</v>
      </c>
      <c r="E568" s="3">
        <f t="array" ref="E568">IFERROR(XLOOKUP(D568,'Astronomy 101 Week 1 Quiz (Resp'!F:F,'Astronomy 101 Week 1 Quiz (Resp'!E:E),0)</f>
        <v>0</v>
      </c>
      <c r="F568" s="3" t="s">
        <v>14</v>
      </c>
      <c r="G568" s="3"/>
      <c r="H568" s="6">
        <v>9.035564446E9</v>
      </c>
      <c r="I568" s="6" t="s">
        <v>1790</v>
      </c>
      <c r="J568" s="6" t="s">
        <v>16</v>
      </c>
      <c r="K568" s="6" t="s">
        <v>21</v>
      </c>
      <c r="L568" s="6" t="s">
        <v>1791</v>
      </c>
    </row>
    <row r="569" ht="22.5" customHeight="1">
      <c r="A569" s="5">
        <v>46171.87365983796</v>
      </c>
      <c r="B569" s="6" t="s">
        <v>1792</v>
      </c>
      <c r="C569" s="6" t="s">
        <v>1793</v>
      </c>
      <c r="D569" s="3" t="str">
        <f t="shared" si="1"/>
        <v>AE-0568</v>
      </c>
      <c r="E569" s="3">
        <f t="array" ref="E569">IFERROR(XLOOKUP(D569,'Astronomy 101 Week 1 Quiz (Resp'!F:F,'Astronomy 101 Week 1 Quiz (Resp'!E:E),0)</f>
        <v>0</v>
      </c>
      <c r="F569" s="3" t="s">
        <v>14</v>
      </c>
      <c r="G569" s="3"/>
      <c r="H569" s="6">
        <v>8.296379685E9</v>
      </c>
      <c r="I569" s="6" t="s">
        <v>1794</v>
      </c>
      <c r="J569" s="6" t="s">
        <v>16</v>
      </c>
      <c r="K569" s="6" t="s">
        <v>82</v>
      </c>
      <c r="L569" s="6" t="s">
        <v>53</v>
      </c>
    </row>
    <row r="570" ht="22.5" customHeight="1">
      <c r="A570" s="5">
        <v>46171.8739347338</v>
      </c>
      <c r="B570" s="6" t="s">
        <v>1776</v>
      </c>
      <c r="C570" s="6" t="s">
        <v>1777</v>
      </c>
      <c r="D570" s="3" t="str">
        <f t="shared" si="1"/>
        <v>AE-0569</v>
      </c>
      <c r="E570" s="3">
        <f t="array" ref="E570">IFERROR(XLOOKUP(D570,'Astronomy 101 Week 1 Quiz (Resp'!F:F,'Astronomy 101 Week 1 Quiz (Resp'!E:E),0)</f>
        <v>44</v>
      </c>
      <c r="F570" s="3" t="s">
        <v>14</v>
      </c>
      <c r="G570" s="3"/>
      <c r="H570" s="6">
        <v>7.976068525E9</v>
      </c>
      <c r="I570" s="6" t="s">
        <v>1778</v>
      </c>
      <c r="J570" s="6" t="s">
        <v>16</v>
      </c>
      <c r="K570" s="6" t="s">
        <v>17</v>
      </c>
      <c r="L570" s="6" t="s">
        <v>1795</v>
      </c>
    </row>
    <row r="571" ht="22.5" customHeight="1">
      <c r="A571" s="5">
        <v>46171.87547773148</v>
      </c>
      <c r="B571" s="6" t="s">
        <v>1796</v>
      </c>
      <c r="C571" s="6" t="s">
        <v>1797</v>
      </c>
      <c r="D571" s="3" t="str">
        <f t="shared" si="1"/>
        <v>AE-0570</v>
      </c>
      <c r="E571" s="3">
        <f t="array" ref="E571">IFERROR(XLOOKUP(D571,'Astronomy 101 Week 1 Quiz (Resp'!F:F,'Astronomy 101 Week 1 Quiz (Resp'!E:E),0)</f>
        <v>0</v>
      </c>
      <c r="F571" s="3" t="s">
        <v>14</v>
      </c>
      <c r="G571" s="3"/>
      <c r="H571" s="6">
        <v>9.731371741E9</v>
      </c>
      <c r="I571" s="6" t="s">
        <v>1798</v>
      </c>
      <c r="J571" s="6" t="s">
        <v>16</v>
      </c>
      <c r="K571" s="6" t="s">
        <v>25</v>
      </c>
      <c r="L571" s="6" t="s">
        <v>1799</v>
      </c>
    </row>
    <row r="572" ht="22.5" customHeight="1">
      <c r="A572" s="5">
        <v>46171.87638357639</v>
      </c>
      <c r="B572" s="6" t="s">
        <v>1800</v>
      </c>
      <c r="C572" s="6" t="s">
        <v>1801</v>
      </c>
      <c r="D572" s="3" t="str">
        <f t="shared" si="1"/>
        <v>AE-0571</v>
      </c>
      <c r="E572" s="3">
        <f t="array" ref="E572">IFERROR(XLOOKUP(D572,'Astronomy 101 Week 1 Quiz (Resp'!F:F,'Astronomy 101 Week 1 Quiz (Resp'!E:E),0)</f>
        <v>0</v>
      </c>
      <c r="F572" s="3" t="s">
        <v>14</v>
      </c>
      <c r="G572" s="3"/>
      <c r="H572" s="6">
        <v>9.870369991E9</v>
      </c>
      <c r="I572" s="6" t="s">
        <v>1802</v>
      </c>
      <c r="J572" s="6" t="s">
        <v>16</v>
      </c>
      <c r="K572" s="6" t="s">
        <v>21</v>
      </c>
      <c r="L572" s="6" t="s">
        <v>1803</v>
      </c>
    </row>
    <row r="573" ht="22.5" customHeight="1">
      <c r="A573" s="5">
        <v>46171.87730635417</v>
      </c>
      <c r="B573" s="6" t="s">
        <v>1804</v>
      </c>
      <c r="C573" s="6" t="s">
        <v>1805</v>
      </c>
      <c r="D573" s="3" t="str">
        <f t="shared" si="1"/>
        <v>AE-0572</v>
      </c>
      <c r="E573" s="3">
        <f t="array" ref="E573">IFERROR(XLOOKUP(D573,'Astronomy 101 Week 1 Quiz (Resp'!F:F,'Astronomy 101 Week 1 Quiz (Resp'!E:E),0)</f>
        <v>45</v>
      </c>
      <c r="F573" s="3" t="s">
        <v>14</v>
      </c>
      <c r="G573" s="3"/>
      <c r="H573" s="6">
        <v>6.305074712E9</v>
      </c>
      <c r="I573" s="6" t="s">
        <v>1806</v>
      </c>
      <c r="J573" s="6" t="s">
        <v>16</v>
      </c>
      <c r="K573" s="6" t="s">
        <v>17</v>
      </c>
      <c r="L573" s="6" t="s">
        <v>1807</v>
      </c>
    </row>
    <row r="574" ht="22.5" customHeight="1">
      <c r="A574" s="5">
        <v>46171.87737912037</v>
      </c>
      <c r="B574" s="6" t="s">
        <v>1808</v>
      </c>
      <c r="C574" s="6" t="s">
        <v>1809</v>
      </c>
      <c r="D574" s="3" t="str">
        <f t="shared" si="1"/>
        <v>AE-0573</v>
      </c>
      <c r="E574" s="3">
        <f t="array" ref="E574">IFERROR(XLOOKUP(D574,'Astronomy 101 Week 1 Quiz (Resp'!F:F,'Astronomy 101 Week 1 Quiz (Resp'!E:E),0)</f>
        <v>0</v>
      </c>
      <c r="F574" s="3" t="s">
        <v>14</v>
      </c>
      <c r="G574" s="3"/>
      <c r="H574" s="6">
        <v>9.422334583E9</v>
      </c>
      <c r="I574" s="6" t="s">
        <v>1215</v>
      </c>
      <c r="J574" s="6" t="s">
        <v>16</v>
      </c>
      <c r="K574" s="6" t="s">
        <v>21</v>
      </c>
      <c r="L574" s="6" t="s">
        <v>1810</v>
      </c>
    </row>
    <row r="575" ht="22.5" customHeight="1">
      <c r="A575" s="5">
        <v>46171.879068449074</v>
      </c>
      <c r="B575" s="6" t="s">
        <v>1811</v>
      </c>
      <c r="C575" s="6" t="s">
        <v>1812</v>
      </c>
      <c r="D575" s="3" t="str">
        <f t="shared" si="1"/>
        <v>AE-0574</v>
      </c>
      <c r="E575" s="3">
        <f t="array" ref="E575">IFERROR(XLOOKUP(D575,'Astronomy 101 Week 1 Quiz (Resp'!F:F,'Astronomy 101 Week 1 Quiz (Resp'!E:E),0)</f>
        <v>0</v>
      </c>
      <c r="F575" s="3" t="s">
        <v>14</v>
      </c>
      <c r="G575" s="3"/>
      <c r="H575" s="6">
        <v>9.932343827E9</v>
      </c>
      <c r="I575" s="6" t="s">
        <v>15</v>
      </c>
      <c r="J575" s="6" t="s">
        <v>16</v>
      </c>
      <c r="K575" s="6" t="s">
        <v>43</v>
      </c>
    </row>
    <row r="576" ht="22.5" customHeight="1">
      <c r="A576" s="5">
        <v>46171.8796325463</v>
      </c>
      <c r="B576" s="6" t="s">
        <v>1813</v>
      </c>
      <c r="C576" s="6" t="s">
        <v>1814</v>
      </c>
      <c r="D576" s="3" t="str">
        <f t="shared" si="1"/>
        <v>AE-0575</v>
      </c>
      <c r="E576" s="3">
        <f t="array" ref="E576">IFERROR(XLOOKUP(D576,'Astronomy 101 Week 1 Quiz (Resp'!F:F,'Astronomy 101 Week 1 Quiz (Resp'!E:E),0)</f>
        <v>0</v>
      </c>
      <c r="F576" s="3" t="s">
        <v>14</v>
      </c>
      <c r="G576" s="3"/>
      <c r="H576" s="6">
        <v>7.622833651E9</v>
      </c>
      <c r="I576" s="6" t="s">
        <v>1815</v>
      </c>
      <c r="J576" s="6" t="s">
        <v>16</v>
      </c>
      <c r="K576" s="6" t="s">
        <v>82</v>
      </c>
      <c r="L576" s="6" t="s">
        <v>1816</v>
      </c>
    </row>
    <row r="577" ht="22.5" customHeight="1">
      <c r="A577" s="5">
        <v>46171.88130292824</v>
      </c>
      <c r="B577" s="6" t="s">
        <v>1817</v>
      </c>
      <c r="C577" s="6" t="s">
        <v>1818</v>
      </c>
      <c r="D577" s="3" t="str">
        <f t="shared" si="1"/>
        <v>AE-0576</v>
      </c>
      <c r="E577" s="3">
        <f t="array" ref="E577">IFERROR(XLOOKUP(D577,'Astronomy 101 Week 1 Quiz (Resp'!F:F,'Astronomy 101 Week 1 Quiz (Resp'!E:E),0)</f>
        <v>40</v>
      </c>
      <c r="F577" s="3" t="s">
        <v>14</v>
      </c>
      <c r="G577" s="3"/>
      <c r="H577" s="6">
        <v>9.437728435E9</v>
      </c>
      <c r="I577" s="6" t="s">
        <v>1819</v>
      </c>
      <c r="J577" s="6" t="s">
        <v>16</v>
      </c>
      <c r="K577" s="6" t="s">
        <v>47</v>
      </c>
      <c r="L577" s="6" t="s">
        <v>1820</v>
      </c>
    </row>
    <row r="578" ht="22.5" customHeight="1">
      <c r="A578" s="5">
        <v>46171.88498480324</v>
      </c>
      <c r="B578" s="6" t="s">
        <v>1821</v>
      </c>
      <c r="C578" s="6" t="s">
        <v>1822</v>
      </c>
      <c r="D578" s="3" t="str">
        <f t="shared" si="1"/>
        <v>AE-0577</v>
      </c>
      <c r="E578" s="3">
        <f t="array" ref="E578">IFERROR(XLOOKUP(D578,'Astronomy 101 Week 1 Quiz (Resp'!F:F,'Astronomy 101 Week 1 Quiz (Resp'!E:E),0)</f>
        <v>0</v>
      </c>
      <c r="F578" s="3" t="s">
        <v>14</v>
      </c>
      <c r="G578" s="3"/>
      <c r="H578" s="6">
        <v>7.899155054E9</v>
      </c>
      <c r="I578" s="6" t="s">
        <v>1823</v>
      </c>
      <c r="J578" s="6" t="s">
        <v>16</v>
      </c>
      <c r="K578" s="6" t="s">
        <v>82</v>
      </c>
      <c r="L578" s="6" t="s">
        <v>1824</v>
      </c>
    </row>
    <row r="579" ht="22.5" customHeight="1">
      <c r="A579" s="5">
        <v>46171.88571320602</v>
      </c>
      <c r="B579" s="6" t="s">
        <v>1825</v>
      </c>
      <c r="C579" s="6" t="s">
        <v>1826</v>
      </c>
      <c r="D579" s="3" t="str">
        <f t="shared" si="1"/>
        <v>AE-0578</v>
      </c>
      <c r="E579" s="3">
        <f t="array" ref="E579">IFERROR(XLOOKUP(D579,'Astronomy 101 Week 1 Quiz (Resp'!F:F,'Astronomy 101 Week 1 Quiz (Resp'!E:E),0)</f>
        <v>0</v>
      </c>
      <c r="F579" s="3" t="s">
        <v>14</v>
      </c>
      <c r="G579" s="3"/>
      <c r="H579" s="6">
        <v>9.870360084E9</v>
      </c>
      <c r="I579" s="6" t="s">
        <v>1827</v>
      </c>
      <c r="J579" s="6" t="s">
        <v>16</v>
      </c>
      <c r="K579" s="6" t="s">
        <v>82</v>
      </c>
      <c r="L579" s="6" t="s">
        <v>1828</v>
      </c>
    </row>
    <row r="580" ht="22.5" customHeight="1">
      <c r="A580" s="5">
        <v>46171.88593950232</v>
      </c>
      <c r="B580" s="6" t="s">
        <v>1829</v>
      </c>
      <c r="C580" s="6" t="s">
        <v>1830</v>
      </c>
      <c r="D580" s="3" t="str">
        <f t="shared" si="1"/>
        <v>AE-0579</v>
      </c>
      <c r="E580" s="3">
        <f t="array" ref="E580">IFERROR(XLOOKUP(D580,'Astronomy 101 Week 1 Quiz (Resp'!F:F,'Astronomy 101 Week 1 Quiz (Resp'!E:E),0)</f>
        <v>30</v>
      </c>
      <c r="F580" s="3" t="s">
        <v>14</v>
      </c>
      <c r="G580" s="3"/>
      <c r="H580" s="6">
        <v>9.73012622E9</v>
      </c>
      <c r="I580" s="6" t="s">
        <v>1831</v>
      </c>
      <c r="J580" s="6" t="s">
        <v>16</v>
      </c>
      <c r="K580" s="6" t="s">
        <v>17</v>
      </c>
    </row>
    <row r="581" ht="22.5" customHeight="1">
      <c r="A581" s="5">
        <v>46171.88788569444</v>
      </c>
      <c r="B581" s="6" t="s">
        <v>1832</v>
      </c>
      <c r="C581" s="6" t="s">
        <v>1833</v>
      </c>
      <c r="D581" s="3" t="str">
        <f t="shared" si="1"/>
        <v>AE-0580</v>
      </c>
      <c r="E581" s="3">
        <f t="array" ref="E581">IFERROR(XLOOKUP(D581,'Astronomy 101 Week 1 Quiz (Resp'!F:F,'Astronomy 101 Week 1 Quiz (Resp'!E:E),0)</f>
        <v>44</v>
      </c>
      <c r="F581" s="3" t="s">
        <v>14</v>
      </c>
      <c r="G581" s="3"/>
      <c r="H581" s="6">
        <v>9.08498809E9</v>
      </c>
      <c r="I581" s="6" t="s">
        <v>1834</v>
      </c>
      <c r="J581" s="6" t="s">
        <v>16</v>
      </c>
      <c r="K581" s="6" t="s">
        <v>21</v>
      </c>
      <c r="L581" s="6" t="s">
        <v>1835</v>
      </c>
    </row>
    <row r="582" ht="22.5" customHeight="1">
      <c r="A582" s="5">
        <v>46171.88819666667</v>
      </c>
      <c r="B582" s="6" t="s">
        <v>1836</v>
      </c>
      <c r="C582" s="6" t="s">
        <v>1837</v>
      </c>
      <c r="D582" s="3" t="str">
        <f t="shared" si="1"/>
        <v>AE-0581</v>
      </c>
      <c r="E582" s="3">
        <f t="array" ref="E582">IFERROR(XLOOKUP(D582,'Astronomy 101 Week 1 Quiz (Resp'!F:F,'Astronomy 101 Week 1 Quiz (Resp'!E:E),0)</f>
        <v>0</v>
      </c>
      <c r="F582" s="3" t="s">
        <v>14</v>
      </c>
      <c r="G582" s="3"/>
      <c r="H582" s="6">
        <v>7.008690533E9</v>
      </c>
      <c r="I582" s="6" t="s">
        <v>1838</v>
      </c>
      <c r="J582" s="6" t="s">
        <v>16</v>
      </c>
      <c r="K582" s="6" t="s">
        <v>61</v>
      </c>
      <c r="L582" s="6" t="s">
        <v>1839</v>
      </c>
    </row>
    <row r="583" ht="22.5" customHeight="1">
      <c r="A583" s="5">
        <v>46171.888936331015</v>
      </c>
      <c r="B583" s="6" t="s">
        <v>1840</v>
      </c>
      <c r="C583" s="6" t="s">
        <v>1841</v>
      </c>
      <c r="D583" s="3" t="str">
        <f t="shared" si="1"/>
        <v>AE-0582</v>
      </c>
      <c r="E583" s="3">
        <f t="array" ref="E583">IFERROR(XLOOKUP(D583,'Astronomy 101 Week 1 Quiz (Resp'!F:F,'Astronomy 101 Week 1 Quiz (Resp'!E:E),0)</f>
        <v>0</v>
      </c>
      <c r="F583" s="3" t="s">
        <v>14</v>
      </c>
      <c r="G583" s="3"/>
      <c r="H583" s="6">
        <v>7.206159367E9</v>
      </c>
      <c r="I583" s="6" t="s">
        <v>1842</v>
      </c>
      <c r="J583" s="6" t="s">
        <v>16</v>
      </c>
      <c r="K583" s="6" t="s">
        <v>21</v>
      </c>
      <c r="L583" s="6" t="s">
        <v>1843</v>
      </c>
    </row>
    <row r="584" ht="22.5" customHeight="1">
      <c r="A584" s="5">
        <v>46171.890135497684</v>
      </c>
      <c r="B584" s="6" t="s">
        <v>1844</v>
      </c>
      <c r="C584" s="6" t="s">
        <v>1845</v>
      </c>
      <c r="D584" s="3" t="str">
        <f t="shared" si="1"/>
        <v>AE-0583</v>
      </c>
      <c r="E584" s="3">
        <f t="array" ref="E584">IFERROR(XLOOKUP(D584,'Astronomy 101 Week 1 Quiz (Resp'!F:F,'Astronomy 101 Week 1 Quiz (Resp'!E:E),0)</f>
        <v>0</v>
      </c>
      <c r="F584" s="3" t="s">
        <v>14</v>
      </c>
      <c r="G584" s="3"/>
      <c r="H584" s="6">
        <v>9.37160628E9</v>
      </c>
      <c r="I584" s="6" t="s">
        <v>1846</v>
      </c>
      <c r="J584" s="6" t="s">
        <v>16</v>
      </c>
      <c r="K584" s="6" t="s">
        <v>82</v>
      </c>
    </row>
    <row r="585" ht="22.5" customHeight="1">
      <c r="A585" s="5">
        <v>46171.89089228009</v>
      </c>
      <c r="B585" s="6" t="s">
        <v>1847</v>
      </c>
      <c r="C585" s="6" t="s">
        <v>1848</v>
      </c>
      <c r="D585" s="3" t="str">
        <f t="shared" si="1"/>
        <v>AE-0584</v>
      </c>
      <c r="E585" s="3">
        <f t="array" ref="E585">IFERROR(XLOOKUP(D585,'Astronomy 101 Week 1 Quiz (Resp'!F:F,'Astronomy 101 Week 1 Quiz (Resp'!E:E),0)</f>
        <v>47</v>
      </c>
      <c r="F585" s="3" t="s">
        <v>14</v>
      </c>
      <c r="G585" s="3"/>
      <c r="H585" s="6">
        <v>7.976075455E9</v>
      </c>
      <c r="I585" s="6" t="s">
        <v>1834</v>
      </c>
      <c r="J585" s="6" t="s">
        <v>16</v>
      </c>
      <c r="K585" s="6" t="s">
        <v>61</v>
      </c>
      <c r="L585" s="6" t="s">
        <v>1849</v>
      </c>
    </row>
    <row r="586" ht="22.5" customHeight="1">
      <c r="A586" s="5">
        <v>46171.891733854165</v>
      </c>
      <c r="B586" s="6" t="s">
        <v>1850</v>
      </c>
      <c r="C586" s="6" t="s">
        <v>1851</v>
      </c>
      <c r="D586" s="3" t="str">
        <f t="shared" si="1"/>
        <v>AE-0585</v>
      </c>
      <c r="E586" s="3">
        <f t="array" ref="E586">IFERROR(XLOOKUP(D586,'Astronomy 101 Week 1 Quiz (Resp'!F:F,'Astronomy 101 Week 1 Quiz (Resp'!E:E),0)</f>
        <v>0</v>
      </c>
      <c r="F586" s="3" t="s">
        <v>14</v>
      </c>
      <c r="G586" s="3"/>
      <c r="H586" s="6">
        <v>9.244759081E9</v>
      </c>
      <c r="I586" s="6" t="s">
        <v>1852</v>
      </c>
      <c r="J586" s="6" t="s">
        <v>16</v>
      </c>
      <c r="K586" s="6" t="s">
        <v>21</v>
      </c>
      <c r="L586" s="6" t="s">
        <v>1853</v>
      </c>
    </row>
    <row r="587" ht="22.5" customHeight="1">
      <c r="A587" s="5">
        <v>46171.893502349536</v>
      </c>
      <c r="B587" s="6" t="s">
        <v>1854</v>
      </c>
      <c r="C587" s="6" t="s">
        <v>1855</v>
      </c>
      <c r="D587" s="3" t="str">
        <f t="shared" si="1"/>
        <v>AE-0586</v>
      </c>
      <c r="E587" s="3">
        <f t="array" ref="E587">IFERROR(XLOOKUP(D587,'Astronomy 101 Week 1 Quiz (Resp'!F:F,'Astronomy 101 Week 1 Quiz (Resp'!E:E),0)</f>
        <v>0</v>
      </c>
      <c r="F587" s="3" t="s">
        <v>14</v>
      </c>
      <c r="G587" s="3"/>
      <c r="H587" s="6">
        <v>8.511810712E9</v>
      </c>
      <c r="I587" s="6" t="s">
        <v>1856</v>
      </c>
      <c r="J587" s="6" t="s">
        <v>16</v>
      </c>
      <c r="K587" s="6" t="s">
        <v>17</v>
      </c>
      <c r="L587" s="6" t="s">
        <v>1857</v>
      </c>
    </row>
    <row r="588" ht="22.5" customHeight="1">
      <c r="A588" s="5">
        <v>46171.89577416667</v>
      </c>
      <c r="B588" s="6" t="s">
        <v>1858</v>
      </c>
      <c r="C588" s="6" t="s">
        <v>1859</v>
      </c>
      <c r="D588" s="3" t="str">
        <f t="shared" si="1"/>
        <v>AE-0587</v>
      </c>
      <c r="E588" s="3">
        <f t="array" ref="E588">IFERROR(XLOOKUP(D588,'Astronomy 101 Week 1 Quiz (Resp'!F:F,'Astronomy 101 Week 1 Quiz (Resp'!E:E),0)</f>
        <v>0</v>
      </c>
      <c r="F588" s="3" t="s">
        <v>14</v>
      </c>
      <c r="G588" s="3"/>
      <c r="H588" s="6">
        <v>9.106110029E9</v>
      </c>
      <c r="I588" s="6" t="s">
        <v>1080</v>
      </c>
      <c r="J588" s="6" t="s">
        <v>16</v>
      </c>
      <c r="K588" s="6" t="s">
        <v>61</v>
      </c>
    </row>
    <row r="589" ht="22.5" customHeight="1">
      <c r="A589" s="5">
        <v>46171.90104377315</v>
      </c>
      <c r="B589" s="6" t="s">
        <v>1860</v>
      </c>
      <c r="C589" s="6" t="s">
        <v>1861</v>
      </c>
      <c r="D589" s="3" t="str">
        <f t="shared" si="1"/>
        <v>AE-0588</v>
      </c>
      <c r="E589" s="3">
        <f t="array" ref="E589">IFERROR(XLOOKUP(D589,'Astronomy 101 Week 1 Quiz (Resp'!F:F,'Astronomy 101 Week 1 Quiz (Resp'!E:E),0)</f>
        <v>0</v>
      </c>
      <c r="F589" s="3" t="s">
        <v>14</v>
      </c>
      <c r="G589" s="3"/>
      <c r="H589" s="6">
        <v>7.003440879E9</v>
      </c>
      <c r="I589" s="6" t="s">
        <v>1862</v>
      </c>
      <c r="J589" s="6" t="s">
        <v>16</v>
      </c>
      <c r="K589" s="6" t="s">
        <v>82</v>
      </c>
    </row>
    <row r="590" ht="22.5" customHeight="1">
      <c r="A590" s="5">
        <v>46171.90140295139</v>
      </c>
      <c r="B590" s="6" t="s">
        <v>1863</v>
      </c>
      <c r="C590" s="6" t="s">
        <v>1864</v>
      </c>
      <c r="D590" s="3" t="str">
        <f t="shared" si="1"/>
        <v>AE-0589</v>
      </c>
      <c r="E590" s="3">
        <f t="array" ref="E590">IFERROR(XLOOKUP(D590,'Astronomy 101 Week 1 Quiz (Resp'!F:F,'Astronomy 101 Week 1 Quiz (Resp'!E:E),0)</f>
        <v>0</v>
      </c>
      <c r="F590" s="3" t="s">
        <v>14</v>
      </c>
      <c r="G590" s="3"/>
      <c r="H590" s="6">
        <v>7.87723999E9</v>
      </c>
      <c r="I590" s="6" t="s">
        <v>29</v>
      </c>
      <c r="J590" s="6" t="s">
        <v>16</v>
      </c>
      <c r="K590" s="6" t="s">
        <v>17</v>
      </c>
      <c r="L590" s="6" t="s">
        <v>1865</v>
      </c>
    </row>
    <row r="591" ht="22.5" customHeight="1">
      <c r="A591" s="5">
        <v>46171.90161714121</v>
      </c>
      <c r="B591" s="6" t="s">
        <v>1866</v>
      </c>
      <c r="C591" s="6" t="s">
        <v>1867</v>
      </c>
      <c r="D591" s="3" t="str">
        <f t="shared" si="1"/>
        <v>AE-0590</v>
      </c>
      <c r="E591" s="3">
        <f t="array" ref="E591">IFERROR(XLOOKUP(D591,'Astronomy 101 Week 1 Quiz (Resp'!F:F,'Astronomy 101 Week 1 Quiz (Resp'!E:E),0)</f>
        <v>0</v>
      </c>
      <c r="F591" s="3" t="s">
        <v>14</v>
      </c>
      <c r="G591" s="3"/>
      <c r="H591" s="6">
        <v>7.024720866E9</v>
      </c>
      <c r="I591" s="6" t="s">
        <v>387</v>
      </c>
      <c r="J591" s="6" t="s">
        <v>16</v>
      </c>
      <c r="K591" s="6" t="s">
        <v>17</v>
      </c>
      <c r="L591" s="6" t="s">
        <v>1868</v>
      </c>
    </row>
    <row r="592" ht="22.5" customHeight="1">
      <c r="A592" s="5">
        <v>46171.901714340274</v>
      </c>
      <c r="B592" s="6" t="s">
        <v>1869</v>
      </c>
      <c r="C592" s="6" t="s">
        <v>1870</v>
      </c>
      <c r="D592" s="3" t="str">
        <f t="shared" si="1"/>
        <v>AE-0591</v>
      </c>
      <c r="E592" s="3">
        <f t="array" ref="E592">IFERROR(XLOOKUP(D592,'Astronomy 101 Week 1 Quiz (Resp'!F:F,'Astronomy 101 Week 1 Quiz (Resp'!E:E),0)</f>
        <v>0</v>
      </c>
      <c r="F592" s="3" t="s">
        <v>14</v>
      </c>
      <c r="G592" s="3"/>
      <c r="H592" s="6">
        <v>6.204427055E9</v>
      </c>
      <c r="I592" s="6" t="s">
        <v>1871</v>
      </c>
      <c r="J592" s="6" t="s">
        <v>16</v>
      </c>
      <c r="K592" s="6" t="s">
        <v>47</v>
      </c>
      <c r="L592" s="6" t="s">
        <v>1872</v>
      </c>
    </row>
    <row r="593" ht="22.5" customHeight="1">
      <c r="A593" s="5">
        <v>46171.90229247685</v>
      </c>
      <c r="B593" s="6" t="s">
        <v>1873</v>
      </c>
      <c r="C593" s="6" t="s">
        <v>1874</v>
      </c>
      <c r="D593" s="3" t="str">
        <f t="shared" si="1"/>
        <v>AE-0592</v>
      </c>
      <c r="E593" s="3">
        <f t="array" ref="E593">IFERROR(XLOOKUP(D593,'Astronomy 101 Week 1 Quiz (Resp'!F:F,'Astronomy 101 Week 1 Quiz (Resp'!E:E),0)</f>
        <v>0</v>
      </c>
      <c r="F593" s="3" t="s">
        <v>14</v>
      </c>
      <c r="G593" s="3"/>
      <c r="H593" s="6">
        <v>7.006445211E9</v>
      </c>
      <c r="I593" s="6" t="s">
        <v>1834</v>
      </c>
      <c r="J593" s="6" t="s">
        <v>16</v>
      </c>
      <c r="K593" s="6" t="s">
        <v>82</v>
      </c>
      <c r="L593" s="6" t="s">
        <v>1875</v>
      </c>
    </row>
    <row r="594" ht="22.5" customHeight="1">
      <c r="A594" s="5">
        <v>46171.903154513886</v>
      </c>
      <c r="B594" s="6" t="s">
        <v>1876</v>
      </c>
      <c r="C594" s="6" t="s">
        <v>1877</v>
      </c>
      <c r="D594" s="3" t="str">
        <f t="shared" si="1"/>
        <v>AE-0593</v>
      </c>
      <c r="E594" s="3">
        <f t="array" ref="E594">IFERROR(XLOOKUP(D594,'Astronomy 101 Week 1 Quiz (Resp'!F:F,'Astronomy 101 Week 1 Quiz (Resp'!E:E),0)</f>
        <v>0</v>
      </c>
      <c r="F594" s="3" t="s">
        <v>14</v>
      </c>
      <c r="G594" s="3"/>
      <c r="H594" s="6">
        <v>6.206113862E9</v>
      </c>
      <c r="I594" s="6" t="s">
        <v>1878</v>
      </c>
      <c r="J594" s="6" t="s">
        <v>16</v>
      </c>
      <c r="K594" s="6" t="s">
        <v>17</v>
      </c>
    </row>
    <row r="595" ht="22.5" customHeight="1">
      <c r="A595" s="5">
        <v>46171.90441508102</v>
      </c>
      <c r="B595" s="6" t="s">
        <v>1879</v>
      </c>
      <c r="C595" s="6" t="s">
        <v>1880</v>
      </c>
      <c r="D595" s="3" t="str">
        <f t="shared" si="1"/>
        <v>AE-0594</v>
      </c>
      <c r="E595" s="3">
        <f t="array" ref="E595">IFERROR(XLOOKUP(D595,'Astronomy 101 Week 1 Quiz (Resp'!F:F,'Astronomy 101 Week 1 Quiz (Resp'!E:E),0)</f>
        <v>0</v>
      </c>
      <c r="F595" s="3" t="s">
        <v>14</v>
      </c>
      <c r="G595" s="3"/>
      <c r="H595" s="6">
        <v>7.782988872E9</v>
      </c>
      <c r="I595" s="6" t="s">
        <v>387</v>
      </c>
      <c r="J595" s="6" t="s">
        <v>16</v>
      </c>
      <c r="K595" s="6" t="s">
        <v>17</v>
      </c>
    </row>
    <row r="596" ht="22.5" customHeight="1">
      <c r="A596" s="5">
        <v>46171.910371875</v>
      </c>
      <c r="B596" s="6" t="s">
        <v>1881</v>
      </c>
      <c r="C596" s="6" t="s">
        <v>1882</v>
      </c>
      <c r="D596" s="3" t="str">
        <f t="shared" si="1"/>
        <v>AE-0595</v>
      </c>
      <c r="E596" s="3">
        <f t="array" ref="E596">IFERROR(XLOOKUP(D596,'Astronomy 101 Week 1 Quiz (Resp'!F:F,'Astronomy 101 Week 1 Quiz (Resp'!E:E),0)</f>
        <v>0</v>
      </c>
      <c r="F596" s="3" t="s">
        <v>14</v>
      </c>
      <c r="G596" s="3"/>
      <c r="H596" s="6">
        <v>8.079018811E9</v>
      </c>
      <c r="I596" s="6" t="s">
        <v>1883</v>
      </c>
      <c r="J596" s="6" t="s">
        <v>16</v>
      </c>
      <c r="K596" s="6" t="s">
        <v>17</v>
      </c>
    </row>
    <row r="597" ht="22.5" customHeight="1">
      <c r="A597" s="5">
        <v>46171.91045927083</v>
      </c>
      <c r="B597" s="6" t="s">
        <v>1884</v>
      </c>
      <c r="C597" s="6" t="s">
        <v>1885</v>
      </c>
      <c r="D597" s="3" t="str">
        <f t="shared" si="1"/>
        <v>AE-0596</v>
      </c>
      <c r="E597" s="3">
        <f t="array" ref="E597">IFERROR(XLOOKUP(D597,'Astronomy 101 Week 1 Quiz (Resp'!F:F,'Astronomy 101 Week 1 Quiz (Resp'!E:E),0)</f>
        <v>0</v>
      </c>
      <c r="F597" s="3" t="s">
        <v>14</v>
      </c>
      <c r="G597" s="3"/>
      <c r="H597" s="6">
        <v>9.417260578E9</v>
      </c>
      <c r="I597" s="6" t="s">
        <v>1886</v>
      </c>
      <c r="J597" s="6" t="s">
        <v>16</v>
      </c>
      <c r="K597" s="6" t="s">
        <v>61</v>
      </c>
    </row>
    <row r="598" ht="22.5" customHeight="1">
      <c r="A598" s="5">
        <v>46171.91186278935</v>
      </c>
      <c r="B598" s="6" t="s">
        <v>1887</v>
      </c>
      <c r="C598" s="6" t="s">
        <v>1888</v>
      </c>
      <c r="D598" s="3" t="str">
        <f t="shared" si="1"/>
        <v>AE-0597</v>
      </c>
      <c r="E598" s="3">
        <f t="array" ref="E598">IFERROR(XLOOKUP(D598,'Astronomy 101 Week 1 Quiz (Resp'!F:F,'Astronomy 101 Week 1 Quiz (Resp'!E:E),0)</f>
        <v>45</v>
      </c>
      <c r="F598" s="3" t="s">
        <v>14</v>
      </c>
      <c r="G598" s="3"/>
      <c r="H598" s="6">
        <v>7.416742931E9</v>
      </c>
      <c r="I598" s="6" t="s">
        <v>1886</v>
      </c>
      <c r="J598" s="6" t="s">
        <v>16</v>
      </c>
      <c r="K598" s="6" t="s">
        <v>47</v>
      </c>
      <c r="L598" s="6" t="s">
        <v>1889</v>
      </c>
    </row>
    <row r="599" ht="22.5" customHeight="1">
      <c r="A599" s="5">
        <v>46171.91206834491</v>
      </c>
      <c r="B599" s="6" t="s">
        <v>1890</v>
      </c>
      <c r="C599" s="6" t="s">
        <v>1891</v>
      </c>
      <c r="D599" s="3" t="str">
        <f t="shared" si="1"/>
        <v>AE-0598</v>
      </c>
      <c r="E599" s="3">
        <f t="array" ref="E599">IFERROR(XLOOKUP(D599,'Astronomy 101 Week 1 Quiz (Resp'!F:F,'Astronomy 101 Week 1 Quiz (Resp'!E:E),0)</f>
        <v>0</v>
      </c>
      <c r="F599" s="3" t="s">
        <v>14</v>
      </c>
      <c r="G599" s="3"/>
      <c r="H599" s="6">
        <v>9.873148892E9</v>
      </c>
      <c r="I599" s="6" t="s">
        <v>1892</v>
      </c>
      <c r="J599" s="6" t="s">
        <v>16</v>
      </c>
      <c r="K599" s="6" t="s">
        <v>61</v>
      </c>
      <c r="L599" s="6" t="s">
        <v>1893</v>
      </c>
    </row>
    <row r="600" ht="22.5" customHeight="1">
      <c r="A600" s="5">
        <v>46171.91245783565</v>
      </c>
      <c r="B600" s="6" t="s">
        <v>1894</v>
      </c>
      <c r="C600" s="6" t="s">
        <v>1895</v>
      </c>
      <c r="D600" s="3" t="str">
        <f t="shared" si="1"/>
        <v>AE-0599</v>
      </c>
      <c r="E600" s="3">
        <f t="array" ref="E600">IFERROR(XLOOKUP(D600,'Astronomy 101 Week 1 Quiz (Resp'!F:F,'Astronomy 101 Week 1 Quiz (Resp'!E:E),0)</f>
        <v>0</v>
      </c>
      <c r="F600" s="3" t="s">
        <v>14</v>
      </c>
      <c r="G600" s="3"/>
      <c r="H600" s="6">
        <v>9.449931761E9</v>
      </c>
      <c r="I600" s="6" t="s">
        <v>742</v>
      </c>
      <c r="J600" s="6" t="s">
        <v>16</v>
      </c>
      <c r="K600" s="6" t="s">
        <v>25</v>
      </c>
      <c r="L600" s="6" t="s">
        <v>1896</v>
      </c>
    </row>
    <row r="601" ht="22.5" customHeight="1">
      <c r="A601" s="5">
        <v>46171.91406891204</v>
      </c>
      <c r="B601" s="6" t="s">
        <v>1897</v>
      </c>
      <c r="C601" s="6" t="s">
        <v>1898</v>
      </c>
      <c r="D601" s="3" t="str">
        <f t="shared" si="1"/>
        <v>AE-0600</v>
      </c>
      <c r="E601" s="3">
        <f t="array" ref="E601">IFERROR(XLOOKUP(D601,'Astronomy 101 Week 1 Quiz (Resp'!F:F,'Astronomy 101 Week 1 Quiz (Resp'!E:E),0)</f>
        <v>0</v>
      </c>
      <c r="F601" s="3" t="s">
        <v>14</v>
      </c>
      <c r="G601" s="3"/>
      <c r="H601" s="6">
        <v>7.019973262E9</v>
      </c>
      <c r="I601" s="6" t="s">
        <v>1062</v>
      </c>
      <c r="J601" s="6" t="s">
        <v>16</v>
      </c>
      <c r="K601" s="6" t="s">
        <v>21</v>
      </c>
      <c r="L601" s="6" t="s">
        <v>1899</v>
      </c>
    </row>
    <row r="602" ht="22.5" customHeight="1">
      <c r="A602" s="5">
        <v>46171.914700023146</v>
      </c>
      <c r="B602" s="6" t="s">
        <v>1900</v>
      </c>
      <c r="C602" s="6" t="s">
        <v>1901</v>
      </c>
      <c r="D602" s="3" t="str">
        <f t="shared" si="1"/>
        <v>AE-0601</v>
      </c>
      <c r="E602" s="3">
        <f t="array" ref="E602">IFERROR(XLOOKUP(D602,'Astronomy 101 Week 1 Quiz (Resp'!F:F,'Astronomy 101 Week 1 Quiz (Resp'!E:E),0)</f>
        <v>0</v>
      </c>
      <c r="F602" s="3" t="s">
        <v>14</v>
      </c>
      <c r="G602" s="3"/>
      <c r="H602" s="6">
        <v>7.596852741E9</v>
      </c>
      <c r="I602" s="6" t="s">
        <v>1902</v>
      </c>
      <c r="J602" s="6" t="s">
        <v>16</v>
      </c>
      <c r="K602" s="6" t="s">
        <v>61</v>
      </c>
      <c r="L602" s="6" t="s">
        <v>1903</v>
      </c>
    </row>
    <row r="603" ht="22.5" customHeight="1">
      <c r="A603" s="5">
        <v>46171.9147925</v>
      </c>
      <c r="B603" s="6" t="s">
        <v>1904</v>
      </c>
      <c r="C603" s="6" t="s">
        <v>1905</v>
      </c>
      <c r="D603" s="3" t="str">
        <f t="shared" si="1"/>
        <v>AE-0602</v>
      </c>
      <c r="E603" s="3">
        <f t="array" ref="E603">IFERROR(XLOOKUP(D603,'Astronomy 101 Week 1 Quiz (Resp'!F:F,'Astronomy 101 Week 1 Quiz (Resp'!E:E),0)</f>
        <v>0</v>
      </c>
      <c r="F603" s="3" t="s">
        <v>14</v>
      </c>
      <c r="G603" s="3"/>
      <c r="H603" s="6">
        <v>9.115651963E9</v>
      </c>
      <c r="I603" s="6" t="s">
        <v>1906</v>
      </c>
      <c r="J603" s="6" t="s">
        <v>16</v>
      </c>
      <c r="K603" s="6" t="s">
        <v>17</v>
      </c>
      <c r="L603" s="6" t="s">
        <v>1907</v>
      </c>
    </row>
    <row r="604" ht="22.5" customHeight="1">
      <c r="A604" s="5">
        <v>46171.91613424769</v>
      </c>
      <c r="B604" s="6" t="s">
        <v>1908</v>
      </c>
      <c r="C604" s="6" t="s">
        <v>1909</v>
      </c>
      <c r="D604" s="3" t="str">
        <f t="shared" si="1"/>
        <v>AE-0603</v>
      </c>
      <c r="E604" s="3">
        <f t="array" ref="E604">IFERROR(XLOOKUP(D604,'Astronomy 101 Week 1 Quiz (Resp'!F:F,'Astronomy 101 Week 1 Quiz (Resp'!E:E),0)</f>
        <v>34</v>
      </c>
      <c r="F604" s="3" t="s">
        <v>14</v>
      </c>
      <c r="G604" s="3"/>
      <c r="H604" s="6">
        <v>8.767103739E9</v>
      </c>
      <c r="I604" s="6" t="s">
        <v>1910</v>
      </c>
      <c r="J604" s="6" t="s">
        <v>16</v>
      </c>
      <c r="K604" s="6" t="s">
        <v>17</v>
      </c>
      <c r="L604" s="6" t="s">
        <v>1911</v>
      </c>
    </row>
    <row r="605" ht="22.5" customHeight="1">
      <c r="A605" s="5">
        <v>46171.916464988426</v>
      </c>
      <c r="B605" s="6" t="s">
        <v>1912</v>
      </c>
      <c r="C605" s="6" t="s">
        <v>1913</v>
      </c>
      <c r="D605" s="3" t="str">
        <f t="shared" si="1"/>
        <v>AE-0604</v>
      </c>
      <c r="E605" s="3">
        <f t="array" ref="E605">IFERROR(XLOOKUP(D605,'Astronomy 101 Week 1 Quiz (Resp'!F:F,'Astronomy 101 Week 1 Quiz (Resp'!E:E),0)</f>
        <v>0</v>
      </c>
      <c r="F605" s="3" t="s">
        <v>14</v>
      </c>
      <c r="G605" s="3"/>
      <c r="H605" s="6">
        <v>8.790725865E9</v>
      </c>
      <c r="I605" s="6" t="s">
        <v>1914</v>
      </c>
      <c r="J605" s="6" t="s">
        <v>16</v>
      </c>
      <c r="K605" s="6" t="s">
        <v>17</v>
      </c>
    </row>
    <row r="606" ht="22.5" customHeight="1">
      <c r="A606" s="5">
        <v>46171.919754421295</v>
      </c>
      <c r="B606" s="6" t="s">
        <v>1915</v>
      </c>
      <c r="C606" s="6" t="s">
        <v>1916</v>
      </c>
      <c r="D606" s="3" t="str">
        <f t="shared" si="1"/>
        <v>AE-0605</v>
      </c>
      <c r="E606" s="3">
        <f t="array" ref="E606">IFERROR(XLOOKUP(D606,'Astronomy 101 Week 1 Quiz (Resp'!F:F,'Astronomy 101 Week 1 Quiz (Resp'!E:E),0)</f>
        <v>43</v>
      </c>
      <c r="F606" s="3" t="s">
        <v>14</v>
      </c>
      <c r="G606" s="3"/>
      <c r="H606" s="6">
        <v>9.28458801E9</v>
      </c>
      <c r="I606" s="6" t="s">
        <v>1917</v>
      </c>
      <c r="J606" s="6" t="s">
        <v>16</v>
      </c>
      <c r="K606" s="6" t="s">
        <v>17</v>
      </c>
      <c r="L606" s="6" t="s">
        <v>1918</v>
      </c>
    </row>
    <row r="607" ht="22.5" customHeight="1">
      <c r="A607" s="5">
        <v>46171.92175753472</v>
      </c>
      <c r="B607" s="6" t="s">
        <v>1919</v>
      </c>
      <c r="C607" s="6" t="s">
        <v>1920</v>
      </c>
      <c r="D607" s="3" t="str">
        <f t="shared" si="1"/>
        <v>AE-0606</v>
      </c>
      <c r="E607" s="3">
        <f t="array" ref="E607">IFERROR(XLOOKUP(D607,'Astronomy 101 Week 1 Quiz (Resp'!F:F,'Astronomy 101 Week 1 Quiz (Resp'!E:E),0)</f>
        <v>0</v>
      </c>
      <c r="F607" s="3" t="s">
        <v>14</v>
      </c>
      <c r="G607" s="3"/>
      <c r="H607" s="6">
        <v>8.617555286E9</v>
      </c>
      <c r="I607" s="6" t="s">
        <v>1921</v>
      </c>
      <c r="J607" s="6" t="s">
        <v>16</v>
      </c>
      <c r="K607" s="6" t="s">
        <v>47</v>
      </c>
      <c r="L607" s="6" t="s">
        <v>1922</v>
      </c>
    </row>
    <row r="608" ht="22.5" customHeight="1">
      <c r="A608" s="5">
        <v>46171.92182913194</v>
      </c>
      <c r="B608" s="6" t="s">
        <v>1923</v>
      </c>
      <c r="C608" s="6" t="s">
        <v>1924</v>
      </c>
      <c r="D608" s="3" t="str">
        <f t="shared" si="1"/>
        <v>AE-0607</v>
      </c>
      <c r="E608" s="3">
        <f t="array" ref="E608">IFERROR(XLOOKUP(D608,'Astronomy 101 Week 1 Quiz (Resp'!F:F,'Astronomy 101 Week 1 Quiz (Resp'!E:E),0)</f>
        <v>43</v>
      </c>
      <c r="F608" s="3" t="s">
        <v>14</v>
      </c>
      <c r="G608" s="3"/>
      <c r="H608" s="6">
        <v>9.635820768E9</v>
      </c>
      <c r="I608" s="6" t="s">
        <v>1925</v>
      </c>
      <c r="J608" s="6" t="s">
        <v>16</v>
      </c>
      <c r="K608" s="6" t="s">
        <v>21</v>
      </c>
      <c r="L608" s="6" t="s">
        <v>1926</v>
      </c>
    </row>
    <row r="609" ht="22.5" customHeight="1">
      <c r="A609" s="5">
        <v>46171.924980069445</v>
      </c>
      <c r="B609" s="6" t="s">
        <v>1927</v>
      </c>
      <c r="C609" s="6" t="s">
        <v>1928</v>
      </c>
      <c r="D609" s="3" t="str">
        <f t="shared" si="1"/>
        <v>AE-0608</v>
      </c>
      <c r="E609" s="3">
        <f t="array" ref="E609">IFERROR(XLOOKUP(D609,'Astronomy 101 Week 1 Quiz (Resp'!F:F,'Astronomy 101 Week 1 Quiz (Resp'!E:E),0)</f>
        <v>0</v>
      </c>
      <c r="F609" s="3" t="s">
        <v>14</v>
      </c>
      <c r="G609" s="3"/>
      <c r="H609" s="6">
        <v>8.899865612E9</v>
      </c>
      <c r="I609" s="6" t="s">
        <v>1921</v>
      </c>
      <c r="J609" s="6" t="s">
        <v>16</v>
      </c>
      <c r="K609" s="6" t="s">
        <v>25</v>
      </c>
      <c r="L609" s="6" t="s">
        <v>1929</v>
      </c>
    </row>
    <row r="610" ht="22.5" customHeight="1">
      <c r="A610" s="5">
        <v>46171.925539375</v>
      </c>
      <c r="B610" s="6" t="s">
        <v>1930</v>
      </c>
      <c r="C610" s="6" t="s">
        <v>1931</v>
      </c>
      <c r="D610" s="3" t="str">
        <f t="shared" si="1"/>
        <v>AE-0609</v>
      </c>
      <c r="E610" s="3">
        <f t="array" ref="E610">IFERROR(XLOOKUP(D610,'Astronomy 101 Week 1 Quiz (Resp'!F:F,'Astronomy 101 Week 1 Quiz (Resp'!E:E),0)</f>
        <v>0</v>
      </c>
      <c r="F610" s="3" t="s">
        <v>14</v>
      </c>
      <c r="G610" s="3"/>
      <c r="H610" s="6">
        <v>8.956489981E9</v>
      </c>
      <c r="I610" s="6" t="s">
        <v>1932</v>
      </c>
      <c r="J610" s="6" t="s">
        <v>16</v>
      </c>
      <c r="K610" s="6" t="s">
        <v>17</v>
      </c>
      <c r="L610" s="6" t="s">
        <v>1933</v>
      </c>
    </row>
    <row r="611" ht="22.5" customHeight="1">
      <c r="A611" s="5">
        <v>46171.92621365741</v>
      </c>
      <c r="B611" s="6" t="s">
        <v>1934</v>
      </c>
      <c r="C611" s="6" t="s">
        <v>1935</v>
      </c>
      <c r="D611" s="3" t="str">
        <f t="shared" si="1"/>
        <v>AE-0610</v>
      </c>
      <c r="E611" s="3">
        <f t="array" ref="E611">IFERROR(XLOOKUP(D611,'Astronomy 101 Week 1 Quiz (Resp'!F:F,'Astronomy 101 Week 1 Quiz (Resp'!E:E),0)</f>
        <v>0</v>
      </c>
      <c r="F611" s="3" t="s">
        <v>14</v>
      </c>
      <c r="G611" s="3"/>
      <c r="H611" s="6">
        <v>9.496886578E9</v>
      </c>
      <c r="I611" s="6" t="s">
        <v>29</v>
      </c>
      <c r="J611" s="6" t="s">
        <v>16</v>
      </c>
      <c r="K611" s="6" t="s">
        <v>17</v>
      </c>
      <c r="L611" s="6" t="s">
        <v>1936</v>
      </c>
    </row>
    <row r="612" ht="22.5" customHeight="1">
      <c r="A612" s="5">
        <v>46171.92861258102</v>
      </c>
      <c r="B612" s="6" t="s">
        <v>1937</v>
      </c>
      <c r="C612" s="6" t="s">
        <v>1938</v>
      </c>
      <c r="D612" s="3" t="str">
        <f t="shared" si="1"/>
        <v>AE-0611</v>
      </c>
      <c r="E612" s="3">
        <f t="array" ref="E612">IFERROR(XLOOKUP(D612,'Astronomy 101 Week 1 Quiz (Resp'!F:F,'Astronomy 101 Week 1 Quiz (Resp'!E:E),0)</f>
        <v>0</v>
      </c>
      <c r="F612" s="3" t="s">
        <v>14</v>
      </c>
      <c r="G612" s="3"/>
      <c r="H612" s="6">
        <v>8.777628794E9</v>
      </c>
      <c r="I612" s="6" t="s">
        <v>1902</v>
      </c>
      <c r="J612" s="6" t="s">
        <v>33</v>
      </c>
      <c r="K612" s="6" t="s">
        <v>17</v>
      </c>
    </row>
    <row r="613" ht="22.5" customHeight="1">
      <c r="A613" s="5">
        <v>46171.92893310185</v>
      </c>
      <c r="B613" s="6" t="s">
        <v>1939</v>
      </c>
      <c r="C613" s="6" t="s">
        <v>1940</v>
      </c>
      <c r="D613" s="3" t="str">
        <f t="shared" si="1"/>
        <v>AE-0612</v>
      </c>
      <c r="E613" s="3">
        <f t="array" ref="E613">IFERROR(XLOOKUP(D613,'Astronomy 101 Week 1 Quiz (Resp'!F:F,'Astronomy 101 Week 1 Quiz (Resp'!E:E),0)</f>
        <v>0</v>
      </c>
      <c r="F613" s="3" t="s">
        <v>14</v>
      </c>
      <c r="G613" s="3"/>
      <c r="H613" s="6">
        <v>6.295706188E9</v>
      </c>
      <c r="I613" s="6" t="s">
        <v>1921</v>
      </c>
      <c r="J613" s="6" t="s">
        <v>16</v>
      </c>
      <c r="K613" s="6" t="s">
        <v>47</v>
      </c>
    </row>
    <row r="614" ht="22.5" customHeight="1">
      <c r="A614" s="5">
        <v>46171.93009142361</v>
      </c>
      <c r="B614" s="6" t="s">
        <v>1941</v>
      </c>
      <c r="C614" s="6" t="s">
        <v>1942</v>
      </c>
      <c r="D614" s="3" t="str">
        <f t="shared" si="1"/>
        <v>AE-0613</v>
      </c>
      <c r="E614" s="3">
        <f t="array" ref="E614">IFERROR(XLOOKUP(D614,'Astronomy 101 Week 1 Quiz (Resp'!F:F,'Astronomy 101 Week 1 Quiz (Resp'!E:E),0)</f>
        <v>0</v>
      </c>
      <c r="F614" s="3" t="s">
        <v>14</v>
      </c>
      <c r="G614" s="3"/>
      <c r="H614" s="6">
        <v>9.320683154E9</v>
      </c>
      <c r="I614" s="6" t="s">
        <v>1943</v>
      </c>
      <c r="J614" s="6" t="s">
        <v>16</v>
      </c>
      <c r="K614" s="6" t="s">
        <v>17</v>
      </c>
    </row>
    <row r="615" ht="22.5" customHeight="1">
      <c r="A615" s="5">
        <v>46171.937083275465</v>
      </c>
      <c r="B615" s="6" t="s">
        <v>1944</v>
      </c>
      <c r="C615" s="6" t="s">
        <v>1945</v>
      </c>
      <c r="D615" s="3" t="str">
        <f t="shared" si="1"/>
        <v>AE-0614</v>
      </c>
      <c r="E615" s="3">
        <f t="array" ref="E615">IFERROR(XLOOKUP(D615,'Astronomy 101 Week 1 Quiz (Resp'!F:F,'Astronomy 101 Week 1 Quiz (Resp'!E:E),0)</f>
        <v>0</v>
      </c>
      <c r="F615" s="3" t="s">
        <v>14</v>
      </c>
      <c r="G615" s="3"/>
      <c r="H615" s="7" t="s">
        <v>1946</v>
      </c>
      <c r="I615" s="6" t="s">
        <v>1947</v>
      </c>
      <c r="J615" s="6" t="s">
        <v>16</v>
      </c>
      <c r="K615" s="6" t="s">
        <v>82</v>
      </c>
      <c r="L615" s="6" t="s">
        <v>192</v>
      </c>
    </row>
    <row r="616" ht="22.5" customHeight="1">
      <c r="A616" s="5">
        <v>46171.94061376157</v>
      </c>
      <c r="B616" s="6" t="s">
        <v>1948</v>
      </c>
      <c r="C616" s="6" t="s">
        <v>1949</v>
      </c>
      <c r="D616" s="3" t="str">
        <f t="shared" si="1"/>
        <v>AE-0615</v>
      </c>
      <c r="E616" s="3">
        <f t="array" ref="E616">IFERROR(XLOOKUP(D616,'Astronomy 101 Week 1 Quiz (Resp'!F:F,'Astronomy 101 Week 1 Quiz (Resp'!E:E),0)</f>
        <v>0</v>
      </c>
      <c r="F616" s="3" t="s">
        <v>14</v>
      </c>
      <c r="G616" s="3"/>
      <c r="H616" s="6">
        <v>9.108827415E9</v>
      </c>
      <c r="I616" s="6" t="s">
        <v>1950</v>
      </c>
      <c r="J616" s="6" t="s">
        <v>16</v>
      </c>
      <c r="K616" s="6" t="s">
        <v>82</v>
      </c>
    </row>
    <row r="617" ht="22.5" customHeight="1">
      <c r="A617" s="5">
        <v>46171.94266083333</v>
      </c>
      <c r="B617" s="6" t="s">
        <v>1951</v>
      </c>
      <c r="C617" s="6" t="s">
        <v>1952</v>
      </c>
      <c r="D617" s="3" t="str">
        <f t="shared" si="1"/>
        <v>AE-0616</v>
      </c>
      <c r="E617" s="3">
        <f t="array" ref="E617">IFERROR(XLOOKUP(D617,'Astronomy 101 Week 1 Quiz (Resp'!F:F,'Astronomy 101 Week 1 Quiz (Resp'!E:E),0)</f>
        <v>0</v>
      </c>
      <c r="F617" s="3" t="s">
        <v>14</v>
      </c>
      <c r="G617" s="3"/>
      <c r="H617" s="6">
        <v>8.652870977E9</v>
      </c>
      <c r="I617" s="6" t="s">
        <v>1953</v>
      </c>
      <c r="J617" s="6" t="s">
        <v>16</v>
      </c>
      <c r="K617" s="6" t="s">
        <v>17</v>
      </c>
    </row>
    <row r="618" ht="22.5" customHeight="1">
      <c r="A618" s="5">
        <v>46171.94550460648</v>
      </c>
      <c r="B618" s="6" t="s">
        <v>1954</v>
      </c>
      <c r="C618" s="6" t="s">
        <v>1955</v>
      </c>
      <c r="D618" s="3" t="str">
        <f t="shared" si="1"/>
        <v>AE-0617</v>
      </c>
      <c r="E618" s="3">
        <f t="array" ref="E618">IFERROR(XLOOKUP(D618,'Astronomy 101 Week 1 Quiz (Resp'!F:F,'Astronomy 101 Week 1 Quiz (Resp'!E:E),0)</f>
        <v>0</v>
      </c>
      <c r="F618" s="3" t="s">
        <v>14</v>
      </c>
      <c r="G618" s="3"/>
      <c r="H618" s="6">
        <v>9.064965536E9</v>
      </c>
      <c r="I618" s="6" t="s">
        <v>1956</v>
      </c>
      <c r="J618" s="6" t="s">
        <v>16</v>
      </c>
      <c r="K618" s="6" t="s">
        <v>25</v>
      </c>
      <c r="L618" s="6" t="s">
        <v>1957</v>
      </c>
    </row>
    <row r="619" ht="22.5" customHeight="1">
      <c r="A619" s="5">
        <v>46171.946524618055</v>
      </c>
      <c r="B619" s="6" t="s">
        <v>1958</v>
      </c>
      <c r="C619" s="6" t="s">
        <v>1959</v>
      </c>
      <c r="D619" s="3" t="str">
        <f t="shared" si="1"/>
        <v>AE-0618</v>
      </c>
      <c r="E619" s="3">
        <f t="array" ref="E619">IFERROR(XLOOKUP(D619,'Astronomy 101 Week 1 Quiz (Resp'!F:F,'Astronomy 101 Week 1 Quiz (Resp'!E:E),0)</f>
        <v>0</v>
      </c>
      <c r="F619" s="3" t="s">
        <v>14</v>
      </c>
      <c r="G619" s="3"/>
      <c r="H619" s="6">
        <v>7.980997836E9</v>
      </c>
      <c r="I619" s="6" t="s">
        <v>1921</v>
      </c>
      <c r="J619" s="6" t="s">
        <v>16</v>
      </c>
      <c r="K619" s="6" t="s">
        <v>43</v>
      </c>
    </row>
    <row r="620" ht="22.5" customHeight="1">
      <c r="A620" s="5">
        <v>46171.94744805555</v>
      </c>
      <c r="B620" s="6" t="s">
        <v>1960</v>
      </c>
      <c r="C620" s="6" t="s">
        <v>1961</v>
      </c>
      <c r="D620" s="3" t="str">
        <f t="shared" si="1"/>
        <v>AE-0619</v>
      </c>
      <c r="E620" s="3">
        <f t="array" ref="E620">IFERROR(XLOOKUP(D620,'Astronomy 101 Week 1 Quiz (Resp'!F:F,'Astronomy 101 Week 1 Quiz (Resp'!E:E),0)</f>
        <v>0</v>
      </c>
      <c r="F620" s="3" t="s">
        <v>14</v>
      </c>
      <c r="G620" s="3"/>
      <c r="H620" s="6">
        <v>8.240521798E9</v>
      </c>
      <c r="I620" s="6" t="s">
        <v>1921</v>
      </c>
      <c r="J620" s="6" t="s">
        <v>16</v>
      </c>
      <c r="K620" s="6" t="s">
        <v>61</v>
      </c>
      <c r="L620" s="6" t="s">
        <v>1962</v>
      </c>
    </row>
    <row r="621" ht="22.5" customHeight="1">
      <c r="A621" s="5">
        <v>46171.94769065973</v>
      </c>
      <c r="B621" s="6" t="s">
        <v>1963</v>
      </c>
      <c r="C621" s="6" t="s">
        <v>1964</v>
      </c>
      <c r="D621" s="3" t="str">
        <f t="shared" si="1"/>
        <v>AE-0620</v>
      </c>
      <c r="E621" s="3">
        <f t="array" ref="E621">IFERROR(XLOOKUP(D621,'Astronomy 101 Week 1 Quiz (Resp'!F:F,'Astronomy 101 Week 1 Quiz (Resp'!E:E),0)</f>
        <v>0</v>
      </c>
      <c r="F621" s="3" t="s">
        <v>14</v>
      </c>
      <c r="G621" s="3"/>
      <c r="H621" s="6">
        <v>8.815701773E9</v>
      </c>
      <c r="I621" s="6" t="s">
        <v>1965</v>
      </c>
      <c r="J621" s="6" t="s">
        <v>16</v>
      </c>
      <c r="K621" s="6" t="s">
        <v>17</v>
      </c>
      <c r="L621" s="6" t="s">
        <v>1966</v>
      </c>
    </row>
    <row r="622" ht="22.5" customHeight="1">
      <c r="A622" s="5">
        <v>46171.94986219908</v>
      </c>
      <c r="B622" s="6" t="s">
        <v>1967</v>
      </c>
      <c r="C622" s="6" t="s">
        <v>1968</v>
      </c>
      <c r="D622" s="3" t="str">
        <f t="shared" si="1"/>
        <v>AE-0621</v>
      </c>
      <c r="E622" s="3">
        <f t="array" ref="E622">IFERROR(XLOOKUP(D622,'Astronomy 101 Week 1 Quiz (Resp'!F:F,'Astronomy 101 Week 1 Quiz (Resp'!E:E),0)</f>
        <v>0</v>
      </c>
      <c r="F622" s="3" t="s">
        <v>14</v>
      </c>
      <c r="G622" s="3"/>
      <c r="H622" s="6">
        <v>8.274017945E9</v>
      </c>
      <c r="I622" s="6" t="s">
        <v>1902</v>
      </c>
      <c r="J622" s="6" t="s">
        <v>16</v>
      </c>
      <c r="K622" s="6" t="s">
        <v>82</v>
      </c>
      <c r="L622" s="6" t="s">
        <v>1969</v>
      </c>
    </row>
    <row r="623" ht="22.5" customHeight="1">
      <c r="A623" s="5">
        <v>46171.950278993056</v>
      </c>
      <c r="B623" s="6" t="s">
        <v>1970</v>
      </c>
      <c r="C623" s="6" t="s">
        <v>1971</v>
      </c>
      <c r="D623" s="3" t="str">
        <f t="shared" si="1"/>
        <v>AE-0622</v>
      </c>
      <c r="E623" s="3">
        <f t="array" ref="E623">IFERROR(XLOOKUP(D623,'Astronomy 101 Week 1 Quiz (Resp'!F:F,'Astronomy 101 Week 1 Quiz (Resp'!E:E),0)</f>
        <v>43</v>
      </c>
      <c r="F623" s="3" t="s">
        <v>14</v>
      </c>
      <c r="G623" s="3"/>
      <c r="H623" s="6">
        <v>8.910799562E9</v>
      </c>
      <c r="I623" s="6" t="s">
        <v>1956</v>
      </c>
      <c r="J623" s="6" t="s">
        <v>16</v>
      </c>
      <c r="K623" s="6" t="s">
        <v>17</v>
      </c>
      <c r="L623" s="6" t="s">
        <v>1972</v>
      </c>
    </row>
    <row r="624" ht="22.5" customHeight="1">
      <c r="A624" s="5">
        <v>46171.95249472222</v>
      </c>
      <c r="B624" s="6" t="s">
        <v>1973</v>
      </c>
      <c r="C624" s="6" t="s">
        <v>1974</v>
      </c>
      <c r="D624" s="3" t="str">
        <f t="shared" si="1"/>
        <v>AE-0623</v>
      </c>
      <c r="E624" s="3">
        <f t="array" ref="E624">IFERROR(XLOOKUP(D624,'Astronomy 101 Week 1 Quiz (Resp'!F:F,'Astronomy 101 Week 1 Quiz (Resp'!E:E),0)</f>
        <v>0</v>
      </c>
      <c r="F624" s="3" t="s">
        <v>14</v>
      </c>
      <c r="G624" s="3"/>
      <c r="H624" s="6">
        <v>9.840389356E9</v>
      </c>
      <c r="I624" s="6" t="s">
        <v>1158</v>
      </c>
      <c r="J624" s="6" t="s">
        <v>16</v>
      </c>
      <c r="K624" s="6" t="s">
        <v>47</v>
      </c>
    </row>
    <row r="625" ht="22.5" customHeight="1">
      <c r="A625" s="5">
        <v>46171.95348350695</v>
      </c>
      <c r="B625" s="6" t="s">
        <v>1975</v>
      </c>
      <c r="C625" s="6" t="s">
        <v>1976</v>
      </c>
      <c r="D625" s="3" t="str">
        <f t="shared" si="1"/>
        <v>AE-0624</v>
      </c>
      <c r="E625" s="3">
        <f t="array" ref="E625">IFERROR(XLOOKUP(D625,'Astronomy 101 Week 1 Quiz (Resp'!F:F,'Astronomy 101 Week 1 Quiz (Resp'!E:E),0)</f>
        <v>45</v>
      </c>
      <c r="F625" s="3" t="s">
        <v>14</v>
      </c>
      <c r="G625" s="3"/>
      <c r="H625" s="6">
        <v>9.823867445E9</v>
      </c>
      <c r="I625" s="6" t="s">
        <v>1977</v>
      </c>
      <c r="J625" s="6" t="s">
        <v>16</v>
      </c>
      <c r="K625" s="6" t="s">
        <v>17</v>
      </c>
      <c r="L625" s="6" t="s">
        <v>1978</v>
      </c>
    </row>
    <row r="626" ht="22.5" customHeight="1">
      <c r="A626" s="5">
        <v>46171.957211354165</v>
      </c>
      <c r="B626" s="6" t="s">
        <v>1979</v>
      </c>
      <c r="C626" s="6" t="s">
        <v>1980</v>
      </c>
      <c r="D626" s="3" t="str">
        <f t="shared" si="1"/>
        <v>AE-0625</v>
      </c>
      <c r="E626" s="3">
        <f t="array" ref="E626">IFERROR(XLOOKUP(D626,'Astronomy 101 Week 1 Quiz (Resp'!F:F,'Astronomy 101 Week 1 Quiz (Resp'!E:E),0)</f>
        <v>0</v>
      </c>
      <c r="F626" s="3" t="s">
        <v>14</v>
      </c>
      <c r="G626" s="3"/>
      <c r="H626" s="6">
        <v>9.270290288E9</v>
      </c>
      <c r="I626" s="6" t="s">
        <v>1090</v>
      </c>
      <c r="J626" s="6" t="s">
        <v>16</v>
      </c>
      <c r="K626" s="6" t="s">
        <v>25</v>
      </c>
    </row>
    <row r="627" ht="22.5" customHeight="1">
      <c r="A627" s="5">
        <v>46171.960744375</v>
      </c>
      <c r="B627" s="6" t="s">
        <v>1981</v>
      </c>
      <c r="C627" s="6" t="s">
        <v>1982</v>
      </c>
      <c r="D627" s="3" t="str">
        <f t="shared" si="1"/>
        <v>AE-0626</v>
      </c>
      <c r="E627" s="3">
        <f t="array" ref="E627">IFERROR(XLOOKUP(D627,'Astronomy 101 Week 1 Quiz (Resp'!F:F,'Astronomy 101 Week 1 Quiz (Resp'!E:E),0)</f>
        <v>0</v>
      </c>
      <c r="F627" s="3" t="s">
        <v>14</v>
      </c>
      <c r="G627" s="3"/>
      <c r="H627" s="6">
        <v>8.951666435E9</v>
      </c>
      <c r="I627" s="6" t="s">
        <v>1983</v>
      </c>
      <c r="J627" s="6" t="s">
        <v>16</v>
      </c>
      <c r="K627" s="6" t="s">
        <v>17</v>
      </c>
    </row>
    <row r="628" ht="22.5" customHeight="1">
      <c r="A628" s="5">
        <v>46171.960939745375</v>
      </c>
      <c r="B628" s="6" t="s">
        <v>1984</v>
      </c>
      <c r="C628" s="6" t="s">
        <v>1985</v>
      </c>
      <c r="D628" s="3" t="str">
        <f t="shared" si="1"/>
        <v>AE-0627</v>
      </c>
      <c r="E628" s="3">
        <f t="array" ref="E628">IFERROR(XLOOKUP(D628,'Astronomy 101 Week 1 Quiz (Resp'!F:F,'Astronomy 101 Week 1 Quiz (Resp'!E:E),0)</f>
        <v>0</v>
      </c>
      <c r="F628" s="3" t="s">
        <v>14</v>
      </c>
      <c r="G628" s="3"/>
      <c r="H628" s="6">
        <v>6.003320641E9</v>
      </c>
      <c r="I628" s="6" t="s">
        <v>1986</v>
      </c>
      <c r="J628" s="6" t="s">
        <v>16</v>
      </c>
      <c r="K628" s="6" t="s">
        <v>61</v>
      </c>
      <c r="L628" s="6" t="s">
        <v>1987</v>
      </c>
    </row>
    <row r="629" ht="22.5" customHeight="1">
      <c r="A629" s="5">
        <v>46171.96164930555</v>
      </c>
      <c r="B629" s="6" t="s">
        <v>1988</v>
      </c>
      <c r="C629" s="6" t="s">
        <v>1989</v>
      </c>
      <c r="D629" s="3" t="str">
        <f t="shared" si="1"/>
        <v>AE-0628</v>
      </c>
      <c r="E629" s="3">
        <f t="array" ref="E629">IFERROR(XLOOKUP(D629,'Astronomy 101 Week 1 Quiz (Resp'!F:F,'Astronomy 101 Week 1 Quiz (Resp'!E:E),0)</f>
        <v>46</v>
      </c>
      <c r="F629" s="3" t="s">
        <v>14</v>
      </c>
      <c r="G629" s="3"/>
      <c r="H629" s="6">
        <v>9.778441007E9</v>
      </c>
      <c r="I629" s="6" t="s">
        <v>344</v>
      </c>
      <c r="J629" s="6" t="s">
        <v>16</v>
      </c>
      <c r="K629" s="6" t="s">
        <v>17</v>
      </c>
    </row>
    <row r="630" ht="22.5" customHeight="1">
      <c r="A630" s="5">
        <v>46171.96917398148</v>
      </c>
      <c r="B630" s="6" t="s">
        <v>1990</v>
      </c>
      <c r="C630" s="6" t="s">
        <v>1991</v>
      </c>
      <c r="D630" s="3" t="str">
        <f t="shared" si="1"/>
        <v>AE-0629</v>
      </c>
      <c r="E630" s="3">
        <f t="array" ref="E630">IFERROR(XLOOKUP(D630,'Astronomy 101 Week 1 Quiz (Resp'!F:F,'Astronomy 101 Week 1 Quiz (Resp'!E:E),0)</f>
        <v>39</v>
      </c>
      <c r="F630" s="3" t="s">
        <v>14</v>
      </c>
      <c r="G630" s="3"/>
      <c r="H630" s="6">
        <v>9.131271576E9</v>
      </c>
      <c r="I630" s="6" t="s">
        <v>1992</v>
      </c>
      <c r="J630" s="6" t="s">
        <v>16</v>
      </c>
      <c r="K630" s="6" t="s">
        <v>61</v>
      </c>
    </row>
    <row r="631" ht="22.5" customHeight="1">
      <c r="A631" s="5">
        <v>46171.9726056713</v>
      </c>
      <c r="B631" s="6" t="s">
        <v>1993</v>
      </c>
      <c r="C631" s="6" t="s">
        <v>1994</v>
      </c>
      <c r="D631" s="3" t="str">
        <f t="shared" si="1"/>
        <v>AE-0630</v>
      </c>
      <c r="E631" s="3">
        <f t="array" ref="E631">IFERROR(XLOOKUP(D631,'Astronomy 101 Week 1 Quiz (Resp'!F:F,'Astronomy 101 Week 1 Quiz (Resp'!E:E),0)</f>
        <v>0</v>
      </c>
      <c r="F631" s="3" t="s">
        <v>14</v>
      </c>
      <c r="G631" s="3"/>
      <c r="H631" s="6">
        <v>6.909138504E9</v>
      </c>
      <c r="I631" s="6" t="s">
        <v>1257</v>
      </c>
      <c r="J631" s="6" t="s">
        <v>16</v>
      </c>
      <c r="K631" s="6" t="s">
        <v>25</v>
      </c>
      <c r="L631" s="6" t="s">
        <v>1995</v>
      </c>
    </row>
    <row r="632" ht="22.5" customHeight="1">
      <c r="A632" s="5">
        <v>46171.97537598379</v>
      </c>
      <c r="B632" s="6" t="s">
        <v>1996</v>
      </c>
      <c r="C632" s="6" t="s">
        <v>1997</v>
      </c>
      <c r="D632" s="3" t="str">
        <f t="shared" si="1"/>
        <v>AE-0631</v>
      </c>
      <c r="E632" s="3">
        <f t="array" ref="E632">IFERROR(XLOOKUP(D632,'Astronomy 101 Week 1 Quiz (Resp'!F:F,'Astronomy 101 Week 1 Quiz (Resp'!E:E),0)</f>
        <v>0</v>
      </c>
      <c r="F632" s="3" t="s">
        <v>14</v>
      </c>
      <c r="G632" s="3"/>
      <c r="H632" s="6">
        <v>9.049997889E9</v>
      </c>
      <c r="I632" s="6" t="s">
        <v>1998</v>
      </c>
      <c r="J632" s="6" t="s">
        <v>16</v>
      </c>
      <c r="K632" s="6" t="s">
        <v>21</v>
      </c>
      <c r="L632" s="6" t="s">
        <v>1999</v>
      </c>
    </row>
    <row r="633" ht="22.5" customHeight="1">
      <c r="A633" s="5">
        <v>46171.9771453125</v>
      </c>
      <c r="B633" s="6" t="s">
        <v>2000</v>
      </c>
      <c r="C633" s="6" t="s">
        <v>2001</v>
      </c>
      <c r="D633" s="3" t="str">
        <f t="shared" si="1"/>
        <v>AE-0632</v>
      </c>
      <c r="E633" s="3">
        <f t="array" ref="E633">IFERROR(XLOOKUP(D633,'Astronomy 101 Week 1 Quiz (Resp'!F:F,'Astronomy 101 Week 1 Quiz (Resp'!E:E),0)</f>
        <v>0</v>
      </c>
      <c r="F633" s="3" t="s">
        <v>14</v>
      </c>
      <c r="G633" s="3"/>
      <c r="H633" s="6">
        <v>9.002614857E9</v>
      </c>
      <c r="I633" s="6" t="s">
        <v>1921</v>
      </c>
      <c r="J633" s="6" t="s">
        <v>16</v>
      </c>
      <c r="K633" s="6" t="s">
        <v>21</v>
      </c>
      <c r="L633" s="6" t="s">
        <v>2002</v>
      </c>
    </row>
    <row r="634" ht="22.5" customHeight="1">
      <c r="A634" s="5">
        <v>46171.977347314816</v>
      </c>
      <c r="B634" s="6" t="s">
        <v>2003</v>
      </c>
      <c r="C634" s="6" t="s">
        <v>2004</v>
      </c>
      <c r="D634" s="3" t="str">
        <f t="shared" si="1"/>
        <v>AE-0633</v>
      </c>
      <c r="E634" s="3">
        <f t="array" ref="E634">IFERROR(XLOOKUP(D634,'Astronomy 101 Week 1 Quiz (Resp'!F:F,'Astronomy 101 Week 1 Quiz (Resp'!E:E),0)</f>
        <v>0</v>
      </c>
      <c r="F634" s="3" t="s">
        <v>14</v>
      </c>
      <c r="G634" s="3"/>
      <c r="H634" s="6">
        <v>8.320216976E9</v>
      </c>
      <c r="I634" s="6" t="s">
        <v>1846</v>
      </c>
      <c r="J634" s="6" t="s">
        <v>16</v>
      </c>
      <c r="K634" s="6" t="s">
        <v>43</v>
      </c>
    </row>
    <row r="635" ht="22.5" customHeight="1">
      <c r="A635" s="5">
        <v>46171.98544777778</v>
      </c>
      <c r="B635" s="6" t="s">
        <v>2005</v>
      </c>
      <c r="C635" s="6" t="s">
        <v>2006</v>
      </c>
      <c r="D635" s="3" t="str">
        <f t="shared" si="1"/>
        <v>AE-0634</v>
      </c>
      <c r="E635" s="3">
        <f t="array" ref="E635">IFERROR(XLOOKUP(D635,'Astronomy 101 Week 1 Quiz (Resp'!F:F,'Astronomy 101 Week 1 Quiz (Resp'!E:E),0)</f>
        <v>43</v>
      </c>
      <c r="F635" s="3" t="s">
        <v>14</v>
      </c>
      <c r="G635" s="3"/>
      <c r="H635" s="6">
        <v>6.363059107E9</v>
      </c>
      <c r="I635" s="6" t="s">
        <v>2007</v>
      </c>
      <c r="J635" s="6" t="s">
        <v>16</v>
      </c>
      <c r="K635" s="6" t="s">
        <v>17</v>
      </c>
      <c r="L635" s="6" t="s">
        <v>2008</v>
      </c>
    </row>
    <row r="636" ht="22.5" customHeight="1">
      <c r="A636" s="5">
        <v>46171.99211738426</v>
      </c>
      <c r="B636" s="6" t="s">
        <v>2009</v>
      </c>
      <c r="C636" s="6" t="s">
        <v>2010</v>
      </c>
      <c r="D636" s="3" t="str">
        <f t="shared" si="1"/>
        <v>AE-0635</v>
      </c>
      <c r="E636" s="3">
        <f t="array" ref="E636">IFERROR(XLOOKUP(D636,'Astronomy 101 Week 1 Quiz (Resp'!F:F,'Astronomy 101 Week 1 Quiz (Resp'!E:E),0)</f>
        <v>0</v>
      </c>
      <c r="F636" s="3" t="s">
        <v>14</v>
      </c>
      <c r="G636" s="3"/>
      <c r="H636" s="6">
        <v>6.265890927E9</v>
      </c>
      <c r="I636" s="6" t="s">
        <v>2011</v>
      </c>
      <c r="J636" s="6" t="s">
        <v>16</v>
      </c>
      <c r="K636" s="6" t="s">
        <v>17</v>
      </c>
    </row>
    <row r="637" ht="22.5" customHeight="1">
      <c r="A637" s="5">
        <v>46171.99239251157</v>
      </c>
      <c r="B637" s="6" t="s">
        <v>2012</v>
      </c>
      <c r="C637" s="6" t="s">
        <v>2013</v>
      </c>
      <c r="D637" s="3" t="str">
        <f t="shared" si="1"/>
        <v>AE-0636</v>
      </c>
      <c r="E637" s="3">
        <f t="array" ref="E637">IFERROR(XLOOKUP(D637,'Astronomy 101 Week 1 Quiz (Resp'!F:F,'Astronomy 101 Week 1 Quiz (Resp'!E:E),0)</f>
        <v>26</v>
      </c>
      <c r="F637" s="3" t="s">
        <v>14</v>
      </c>
      <c r="G637" s="3"/>
      <c r="H637" s="6" t="s">
        <v>2014</v>
      </c>
      <c r="I637" s="6" t="s">
        <v>2015</v>
      </c>
      <c r="J637" s="6" t="s">
        <v>16</v>
      </c>
      <c r="K637" s="6" t="s">
        <v>82</v>
      </c>
      <c r="L637" s="6" t="s">
        <v>2016</v>
      </c>
    </row>
    <row r="638" ht="22.5" customHeight="1">
      <c r="A638" s="5">
        <v>46171.99401783565</v>
      </c>
      <c r="B638" s="6" t="s">
        <v>2017</v>
      </c>
      <c r="C638" s="6" t="s">
        <v>2018</v>
      </c>
      <c r="D638" s="3" t="str">
        <f t="shared" si="1"/>
        <v>AE-0637</v>
      </c>
      <c r="E638" s="3">
        <f t="array" ref="E638">IFERROR(XLOOKUP(D638,'Astronomy 101 Week 1 Quiz (Resp'!F:F,'Astronomy 101 Week 1 Quiz (Resp'!E:E),0)</f>
        <v>0</v>
      </c>
      <c r="F638" s="3" t="s">
        <v>14</v>
      </c>
      <c r="G638" s="3"/>
      <c r="H638" s="6">
        <v>8.389824563E9</v>
      </c>
      <c r="I638" s="6" t="s">
        <v>665</v>
      </c>
      <c r="J638" s="6" t="s">
        <v>16</v>
      </c>
      <c r="K638" s="6" t="s">
        <v>47</v>
      </c>
      <c r="L638" s="6" t="s">
        <v>2019</v>
      </c>
    </row>
    <row r="639" ht="22.5" customHeight="1">
      <c r="A639" s="5">
        <v>46171.99693230324</v>
      </c>
      <c r="B639" s="6" t="s">
        <v>2020</v>
      </c>
      <c r="C639" s="6" t="s">
        <v>2021</v>
      </c>
      <c r="D639" s="3" t="str">
        <f t="shared" si="1"/>
        <v>AE-0638</v>
      </c>
      <c r="E639" s="3">
        <f t="array" ref="E639">IFERROR(XLOOKUP(D639,'Astronomy 101 Week 1 Quiz (Resp'!F:F,'Astronomy 101 Week 1 Quiz (Resp'!E:E),0)</f>
        <v>28</v>
      </c>
      <c r="F639" s="3" t="s">
        <v>14</v>
      </c>
      <c r="G639" s="3"/>
      <c r="H639" s="6">
        <v>8.847679844E9</v>
      </c>
      <c r="I639" s="6" t="s">
        <v>2022</v>
      </c>
      <c r="J639" s="6" t="s">
        <v>16</v>
      </c>
      <c r="K639" s="6" t="s">
        <v>82</v>
      </c>
      <c r="L639" s="6" t="s">
        <v>2023</v>
      </c>
    </row>
    <row r="640" ht="22.5" customHeight="1">
      <c r="A640" s="5">
        <v>46171.99777847222</v>
      </c>
      <c r="B640" s="6" t="s">
        <v>2024</v>
      </c>
      <c r="C640" s="6" t="s">
        <v>2025</v>
      </c>
      <c r="D640" s="3" t="str">
        <f t="shared" si="1"/>
        <v>AE-0639</v>
      </c>
      <c r="E640" s="3">
        <f t="array" ref="E640">IFERROR(XLOOKUP(D640,'Astronomy 101 Week 1 Quiz (Resp'!F:F,'Astronomy 101 Week 1 Quiz (Resp'!E:E),0)</f>
        <v>0</v>
      </c>
      <c r="F640" s="3" t="s">
        <v>14</v>
      </c>
      <c r="G640" s="3"/>
      <c r="H640" s="6">
        <v>9.979875515E9</v>
      </c>
      <c r="I640" s="6" t="s">
        <v>2026</v>
      </c>
      <c r="J640" s="6" t="s">
        <v>16</v>
      </c>
      <c r="K640" s="6" t="s">
        <v>17</v>
      </c>
    </row>
    <row r="641" ht="22.5" customHeight="1">
      <c r="A641" s="5">
        <v>46172.00274037037</v>
      </c>
      <c r="B641" s="6" t="s">
        <v>2027</v>
      </c>
      <c r="C641" s="6" t="s">
        <v>2028</v>
      </c>
      <c r="D641" s="3" t="str">
        <f t="shared" si="1"/>
        <v>AE-0640</v>
      </c>
      <c r="E641" s="3">
        <f t="array" ref="E641">IFERROR(XLOOKUP(D641,'Astronomy 101 Week 1 Quiz (Resp'!F:F,'Astronomy 101 Week 1 Quiz (Resp'!E:E),0)</f>
        <v>0</v>
      </c>
      <c r="F641" s="3" t="s">
        <v>14</v>
      </c>
      <c r="G641" s="3"/>
      <c r="H641" s="6">
        <v>8.822720733E9</v>
      </c>
      <c r="I641" s="6" t="s">
        <v>2029</v>
      </c>
      <c r="J641" s="6" t="s">
        <v>16</v>
      </c>
      <c r="K641" s="6" t="s">
        <v>17</v>
      </c>
    </row>
    <row r="642" ht="22.5" customHeight="1">
      <c r="A642" s="5">
        <v>46172.002776574074</v>
      </c>
      <c r="B642" s="6" t="s">
        <v>2030</v>
      </c>
      <c r="C642" s="6" t="s">
        <v>2031</v>
      </c>
      <c r="D642" s="3" t="str">
        <f t="shared" si="1"/>
        <v>AE-0641</v>
      </c>
      <c r="E642" s="3">
        <f t="array" ref="E642">IFERROR(XLOOKUP(D642,'Astronomy 101 Week 1 Quiz (Resp'!F:F,'Astronomy 101 Week 1 Quiz (Resp'!E:E),0)</f>
        <v>37</v>
      </c>
      <c r="F642" s="3" t="s">
        <v>14</v>
      </c>
      <c r="G642" s="3"/>
      <c r="H642" s="6">
        <v>9.692337325E9</v>
      </c>
      <c r="I642" s="6" t="s">
        <v>2032</v>
      </c>
      <c r="J642" s="6" t="s">
        <v>16</v>
      </c>
      <c r="K642" s="6" t="s">
        <v>43</v>
      </c>
      <c r="L642" s="6" t="s">
        <v>2033</v>
      </c>
    </row>
    <row r="643" ht="22.5" customHeight="1">
      <c r="A643" s="5">
        <v>46172.003879502314</v>
      </c>
      <c r="B643" s="6" t="s">
        <v>2034</v>
      </c>
      <c r="C643" s="6" t="s">
        <v>2035</v>
      </c>
      <c r="D643" s="3" t="str">
        <f t="shared" si="1"/>
        <v>AE-0642</v>
      </c>
      <c r="E643" s="3">
        <f t="array" ref="E643">IFERROR(XLOOKUP(D643,'Astronomy 101 Week 1 Quiz (Resp'!F:F,'Astronomy 101 Week 1 Quiz (Resp'!E:E),0)</f>
        <v>0</v>
      </c>
      <c r="F643" s="3" t="s">
        <v>14</v>
      </c>
      <c r="G643" s="3"/>
      <c r="H643" s="6">
        <v>8.178324754E9</v>
      </c>
      <c r="I643" s="6" t="s">
        <v>2036</v>
      </c>
      <c r="J643" s="6" t="s">
        <v>16</v>
      </c>
      <c r="K643" s="6" t="s">
        <v>17</v>
      </c>
    </row>
    <row r="644" ht="22.5" customHeight="1">
      <c r="A644" s="5">
        <v>46172.01001293982</v>
      </c>
      <c r="B644" s="6" t="s">
        <v>2037</v>
      </c>
      <c r="C644" s="6" t="s">
        <v>2038</v>
      </c>
      <c r="D644" s="3" t="str">
        <f t="shared" si="1"/>
        <v>AE-0643</v>
      </c>
      <c r="E644" s="3">
        <f t="array" ref="E644">IFERROR(XLOOKUP(D644,'Astronomy 101 Week 1 Quiz (Resp'!F:F,'Astronomy 101 Week 1 Quiz (Resp'!E:E),0)</f>
        <v>0</v>
      </c>
      <c r="F644" s="3" t="s">
        <v>14</v>
      </c>
      <c r="G644" s="3"/>
      <c r="H644" s="6">
        <v>9.679239551E9</v>
      </c>
      <c r="I644" s="6" t="s">
        <v>2039</v>
      </c>
      <c r="J644" s="6" t="s">
        <v>16</v>
      </c>
      <c r="K644" s="6" t="s">
        <v>61</v>
      </c>
      <c r="L644" s="6" t="s">
        <v>2040</v>
      </c>
    </row>
    <row r="645" ht="22.5" customHeight="1">
      <c r="A645" s="5">
        <v>46172.01384858796</v>
      </c>
      <c r="B645" s="6" t="s">
        <v>2041</v>
      </c>
      <c r="C645" s="6" t="s">
        <v>2042</v>
      </c>
      <c r="D645" s="3" t="str">
        <f t="shared" si="1"/>
        <v>AE-0644</v>
      </c>
      <c r="E645" s="3">
        <f t="array" ref="E645">IFERROR(XLOOKUP(D645,'Astronomy 101 Week 1 Quiz (Resp'!F:F,'Astronomy 101 Week 1 Quiz (Resp'!E:E),0)</f>
        <v>0</v>
      </c>
      <c r="F645" s="3" t="s">
        <v>14</v>
      </c>
      <c r="G645" s="3"/>
      <c r="H645" s="6">
        <v>9.621815931E9</v>
      </c>
      <c r="I645" s="6" t="s">
        <v>2043</v>
      </c>
      <c r="J645" s="6" t="s">
        <v>16</v>
      </c>
      <c r="K645" s="6" t="s">
        <v>82</v>
      </c>
      <c r="L645" s="6" t="s">
        <v>2044</v>
      </c>
    </row>
    <row r="646" ht="22.5" customHeight="1">
      <c r="A646" s="5">
        <v>46172.01440540509</v>
      </c>
      <c r="B646" s="6" t="s">
        <v>2045</v>
      </c>
      <c r="C646" s="6" t="s">
        <v>2046</v>
      </c>
      <c r="D646" s="3" t="str">
        <f t="shared" si="1"/>
        <v>AE-0645</v>
      </c>
      <c r="E646" s="3">
        <f t="array" ref="E646">IFERROR(XLOOKUP(D646,'Astronomy 101 Week 1 Quiz (Resp'!F:F,'Astronomy 101 Week 1 Quiz (Resp'!E:E),0)</f>
        <v>0</v>
      </c>
      <c r="F646" s="3" t="s">
        <v>14</v>
      </c>
      <c r="G646" s="3"/>
      <c r="H646" s="6">
        <v>7.003933054E9</v>
      </c>
      <c r="I646" s="6" t="s">
        <v>1921</v>
      </c>
      <c r="J646" s="6" t="s">
        <v>16</v>
      </c>
      <c r="K646" s="6" t="s">
        <v>17</v>
      </c>
      <c r="L646" s="6" t="s">
        <v>2047</v>
      </c>
    </row>
    <row r="647" ht="22.5" customHeight="1">
      <c r="A647" s="5">
        <v>46172.01608997685</v>
      </c>
      <c r="B647" s="6" t="s">
        <v>2048</v>
      </c>
      <c r="C647" s="6" t="s">
        <v>2049</v>
      </c>
      <c r="D647" s="3" t="str">
        <f t="shared" si="1"/>
        <v>AE-0646</v>
      </c>
      <c r="E647" s="3">
        <f t="array" ref="E647">IFERROR(XLOOKUP(D647,'Astronomy 101 Week 1 Quiz (Resp'!F:F,'Astronomy 101 Week 1 Quiz (Resp'!E:E),0)</f>
        <v>0</v>
      </c>
      <c r="F647" s="3" t="s">
        <v>14</v>
      </c>
      <c r="G647" s="3"/>
      <c r="H647" s="6">
        <v>9.336049348E9</v>
      </c>
      <c r="I647" s="6" t="s">
        <v>2050</v>
      </c>
      <c r="J647" s="6" t="s">
        <v>16</v>
      </c>
      <c r="K647" s="6" t="s">
        <v>17</v>
      </c>
      <c r="L647" s="6" t="s">
        <v>2051</v>
      </c>
    </row>
    <row r="648" ht="22.5" customHeight="1">
      <c r="A648" s="5">
        <v>46172.02541716435</v>
      </c>
      <c r="B648" s="6" t="s">
        <v>2052</v>
      </c>
      <c r="C648" s="6" t="s">
        <v>2053</v>
      </c>
      <c r="D648" s="3" t="str">
        <f t="shared" si="1"/>
        <v>AE-0647</v>
      </c>
      <c r="E648" s="3">
        <f t="array" ref="E648">IFERROR(XLOOKUP(D648,'Astronomy 101 Week 1 Quiz (Resp'!F:F,'Astronomy 101 Week 1 Quiz (Resp'!E:E),0)</f>
        <v>0</v>
      </c>
      <c r="F648" s="3" t="s">
        <v>14</v>
      </c>
      <c r="G648" s="3"/>
      <c r="H648" s="6">
        <v>7.718200629E9</v>
      </c>
      <c r="I648" s="6" t="s">
        <v>1956</v>
      </c>
      <c r="J648" s="6" t="s">
        <v>16</v>
      </c>
      <c r="K648" s="6" t="s">
        <v>47</v>
      </c>
      <c r="L648" s="6" t="s">
        <v>2054</v>
      </c>
    </row>
    <row r="649" ht="22.5" customHeight="1">
      <c r="A649" s="5">
        <v>46172.02672010417</v>
      </c>
      <c r="B649" s="6" t="s">
        <v>2055</v>
      </c>
      <c r="C649" s="6" t="s">
        <v>2056</v>
      </c>
      <c r="D649" s="3" t="str">
        <f t="shared" si="1"/>
        <v>AE-0648</v>
      </c>
      <c r="E649" s="3">
        <f t="array" ref="E649">IFERROR(XLOOKUP(D649,'Astronomy 101 Week 1 Quiz (Resp'!F:F,'Astronomy 101 Week 1 Quiz (Resp'!E:E),0)</f>
        <v>0</v>
      </c>
      <c r="F649" s="3" t="s">
        <v>14</v>
      </c>
      <c r="G649" s="3"/>
      <c r="H649" s="6">
        <v>7.019631421E9</v>
      </c>
      <c r="I649" s="6" t="s">
        <v>2057</v>
      </c>
      <c r="J649" s="6" t="s">
        <v>16</v>
      </c>
      <c r="K649" s="6" t="s">
        <v>61</v>
      </c>
      <c r="L649" s="6" t="s">
        <v>2058</v>
      </c>
    </row>
    <row r="650" ht="22.5" customHeight="1">
      <c r="A650" s="5">
        <v>46172.03333078704</v>
      </c>
      <c r="B650" s="6" t="s">
        <v>2059</v>
      </c>
      <c r="C650" s="6" t="s">
        <v>2060</v>
      </c>
      <c r="D650" s="3" t="str">
        <f t="shared" si="1"/>
        <v>AE-0649</v>
      </c>
      <c r="E650" s="3">
        <f t="array" ref="E650">IFERROR(XLOOKUP(D650,'Astronomy 101 Week 1 Quiz (Resp'!F:F,'Astronomy 101 Week 1 Quiz (Resp'!E:E),0)</f>
        <v>37</v>
      </c>
      <c r="F650" s="3" t="s">
        <v>14</v>
      </c>
      <c r="G650" s="3"/>
      <c r="H650" s="6">
        <v>9.875454894E9</v>
      </c>
      <c r="I650" s="6" t="s">
        <v>1921</v>
      </c>
      <c r="J650" s="6" t="s">
        <v>16</v>
      </c>
      <c r="K650" s="6" t="s">
        <v>61</v>
      </c>
      <c r="L650" s="6" t="s">
        <v>68</v>
      </c>
    </row>
    <row r="651" ht="22.5" customHeight="1">
      <c r="A651" s="5">
        <v>46172.03793950232</v>
      </c>
      <c r="B651" s="6" t="s">
        <v>2061</v>
      </c>
      <c r="C651" s="6" t="s">
        <v>2062</v>
      </c>
      <c r="D651" s="3" t="str">
        <f t="shared" si="1"/>
        <v>AE-0650</v>
      </c>
      <c r="E651" s="3">
        <f t="array" ref="E651">IFERROR(XLOOKUP(D651,'Astronomy 101 Week 1 Quiz (Resp'!F:F,'Astronomy 101 Week 1 Quiz (Resp'!E:E),0)</f>
        <v>0</v>
      </c>
      <c r="F651" s="3" t="s">
        <v>14</v>
      </c>
      <c r="G651" s="3"/>
      <c r="H651" s="6">
        <v>8.130220312E9</v>
      </c>
      <c r="I651" s="6" t="s">
        <v>2063</v>
      </c>
      <c r="J651" s="6" t="s">
        <v>16</v>
      </c>
      <c r="K651" s="6" t="s">
        <v>82</v>
      </c>
      <c r="L651" s="6" t="s">
        <v>2064</v>
      </c>
    </row>
    <row r="652" ht="22.5" customHeight="1">
      <c r="A652" s="5">
        <v>46172.03870859953</v>
      </c>
      <c r="B652" s="6" t="s">
        <v>2065</v>
      </c>
      <c r="C652" s="6" t="s">
        <v>2066</v>
      </c>
      <c r="D652" s="3" t="str">
        <f t="shared" si="1"/>
        <v>AE-0651</v>
      </c>
      <c r="E652" s="3">
        <f t="array" ref="E652">IFERROR(XLOOKUP(D652,'Astronomy 101 Week 1 Quiz (Resp'!F:F,'Astronomy 101 Week 1 Quiz (Resp'!E:E),0)</f>
        <v>44</v>
      </c>
      <c r="F652" s="3" t="s">
        <v>14</v>
      </c>
      <c r="G652" s="3"/>
      <c r="H652" s="6">
        <v>9.513421122E9</v>
      </c>
      <c r="I652" s="6" t="s">
        <v>2067</v>
      </c>
      <c r="J652" s="6" t="s">
        <v>16</v>
      </c>
      <c r="K652" s="6" t="s">
        <v>43</v>
      </c>
      <c r="L652" s="6" t="s">
        <v>2068</v>
      </c>
    </row>
    <row r="653" ht="22.5" customHeight="1">
      <c r="A653" s="5">
        <v>46172.041081006944</v>
      </c>
      <c r="B653" s="6" t="s">
        <v>2069</v>
      </c>
      <c r="C653" s="6" t="s">
        <v>2070</v>
      </c>
      <c r="D653" s="3" t="str">
        <f t="shared" si="1"/>
        <v>AE-0652</v>
      </c>
      <c r="E653" s="3">
        <f t="array" ref="E653">IFERROR(XLOOKUP(D653,'Astronomy 101 Week 1 Quiz (Resp'!F:F,'Astronomy 101 Week 1 Quiz (Resp'!E:E),0)</f>
        <v>0</v>
      </c>
      <c r="F653" s="3" t="s">
        <v>14</v>
      </c>
      <c r="G653" s="3"/>
      <c r="H653" s="6">
        <v>9.958215659E9</v>
      </c>
      <c r="I653" s="6" t="s">
        <v>2071</v>
      </c>
      <c r="J653" s="6" t="s">
        <v>16</v>
      </c>
      <c r="K653" s="6" t="s">
        <v>17</v>
      </c>
    </row>
    <row r="654" ht="22.5" customHeight="1">
      <c r="A654" s="5">
        <v>46172.042034375</v>
      </c>
      <c r="B654" s="6" t="s">
        <v>2072</v>
      </c>
      <c r="C654" s="6" t="s">
        <v>2073</v>
      </c>
      <c r="D654" s="3" t="str">
        <f t="shared" si="1"/>
        <v>AE-0653</v>
      </c>
      <c r="E654" s="3">
        <f t="array" ref="E654">IFERROR(XLOOKUP(D654,'Astronomy 101 Week 1 Quiz (Resp'!F:F,'Astronomy 101 Week 1 Quiz (Resp'!E:E),0)</f>
        <v>0</v>
      </c>
      <c r="F654" s="3" t="s">
        <v>14</v>
      </c>
      <c r="G654" s="3"/>
      <c r="H654" s="6">
        <v>9.373753734E9</v>
      </c>
      <c r="I654" s="6" t="s">
        <v>2074</v>
      </c>
      <c r="J654" s="6" t="s">
        <v>16</v>
      </c>
      <c r="K654" s="6" t="s">
        <v>17</v>
      </c>
      <c r="L654" s="6" t="s">
        <v>2075</v>
      </c>
    </row>
    <row r="655" ht="22.5" customHeight="1">
      <c r="A655" s="5">
        <v>46172.05275023148</v>
      </c>
      <c r="B655" s="6" t="s">
        <v>2076</v>
      </c>
      <c r="C655" s="6" t="s">
        <v>1891</v>
      </c>
      <c r="D655" s="3" t="str">
        <f t="shared" si="1"/>
        <v>AE-0654</v>
      </c>
      <c r="E655" s="3">
        <f t="array" ref="E655">IFERROR(XLOOKUP(D655,'Astronomy 101 Week 1 Quiz (Resp'!F:F,'Astronomy 101 Week 1 Quiz (Resp'!E:E),0)</f>
        <v>0</v>
      </c>
      <c r="F655" s="3" t="s">
        <v>14</v>
      </c>
      <c r="G655" s="3"/>
      <c r="H655" s="6">
        <v>9.873148892E9</v>
      </c>
      <c r="I655" s="6" t="s">
        <v>1892</v>
      </c>
      <c r="J655" s="6" t="s">
        <v>16</v>
      </c>
      <c r="K655" s="6" t="s">
        <v>61</v>
      </c>
      <c r="L655" s="6" t="s">
        <v>2077</v>
      </c>
    </row>
    <row r="656" ht="22.5" customHeight="1">
      <c r="A656" s="5">
        <v>46172.05367677083</v>
      </c>
      <c r="B656" s="6" t="s">
        <v>2078</v>
      </c>
      <c r="C656" s="6" t="s">
        <v>2079</v>
      </c>
      <c r="D656" s="3" t="str">
        <f t="shared" si="1"/>
        <v>AE-0655</v>
      </c>
      <c r="E656" s="3">
        <f t="array" ref="E656">IFERROR(XLOOKUP(D656,'Astronomy 101 Week 1 Quiz (Resp'!F:F,'Astronomy 101 Week 1 Quiz (Resp'!E:E),0)</f>
        <v>38</v>
      </c>
      <c r="F656" s="3" t="s">
        <v>14</v>
      </c>
      <c r="G656" s="3"/>
      <c r="H656" s="6">
        <v>9.934739013E9</v>
      </c>
      <c r="I656" s="6" t="s">
        <v>2080</v>
      </c>
      <c r="J656" s="6" t="s">
        <v>16</v>
      </c>
      <c r="K656" s="6" t="s">
        <v>82</v>
      </c>
    </row>
    <row r="657" ht="22.5" customHeight="1">
      <c r="A657" s="5">
        <v>46172.0566237037</v>
      </c>
      <c r="B657" s="6" t="s">
        <v>2081</v>
      </c>
      <c r="C657" s="6" t="s">
        <v>2082</v>
      </c>
      <c r="D657" s="3" t="str">
        <f t="shared" si="1"/>
        <v>AE-0656</v>
      </c>
      <c r="E657" s="3">
        <f t="array" ref="E657">IFERROR(XLOOKUP(D657,'Astronomy 101 Week 1 Quiz (Resp'!F:F,'Astronomy 101 Week 1 Quiz (Resp'!E:E),0)</f>
        <v>40</v>
      </c>
      <c r="F657" s="3" t="s">
        <v>14</v>
      </c>
      <c r="G657" s="3"/>
      <c r="H657" s="6">
        <v>9.958322114E9</v>
      </c>
      <c r="I657" s="6" t="s">
        <v>2083</v>
      </c>
      <c r="J657" s="6" t="s">
        <v>16</v>
      </c>
      <c r="K657" s="6" t="s">
        <v>47</v>
      </c>
      <c r="L657" s="6" t="s">
        <v>2084</v>
      </c>
    </row>
    <row r="658" ht="22.5" customHeight="1">
      <c r="A658" s="5">
        <v>46172.08216608796</v>
      </c>
      <c r="B658" s="6" t="s">
        <v>2085</v>
      </c>
      <c r="C658" s="6" t="s">
        <v>2086</v>
      </c>
      <c r="D658" s="3" t="str">
        <f t="shared" si="1"/>
        <v>AE-0657</v>
      </c>
      <c r="E658" s="3">
        <f t="array" ref="E658">IFERROR(XLOOKUP(D658,'Astronomy 101 Week 1 Quiz (Resp'!F:F,'Astronomy 101 Week 1 Quiz (Resp'!E:E),0)</f>
        <v>39</v>
      </c>
      <c r="F658" s="3" t="s">
        <v>14</v>
      </c>
      <c r="G658" s="3"/>
      <c r="H658" s="6">
        <v>8.922999816E9</v>
      </c>
      <c r="I658" s="6" t="s">
        <v>2087</v>
      </c>
      <c r="J658" s="6" t="s">
        <v>16</v>
      </c>
      <c r="K658" s="6" t="s">
        <v>17</v>
      </c>
      <c r="L658" s="6" t="s">
        <v>2088</v>
      </c>
    </row>
    <row r="659" ht="22.5" customHeight="1">
      <c r="A659" s="5">
        <v>46172.08411064815</v>
      </c>
      <c r="B659" s="6" t="s">
        <v>2089</v>
      </c>
      <c r="C659" s="6" t="s">
        <v>2090</v>
      </c>
      <c r="D659" s="3" t="str">
        <f t="shared" si="1"/>
        <v>AE-0658</v>
      </c>
      <c r="E659" s="3">
        <f t="array" ref="E659">IFERROR(XLOOKUP(D659,'Astronomy 101 Week 1 Quiz (Resp'!F:F,'Astronomy 101 Week 1 Quiz (Resp'!E:E),0)</f>
        <v>0</v>
      </c>
      <c r="F659" s="3" t="s">
        <v>14</v>
      </c>
      <c r="G659" s="3"/>
      <c r="H659" s="6">
        <v>7.417939743E9</v>
      </c>
      <c r="I659" s="6" t="s">
        <v>2091</v>
      </c>
      <c r="J659" s="6" t="s">
        <v>16</v>
      </c>
      <c r="K659" s="6" t="s">
        <v>17</v>
      </c>
      <c r="L659" s="6" t="s">
        <v>2092</v>
      </c>
    </row>
    <row r="660" ht="22.5" customHeight="1">
      <c r="A660" s="5">
        <v>46172.09398839121</v>
      </c>
      <c r="B660" s="6" t="s">
        <v>2093</v>
      </c>
      <c r="C660" s="6" t="s">
        <v>2094</v>
      </c>
      <c r="D660" s="3" t="str">
        <f t="shared" si="1"/>
        <v>AE-0659</v>
      </c>
      <c r="E660" s="3">
        <f t="array" ref="E660">IFERROR(XLOOKUP(D660,'Astronomy 101 Week 1 Quiz (Resp'!F:F,'Astronomy 101 Week 1 Quiz (Resp'!E:E),0)</f>
        <v>10</v>
      </c>
      <c r="F660" s="3" t="s">
        <v>14</v>
      </c>
      <c r="G660" s="3"/>
      <c r="H660" s="6">
        <v>7.821945422E9</v>
      </c>
      <c r="I660" s="6" t="s">
        <v>2095</v>
      </c>
      <c r="J660" s="6" t="s">
        <v>16</v>
      </c>
      <c r="K660" s="6" t="s">
        <v>61</v>
      </c>
      <c r="L660" s="6" t="s">
        <v>2096</v>
      </c>
    </row>
    <row r="661" ht="22.5" customHeight="1">
      <c r="A661" s="5">
        <v>46172.12206013889</v>
      </c>
      <c r="B661" s="6" t="s">
        <v>2097</v>
      </c>
      <c r="C661" s="6" t="s">
        <v>2098</v>
      </c>
      <c r="D661" s="3" t="str">
        <f t="shared" si="1"/>
        <v>AE-0660</v>
      </c>
      <c r="E661" s="3">
        <f t="array" ref="E661">IFERROR(XLOOKUP(D661,'Astronomy 101 Week 1 Quiz (Resp'!F:F,'Astronomy 101 Week 1 Quiz (Resp'!E:E),0)</f>
        <v>0</v>
      </c>
      <c r="F661" s="3" t="s">
        <v>14</v>
      </c>
      <c r="G661" s="3"/>
      <c r="H661" s="6">
        <v>6.362475116E9</v>
      </c>
      <c r="I661" s="6" t="s">
        <v>2057</v>
      </c>
      <c r="J661" s="6" t="s">
        <v>16</v>
      </c>
      <c r="K661" s="6" t="s">
        <v>25</v>
      </c>
    </row>
    <row r="662" ht="22.5" customHeight="1">
      <c r="A662" s="5">
        <v>46172.12660025463</v>
      </c>
      <c r="B662" s="6" t="s">
        <v>2099</v>
      </c>
      <c r="C662" s="6" t="s">
        <v>2100</v>
      </c>
      <c r="D662" s="3" t="str">
        <f t="shared" si="1"/>
        <v>AE-0661</v>
      </c>
      <c r="E662" s="3">
        <f t="array" ref="E662">IFERROR(XLOOKUP(D662,'Astronomy 101 Week 1 Quiz (Resp'!F:F,'Astronomy 101 Week 1 Quiz (Resp'!E:E),0)</f>
        <v>29</v>
      </c>
      <c r="F662" s="3" t="s">
        <v>14</v>
      </c>
      <c r="G662" s="3"/>
      <c r="H662" s="6">
        <v>9.748972656E9</v>
      </c>
      <c r="I662" s="6" t="s">
        <v>143</v>
      </c>
      <c r="J662" s="6" t="s">
        <v>33</v>
      </c>
      <c r="K662" s="6" t="s">
        <v>82</v>
      </c>
      <c r="L662" s="6" t="s">
        <v>2101</v>
      </c>
    </row>
    <row r="663" ht="22.5" customHeight="1">
      <c r="A663" s="5">
        <v>46172.1329905787</v>
      </c>
      <c r="B663" s="6" t="s">
        <v>2102</v>
      </c>
      <c r="C663" s="6" t="s">
        <v>2103</v>
      </c>
      <c r="D663" s="3" t="str">
        <f t="shared" si="1"/>
        <v>AE-0662</v>
      </c>
      <c r="E663" s="3">
        <f t="array" ref="E663">IFERROR(XLOOKUP(D663,'Astronomy 101 Week 1 Quiz (Resp'!F:F,'Astronomy 101 Week 1 Quiz (Resp'!E:E),0)</f>
        <v>0</v>
      </c>
      <c r="F663" s="3" t="s">
        <v>14</v>
      </c>
      <c r="G663" s="3"/>
      <c r="H663" s="6">
        <v>8.016278196E9</v>
      </c>
      <c r="I663" s="6" t="s">
        <v>1028</v>
      </c>
      <c r="J663" s="6" t="s">
        <v>16</v>
      </c>
      <c r="K663" s="6" t="s">
        <v>17</v>
      </c>
    </row>
    <row r="664" ht="22.5" customHeight="1">
      <c r="A664" s="5">
        <v>46172.15909976852</v>
      </c>
      <c r="B664" s="6" t="s">
        <v>2104</v>
      </c>
      <c r="C664" s="6" t="s">
        <v>2105</v>
      </c>
      <c r="D664" s="3" t="str">
        <f t="shared" si="1"/>
        <v>AE-0663</v>
      </c>
      <c r="E664" s="3">
        <f t="array" ref="E664">IFERROR(XLOOKUP(D664,'Astronomy 101 Week 1 Quiz (Resp'!F:F,'Astronomy 101 Week 1 Quiz (Resp'!E:E),0)</f>
        <v>0</v>
      </c>
      <c r="F664" s="3" t="s">
        <v>14</v>
      </c>
      <c r="G664" s="3"/>
      <c r="H664" s="6">
        <v>9.635439958E9</v>
      </c>
      <c r="I664" s="6" t="s">
        <v>1202</v>
      </c>
      <c r="J664" s="6" t="s">
        <v>16</v>
      </c>
      <c r="K664" s="6" t="s">
        <v>43</v>
      </c>
      <c r="L664" s="6" t="s">
        <v>2106</v>
      </c>
    </row>
    <row r="665" ht="22.5" customHeight="1">
      <c r="A665" s="5">
        <v>46172.25876831019</v>
      </c>
      <c r="B665" s="6" t="s">
        <v>2107</v>
      </c>
      <c r="C665" s="6" t="s">
        <v>2108</v>
      </c>
      <c r="D665" s="3" t="str">
        <f t="shared" si="1"/>
        <v>AE-0664</v>
      </c>
      <c r="E665" s="3">
        <f t="array" ref="E665">IFERROR(XLOOKUP(D665,'Astronomy 101 Week 1 Quiz (Resp'!F:F,'Astronomy 101 Week 1 Quiz (Resp'!E:E),0)</f>
        <v>0</v>
      </c>
      <c r="F665" s="3" t="s">
        <v>14</v>
      </c>
      <c r="G665" s="3"/>
      <c r="H665" s="6">
        <v>6.289670462E9</v>
      </c>
      <c r="I665" s="6" t="s">
        <v>1921</v>
      </c>
      <c r="J665" s="6" t="s">
        <v>16</v>
      </c>
      <c r="K665" s="6" t="s">
        <v>82</v>
      </c>
    </row>
    <row r="666" ht="22.5" customHeight="1">
      <c r="A666" s="5">
        <v>46172.2786525463</v>
      </c>
      <c r="B666" s="6" t="s">
        <v>2109</v>
      </c>
      <c r="C666" s="6" t="s">
        <v>2110</v>
      </c>
      <c r="D666" s="3" t="str">
        <f t="shared" si="1"/>
        <v>AE-0665</v>
      </c>
      <c r="E666" s="3">
        <f t="array" ref="E666">IFERROR(XLOOKUP(D666,'Astronomy 101 Week 1 Quiz (Resp'!F:F,'Astronomy 101 Week 1 Quiz (Resp'!E:E),0)</f>
        <v>0</v>
      </c>
      <c r="F666" s="3" t="s">
        <v>14</v>
      </c>
      <c r="G666" s="3"/>
      <c r="H666" s="6">
        <v>9.00248289E9</v>
      </c>
      <c r="I666" s="6" t="s">
        <v>2111</v>
      </c>
      <c r="J666" s="6" t="s">
        <v>16</v>
      </c>
      <c r="K666" s="6" t="s">
        <v>25</v>
      </c>
      <c r="L666" s="6" t="s">
        <v>2112</v>
      </c>
    </row>
    <row r="667" ht="22.5" customHeight="1">
      <c r="A667" s="5">
        <v>46172.282487592594</v>
      </c>
      <c r="B667" s="6" t="s">
        <v>2113</v>
      </c>
      <c r="C667" s="6" t="s">
        <v>2114</v>
      </c>
      <c r="D667" s="3" t="str">
        <f t="shared" si="1"/>
        <v>AE-0666</v>
      </c>
      <c r="E667" s="3">
        <f t="array" ref="E667">IFERROR(XLOOKUP(D667,'Astronomy 101 Week 1 Quiz (Resp'!F:F,'Astronomy 101 Week 1 Quiz (Resp'!E:E),0)</f>
        <v>44</v>
      </c>
      <c r="F667" s="3" t="s">
        <v>14</v>
      </c>
      <c r="G667" s="3"/>
      <c r="H667" s="6">
        <v>8.075872649E9</v>
      </c>
      <c r="I667" s="6" t="s">
        <v>344</v>
      </c>
      <c r="J667" s="6" t="s">
        <v>16</v>
      </c>
      <c r="K667" s="6" t="s">
        <v>43</v>
      </c>
    </row>
    <row r="668" ht="22.5" customHeight="1">
      <c r="A668" s="5">
        <v>46172.30101783565</v>
      </c>
      <c r="B668" s="6" t="s">
        <v>2115</v>
      </c>
      <c r="C668" s="6" t="s">
        <v>2116</v>
      </c>
      <c r="D668" s="3" t="str">
        <f t="shared" si="1"/>
        <v>AE-0667</v>
      </c>
      <c r="E668" s="3">
        <f t="array" ref="E668">IFERROR(XLOOKUP(D668,'Astronomy 101 Week 1 Quiz (Resp'!F:F,'Astronomy 101 Week 1 Quiz (Resp'!E:E),0)</f>
        <v>0</v>
      </c>
      <c r="F668" s="3" t="s">
        <v>14</v>
      </c>
      <c r="G668" s="3"/>
      <c r="H668" s="6">
        <v>9.31959707E9</v>
      </c>
      <c r="I668" s="6" t="s">
        <v>2083</v>
      </c>
      <c r="J668" s="6" t="s">
        <v>16</v>
      </c>
      <c r="K668" s="6" t="s">
        <v>17</v>
      </c>
    </row>
    <row r="669" ht="22.5" customHeight="1">
      <c r="A669" s="5">
        <v>46172.30248295139</v>
      </c>
      <c r="B669" s="6" t="s">
        <v>2117</v>
      </c>
      <c r="C669" s="6" t="s">
        <v>2118</v>
      </c>
      <c r="D669" s="3" t="str">
        <f t="shared" si="1"/>
        <v>AE-0668</v>
      </c>
      <c r="E669" s="3">
        <f t="array" ref="E669">IFERROR(XLOOKUP(D669,'Astronomy 101 Week 1 Quiz (Resp'!F:F,'Astronomy 101 Week 1 Quiz (Resp'!E:E),0)</f>
        <v>0</v>
      </c>
      <c r="F669" s="3" t="s">
        <v>14</v>
      </c>
      <c r="G669" s="3"/>
      <c r="H669" s="6">
        <v>6.003632177E9</v>
      </c>
      <c r="I669" s="6" t="s">
        <v>2119</v>
      </c>
      <c r="J669" s="6" t="s">
        <v>16</v>
      </c>
      <c r="K669" s="6" t="s">
        <v>43</v>
      </c>
      <c r="L669" s="6" t="s">
        <v>2120</v>
      </c>
    </row>
    <row r="670" ht="22.5" customHeight="1">
      <c r="A670" s="5">
        <v>46172.336649212964</v>
      </c>
      <c r="B670" s="6" t="s">
        <v>2121</v>
      </c>
      <c r="C670" s="6" t="s">
        <v>2122</v>
      </c>
      <c r="D670" s="3" t="str">
        <f t="shared" si="1"/>
        <v>AE-0669</v>
      </c>
      <c r="E670" s="3">
        <f t="array" ref="E670">IFERROR(XLOOKUP(D670,'Astronomy 101 Week 1 Quiz (Resp'!F:F,'Astronomy 101 Week 1 Quiz (Resp'!E:E),0)</f>
        <v>0</v>
      </c>
      <c r="F670" s="3" t="s">
        <v>14</v>
      </c>
      <c r="G670" s="3"/>
      <c r="H670" s="6">
        <v>6.371776313E9</v>
      </c>
      <c r="I670" s="6" t="s">
        <v>662</v>
      </c>
      <c r="J670" s="6" t="s">
        <v>16</v>
      </c>
      <c r="K670" s="6" t="s">
        <v>61</v>
      </c>
      <c r="L670" s="6" t="s">
        <v>2123</v>
      </c>
    </row>
    <row r="671" ht="22.5" customHeight="1">
      <c r="A671" s="5">
        <v>46172.3416783912</v>
      </c>
      <c r="B671" s="6" t="s">
        <v>2124</v>
      </c>
      <c r="C671" s="6" t="s">
        <v>2125</v>
      </c>
      <c r="D671" s="3" t="str">
        <f t="shared" si="1"/>
        <v>AE-0670</v>
      </c>
      <c r="E671" s="3">
        <f t="array" ref="E671">IFERROR(XLOOKUP(D671,'Astronomy 101 Week 1 Quiz (Resp'!F:F,'Astronomy 101 Week 1 Quiz (Resp'!E:E),0)</f>
        <v>0</v>
      </c>
      <c r="F671" s="3" t="s">
        <v>14</v>
      </c>
      <c r="G671" s="3"/>
      <c r="H671" s="6">
        <v>9.109192138E9</v>
      </c>
      <c r="I671" s="6" t="s">
        <v>2126</v>
      </c>
      <c r="J671" s="6" t="s">
        <v>16</v>
      </c>
      <c r="K671" s="6" t="s">
        <v>17</v>
      </c>
      <c r="L671" s="6" t="s">
        <v>2127</v>
      </c>
    </row>
    <row r="672" ht="22.5" customHeight="1">
      <c r="A672" s="5">
        <v>46172.3500296875</v>
      </c>
      <c r="B672" s="6" t="s">
        <v>2128</v>
      </c>
      <c r="C672" s="6" t="s">
        <v>2129</v>
      </c>
      <c r="D672" s="3" t="str">
        <f t="shared" si="1"/>
        <v>AE-0671</v>
      </c>
      <c r="E672" s="3">
        <f t="array" ref="E672">IFERROR(XLOOKUP(D672,'Astronomy 101 Week 1 Quiz (Resp'!F:F,'Astronomy 101 Week 1 Quiz (Resp'!E:E),0)</f>
        <v>0</v>
      </c>
      <c r="F672" s="3" t="s">
        <v>14</v>
      </c>
      <c r="G672" s="3"/>
      <c r="H672" s="6">
        <v>8.247385452E9</v>
      </c>
      <c r="I672" s="6" t="s">
        <v>15</v>
      </c>
      <c r="J672" s="6" t="s">
        <v>16</v>
      </c>
      <c r="K672" s="6" t="s">
        <v>47</v>
      </c>
      <c r="L672" s="6" t="s">
        <v>2130</v>
      </c>
    </row>
    <row r="673" ht="22.5" customHeight="1">
      <c r="A673" s="5">
        <v>46172.352515590275</v>
      </c>
      <c r="B673" s="6" t="s">
        <v>2131</v>
      </c>
      <c r="C673" s="6" t="s">
        <v>2132</v>
      </c>
      <c r="D673" s="3" t="str">
        <f t="shared" si="1"/>
        <v>AE-0672</v>
      </c>
      <c r="E673" s="3">
        <f t="array" ref="E673">IFERROR(XLOOKUP(D673,'Astronomy 101 Week 1 Quiz (Resp'!F:F,'Astronomy 101 Week 1 Quiz (Resp'!E:E),0)</f>
        <v>0</v>
      </c>
      <c r="F673" s="3" t="s">
        <v>14</v>
      </c>
      <c r="G673" s="3"/>
      <c r="H673" s="6">
        <v>7.990701759E9</v>
      </c>
      <c r="I673" s="6" t="s">
        <v>1856</v>
      </c>
      <c r="J673" s="6" t="s">
        <v>16</v>
      </c>
      <c r="K673" s="6" t="s">
        <v>17</v>
      </c>
      <c r="L673" s="6" t="s">
        <v>2133</v>
      </c>
    </row>
    <row r="674" ht="22.5" customHeight="1">
      <c r="A674" s="5">
        <v>46172.35491469907</v>
      </c>
      <c r="B674" s="6" t="s">
        <v>2134</v>
      </c>
      <c r="C674" s="6" t="s">
        <v>2135</v>
      </c>
      <c r="D674" s="3" t="str">
        <f t="shared" si="1"/>
        <v>AE-0673</v>
      </c>
      <c r="E674" s="3">
        <f t="array" ref="E674">IFERROR(XLOOKUP(D674,'Astronomy 101 Week 1 Quiz (Resp'!F:F,'Astronomy 101 Week 1 Quiz (Resp'!E:E),0)</f>
        <v>0</v>
      </c>
      <c r="F674" s="3" t="s">
        <v>14</v>
      </c>
      <c r="G674" s="3"/>
      <c r="H674" s="6">
        <v>7.410925735E9</v>
      </c>
      <c r="I674" s="6" t="s">
        <v>2136</v>
      </c>
      <c r="J674" s="6" t="s">
        <v>16</v>
      </c>
      <c r="K674" s="6" t="s">
        <v>61</v>
      </c>
      <c r="L674" s="6" t="s">
        <v>2137</v>
      </c>
    </row>
    <row r="675" ht="22.5" customHeight="1">
      <c r="A675" s="5">
        <v>46172.35643621528</v>
      </c>
      <c r="B675" s="6" t="s">
        <v>2138</v>
      </c>
      <c r="C675" s="6" t="s">
        <v>2139</v>
      </c>
      <c r="D675" s="3" t="str">
        <f t="shared" si="1"/>
        <v>AE-0674</v>
      </c>
      <c r="E675" s="3">
        <f t="array" ref="E675">IFERROR(XLOOKUP(D675,'Astronomy 101 Week 1 Quiz (Resp'!F:F,'Astronomy 101 Week 1 Quiz (Resp'!E:E),0)</f>
        <v>0</v>
      </c>
      <c r="F675" s="3" t="s">
        <v>14</v>
      </c>
      <c r="G675" s="3"/>
      <c r="H675" s="6">
        <v>8.509296213E9</v>
      </c>
      <c r="I675" s="6" t="s">
        <v>1902</v>
      </c>
      <c r="J675" s="6" t="s">
        <v>16</v>
      </c>
      <c r="K675" s="6" t="s">
        <v>61</v>
      </c>
    </row>
    <row r="676" ht="22.5" customHeight="1">
      <c r="A676" s="5">
        <v>46172.35953155093</v>
      </c>
      <c r="B676" s="6" t="s">
        <v>2140</v>
      </c>
      <c r="C676" s="6" t="s">
        <v>2141</v>
      </c>
      <c r="D676" s="3" t="str">
        <f t="shared" si="1"/>
        <v>AE-0675</v>
      </c>
      <c r="E676" s="3">
        <f t="array" ref="E676">IFERROR(XLOOKUP(D676,'Astronomy 101 Week 1 Quiz (Resp'!F:F,'Astronomy 101 Week 1 Quiz (Resp'!E:E),0)</f>
        <v>0</v>
      </c>
      <c r="F676" s="3" t="s">
        <v>14</v>
      </c>
      <c r="G676" s="3"/>
      <c r="H676" s="6">
        <v>9.930582642E9</v>
      </c>
      <c r="I676" s="6" t="s">
        <v>2142</v>
      </c>
      <c r="J676" s="6" t="s">
        <v>16</v>
      </c>
      <c r="K676" s="6" t="s">
        <v>17</v>
      </c>
      <c r="L676" s="6" t="s">
        <v>2143</v>
      </c>
    </row>
    <row r="677" ht="22.5" customHeight="1">
      <c r="A677" s="5">
        <v>46172.3626216088</v>
      </c>
      <c r="B677" s="6" t="s">
        <v>2144</v>
      </c>
      <c r="C677" s="6" t="s">
        <v>2145</v>
      </c>
      <c r="D677" s="3" t="str">
        <f t="shared" si="1"/>
        <v>AE-0676</v>
      </c>
      <c r="E677" s="3">
        <f t="array" ref="E677">IFERROR(XLOOKUP(D677,'Astronomy 101 Week 1 Quiz (Resp'!F:F,'Astronomy 101 Week 1 Quiz (Resp'!E:E),0)</f>
        <v>46</v>
      </c>
      <c r="F677" s="3" t="s">
        <v>14</v>
      </c>
      <c r="G677" s="3"/>
      <c r="H677" s="6">
        <v>8.178210259E9</v>
      </c>
      <c r="I677" s="6" t="s">
        <v>1838</v>
      </c>
      <c r="J677" s="6" t="s">
        <v>16</v>
      </c>
      <c r="K677" s="6" t="s">
        <v>82</v>
      </c>
      <c r="L677" s="6" t="s">
        <v>2146</v>
      </c>
    </row>
    <row r="678" ht="22.5" customHeight="1">
      <c r="A678" s="5">
        <v>46172.37009726852</v>
      </c>
      <c r="B678" s="6" t="s">
        <v>2147</v>
      </c>
      <c r="C678" s="6" t="s">
        <v>2148</v>
      </c>
      <c r="D678" s="3" t="str">
        <f t="shared" si="1"/>
        <v>AE-0677</v>
      </c>
      <c r="E678" s="3">
        <f t="array" ref="E678">IFERROR(XLOOKUP(D678,'Astronomy 101 Week 1 Quiz (Resp'!F:F,'Astronomy 101 Week 1 Quiz (Resp'!E:E),0)</f>
        <v>0</v>
      </c>
      <c r="F678" s="3" t="s">
        <v>14</v>
      </c>
      <c r="G678" s="3"/>
      <c r="H678" s="6">
        <v>8.884158142E9</v>
      </c>
      <c r="I678" s="6" t="s">
        <v>2149</v>
      </c>
      <c r="J678" s="6" t="s">
        <v>16</v>
      </c>
      <c r="K678" s="6" t="s">
        <v>61</v>
      </c>
      <c r="L678" s="6" t="s">
        <v>2150</v>
      </c>
    </row>
    <row r="679" ht="22.5" customHeight="1">
      <c r="A679" s="5">
        <v>46172.37507429398</v>
      </c>
      <c r="B679" s="6" t="s">
        <v>2151</v>
      </c>
      <c r="C679" s="6" t="s">
        <v>2152</v>
      </c>
      <c r="D679" s="3" t="str">
        <f t="shared" si="1"/>
        <v>AE-0678</v>
      </c>
      <c r="E679" s="3">
        <f t="array" ref="E679">IFERROR(XLOOKUP(D679,'Astronomy 101 Week 1 Quiz (Resp'!F:F,'Astronomy 101 Week 1 Quiz (Resp'!E:E),0)</f>
        <v>0</v>
      </c>
      <c r="F679" s="3" t="s">
        <v>14</v>
      </c>
      <c r="G679" s="3"/>
      <c r="H679" s="6">
        <v>6.370396509E9</v>
      </c>
      <c r="I679" s="6" t="s">
        <v>1158</v>
      </c>
      <c r="J679" s="6" t="s">
        <v>16</v>
      </c>
      <c r="K679" s="6" t="s">
        <v>17</v>
      </c>
      <c r="L679" s="6" t="s">
        <v>2153</v>
      </c>
    </row>
    <row r="680" ht="22.5" customHeight="1">
      <c r="A680" s="5">
        <v>46172.3776622338</v>
      </c>
      <c r="B680" s="6" t="s">
        <v>2154</v>
      </c>
      <c r="C680" s="6" t="s">
        <v>2155</v>
      </c>
      <c r="D680" s="3" t="str">
        <f t="shared" si="1"/>
        <v>AE-0679</v>
      </c>
      <c r="E680" s="3">
        <f t="array" ref="E680">IFERROR(XLOOKUP(D680,'Astronomy 101 Week 1 Quiz (Resp'!F:F,'Astronomy 101 Week 1 Quiz (Resp'!E:E),0)</f>
        <v>0</v>
      </c>
      <c r="F680" s="3" t="s">
        <v>14</v>
      </c>
      <c r="G680" s="3"/>
      <c r="H680" s="6">
        <v>9.6934534E9</v>
      </c>
      <c r="I680" s="6" t="s">
        <v>1917</v>
      </c>
      <c r="J680" s="6" t="s">
        <v>16</v>
      </c>
      <c r="K680" s="6" t="s">
        <v>61</v>
      </c>
    </row>
    <row r="681" ht="22.5" customHeight="1">
      <c r="A681" s="5">
        <v>46172.37936295139</v>
      </c>
      <c r="B681" s="6" t="s">
        <v>2156</v>
      </c>
      <c r="C681" s="6" t="s">
        <v>2157</v>
      </c>
      <c r="D681" s="3" t="str">
        <f t="shared" si="1"/>
        <v>AE-0680</v>
      </c>
      <c r="E681" s="3">
        <f t="array" ref="E681">IFERROR(XLOOKUP(D681,'Astronomy 101 Week 1 Quiz (Resp'!F:F,'Astronomy 101 Week 1 Quiz (Resp'!E:E),0)</f>
        <v>0</v>
      </c>
      <c r="F681" s="3" t="s">
        <v>14</v>
      </c>
      <c r="G681" s="3"/>
      <c r="H681" s="6">
        <v>9.922932552E9</v>
      </c>
      <c r="I681" s="6" t="s">
        <v>2158</v>
      </c>
      <c r="J681" s="6" t="s">
        <v>16</v>
      </c>
      <c r="K681" s="6" t="s">
        <v>47</v>
      </c>
      <c r="L681" s="6" t="s">
        <v>2159</v>
      </c>
    </row>
    <row r="682" ht="22.5" customHeight="1">
      <c r="A682" s="5">
        <v>46172.38401155092</v>
      </c>
      <c r="B682" s="6" t="s">
        <v>2160</v>
      </c>
      <c r="C682" s="6" t="s">
        <v>2161</v>
      </c>
      <c r="D682" s="3" t="str">
        <f t="shared" si="1"/>
        <v>AE-0681</v>
      </c>
      <c r="E682" s="3">
        <f t="array" ref="E682">IFERROR(XLOOKUP(D682,'Astronomy 101 Week 1 Quiz (Resp'!F:F,'Astronomy 101 Week 1 Quiz (Resp'!E:E),0)</f>
        <v>0</v>
      </c>
      <c r="F682" s="3" t="s">
        <v>14</v>
      </c>
      <c r="G682" s="3"/>
      <c r="H682" s="6">
        <v>7.668217642E9</v>
      </c>
      <c r="I682" s="6" t="s">
        <v>2162</v>
      </c>
      <c r="J682" s="6" t="s">
        <v>16</v>
      </c>
      <c r="K682" s="6" t="s">
        <v>47</v>
      </c>
    </row>
    <row r="683" ht="22.5" customHeight="1">
      <c r="A683" s="5">
        <v>46172.387523819445</v>
      </c>
      <c r="B683" s="6" t="s">
        <v>2163</v>
      </c>
      <c r="C683" s="6" t="s">
        <v>2164</v>
      </c>
      <c r="D683" s="3" t="str">
        <f t="shared" si="1"/>
        <v>AE-0682</v>
      </c>
      <c r="E683" s="3">
        <f t="array" ref="E683">IFERROR(XLOOKUP(D683,'Astronomy 101 Week 1 Quiz (Resp'!F:F,'Astronomy 101 Week 1 Quiz (Resp'!E:E),0)</f>
        <v>0</v>
      </c>
      <c r="F683" s="3" t="s">
        <v>14</v>
      </c>
      <c r="G683" s="3"/>
      <c r="H683" s="6">
        <v>9.856261273E9</v>
      </c>
      <c r="I683" s="6" t="s">
        <v>2165</v>
      </c>
      <c r="J683" s="6" t="s">
        <v>16</v>
      </c>
      <c r="K683" s="6" t="s">
        <v>61</v>
      </c>
      <c r="L683" s="6" t="s">
        <v>2166</v>
      </c>
    </row>
    <row r="684" ht="22.5" customHeight="1">
      <c r="A684" s="5">
        <v>46172.39272725694</v>
      </c>
      <c r="B684" s="6" t="s">
        <v>2167</v>
      </c>
      <c r="C684" s="6" t="s">
        <v>2168</v>
      </c>
      <c r="D684" s="3" t="str">
        <f t="shared" si="1"/>
        <v>AE-0683</v>
      </c>
      <c r="E684" s="3">
        <f t="array" ref="E684">IFERROR(XLOOKUP(D684,'Astronomy 101 Week 1 Quiz (Resp'!F:F,'Astronomy 101 Week 1 Quiz (Resp'!E:E),0)</f>
        <v>0</v>
      </c>
      <c r="F684" s="3" t="s">
        <v>14</v>
      </c>
      <c r="G684" s="3"/>
      <c r="H684" s="6">
        <v>8.948430128E9</v>
      </c>
      <c r="I684" s="6" t="s">
        <v>1378</v>
      </c>
      <c r="J684" s="6" t="s">
        <v>16</v>
      </c>
      <c r="K684" s="6" t="s">
        <v>17</v>
      </c>
    </row>
    <row r="685" ht="22.5" customHeight="1">
      <c r="A685" s="5">
        <v>46172.39368958333</v>
      </c>
      <c r="B685" s="6" t="s">
        <v>2169</v>
      </c>
      <c r="C685" s="6" t="s">
        <v>2170</v>
      </c>
      <c r="D685" s="3" t="str">
        <f t="shared" si="1"/>
        <v>AE-0684</v>
      </c>
      <c r="E685" s="3">
        <f t="array" ref="E685">IFERROR(XLOOKUP(D685,'Astronomy 101 Week 1 Quiz (Resp'!F:F,'Astronomy 101 Week 1 Quiz (Resp'!E:E),0)</f>
        <v>45</v>
      </c>
      <c r="F685" s="3" t="s">
        <v>14</v>
      </c>
      <c r="G685" s="3"/>
      <c r="H685" s="6">
        <v>8.595385734E9</v>
      </c>
      <c r="I685" s="6" t="s">
        <v>2171</v>
      </c>
      <c r="J685" s="6" t="s">
        <v>16</v>
      </c>
      <c r="K685" s="6" t="s">
        <v>17</v>
      </c>
      <c r="L685" s="6" t="s">
        <v>2172</v>
      </c>
    </row>
    <row r="686" ht="22.5" customHeight="1">
      <c r="A686" s="5">
        <v>46172.39456184028</v>
      </c>
      <c r="B686" s="6" t="s">
        <v>2173</v>
      </c>
      <c r="C686" s="6" t="s">
        <v>2174</v>
      </c>
      <c r="D686" s="3" t="str">
        <f t="shared" si="1"/>
        <v>AE-0685</v>
      </c>
      <c r="E686" s="3">
        <f t="array" ref="E686">IFERROR(XLOOKUP(D686,'Astronomy 101 Week 1 Quiz (Resp'!F:F,'Astronomy 101 Week 1 Quiz (Resp'!E:E),0)</f>
        <v>0</v>
      </c>
      <c r="F686" s="3" t="s">
        <v>14</v>
      </c>
      <c r="G686" s="3"/>
      <c r="H686" s="6">
        <v>7.907540463E9</v>
      </c>
      <c r="I686" s="6" t="s">
        <v>2175</v>
      </c>
      <c r="J686" s="6" t="s">
        <v>16</v>
      </c>
      <c r="K686" s="6" t="s">
        <v>17</v>
      </c>
    </row>
    <row r="687" ht="22.5" customHeight="1">
      <c r="A687" s="5">
        <v>46172.403346666666</v>
      </c>
      <c r="B687" s="6" t="s">
        <v>2176</v>
      </c>
      <c r="C687" s="6" t="s">
        <v>2177</v>
      </c>
      <c r="D687" s="3" t="str">
        <f t="shared" si="1"/>
        <v>AE-0686</v>
      </c>
      <c r="E687" s="3">
        <f t="array" ref="E687">IFERROR(XLOOKUP(D687,'Astronomy 101 Week 1 Quiz (Resp'!F:F,'Astronomy 101 Week 1 Quiz (Resp'!E:E),0)</f>
        <v>45</v>
      </c>
      <c r="F687" s="3" t="s">
        <v>14</v>
      </c>
      <c r="G687" s="3"/>
      <c r="H687" s="6">
        <v>8.838939298E9</v>
      </c>
      <c r="I687" s="6" t="s">
        <v>2178</v>
      </c>
      <c r="J687" s="6" t="s">
        <v>16</v>
      </c>
      <c r="K687" s="6" t="s">
        <v>17</v>
      </c>
      <c r="L687" s="6" t="s">
        <v>2179</v>
      </c>
    </row>
    <row r="688" ht="22.5" customHeight="1">
      <c r="A688" s="5">
        <v>46172.40763518518</v>
      </c>
      <c r="B688" s="6" t="s">
        <v>2180</v>
      </c>
      <c r="C688" s="6" t="s">
        <v>2181</v>
      </c>
      <c r="D688" s="3" t="str">
        <f t="shared" si="1"/>
        <v>AE-0687</v>
      </c>
      <c r="E688" s="3">
        <f t="array" ref="E688">IFERROR(XLOOKUP(D688,'Astronomy 101 Week 1 Quiz (Resp'!F:F,'Astronomy 101 Week 1 Quiz (Resp'!E:E),0)</f>
        <v>0</v>
      </c>
      <c r="F688" s="3" t="s">
        <v>14</v>
      </c>
      <c r="G688" s="3"/>
      <c r="H688" s="7" t="s">
        <v>2182</v>
      </c>
      <c r="I688" s="6" t="s">
        <v>2183</v>
      </c>
      <c r="J688" s="6" t="s">
        <v>16</v>
      </c>
      <c r="K688" s="6" t="s">
        <v>61</v>
      </c>
      <c r="L688" s="6" t="s">
        <v>2184</v>
      </c>
    </row>
    <row r="689" ht="22.5" customHeight="1">
      <c r="A689" s="5">
        <v>46172.411042754626</v>
      </c>
      <c r="B689" s="6" t="s">
        <v>2185</v>
      </c>
      <c r="C689" s="6" t="s">
        <v>2186</v>
      </c>
      <c r="D689" s="3" t="str">
        <f t="shared" si="1"/>
        <v>AE-0688</v>
      </c>
      <c r="E689" s="3">
        <f t="array" ref="E689">IFERROR(XLOOKUP(D689,'Astronomy 101 Week 1 Quiz (Resp'!F:F,'Astronomy 101 Week 1 Quiz (Resp'!E:E),0)</f>
        <v>0</v>
      </c>
      <c r="F689" s="3" t="s">
        <v>14</v>
      </c>
      <c r="G689" s="3"/>
      <c r="H689" s="6">
        <v>8.263959892E9</v>
      </c>
      <c r="I689" s="6" t="s">
        <v>2187</v>
      </c>
      <c r="J689" s="6" t="s">
        <v>16</v>
      </c>
      <c r="K689" s="6" t="s">
        <v>17</v>
      </c>
    </row>
    <row r="690" ht="22.5" customHeight="1">
      <c r="A690" s="5">
        <v>46172.4164875</v>
      </c>
      <c r="B690" s="6" t="s">
        <v>2188</v>
      </c>
      <c r="C690" s="6" t="s">
        <v>2189</v>
      </c>
      <c r="D690" s="3" t="str">
        <f t="shared" si="1"/>
        <v>AE-0689</v>
      </c>
      <c r="E690" s="3">
        <f t="array" ref="E690">IFERROR(XLOOKUP(D690,'Astronomy 101 Week 1 Quiz (Resp'!F:F,'Astronomy 101 Week 1 Quiz (Resp'!E:E),0)</f>
        <v>0</v>
      </c>
      <c r="F690" s="3" t="s">
        <v>14</v>
      </c>
      <c r="G690" s="3"/>
      <c r="H690" s="6">
        <v>7.569825455E9</v>
      </c>
      <c r="I690" s="6" t="s">
        <v>1080</v>
      </c>
      <c r="J690" s="6" t="s">
        <v>16</v>
      </c>
    </row>
    <row r="691" ht="22.5" customHeight="1">
      <c r="A691" s="5">
        <v>46172.41888370371</v>
      </c>
      <c r="B691" s="6" t="s">
        <v>2190</v>
      </c>
      <c r="C691" s="6" t="s">
        <v>2191</v>
      </c>
      <c r="D691" s="3" t="str">
        <f t="shared" si="1"/>
        <v>AE-0690</v>
      </c>
      <c r="E691" s="3">
        <f t="array" ref="E691">IFERROR(XLOOKUP(D691,'Astronomy 101 Week 1 Quiz (Resp'!F:F,'Astronomy 101 Week 1 Quiz (Resp'!E:E),0)</f>
        <v>0</v>
      </c>
      <c r="F691" s="3" t="s">
        <v>14</v>
      </c>
      <c r="G691" s="3"/>
      <c r="H691" s="6">
        <v>9.108240494E9</v>
      </c>
      <c r="I691" s="6" t="s">
        <v>2067</v>
      </c>
      <c r="J691" s="6" t="s">
        <v>16</v>
      </c>
      <c r="K691" s="6" t="s">
        <v>25</v>
      </c>
      <c r="L691" s="6" t="s">
        <v>1903</v>
      </c>
    </row>
    <row r="692" ht="22.5" customHeight="1">
      <c r="A692" s="5">
        <v>46172.421989270835</v>
      </c>
      <c r="B692" s="6" t="s">
        <v>2192</v>
      </c>
      <c r="C692" s="6" t="s">
        <v>2193</v>
      </c>
      <c r="D692" s="3" t="str">
        <f t="shared" si="1"/>
        <v>AE-0691</v>
      </c>
      <c r="E692" s="3">
        <f t="array" ref="E692">IFERROR(XLOOKUP(D692,'Astronomy 101 Week 1 Quiz (Resp'!F:F,'Astronomy 101 Week 1 Quiz (Resp'!E:E),0)</f>
        <v>0</v>
      </c>
      <c r="F692" s="3" t="s">
        <v>14</v>
      </c>
      <c r="G692" s="3"/>
      <c r="H692" s="6">
        <v>9.398838711E9</v>
      </c>
      <c r="I692" s="6" t="s">
        <v>1158</v>
      </c>
      <c r="J692" s="6" t="s">
        <v>16</v>
      </c>
      <c r="K692" s="6" t="s">
        <v>47</v>
      </c>
    </row>
    <row r="693" ht="22.5" customHeight="1">
      <c r="A693" s="5">
        <v>46172.42453746528</v>
      </c>
      <c r="B693" s="6" t="s">
        <v>2194</v>
      </c>
      <c r="C693" s="6" t="s">
        <v>2195</v>
      </c>
      <c r="D693" s="3" t="str">
        <f t="shared" si="1"/>
        <v>AE-0692</v>
      </c>
      <c r="E693" s="3">
        <f t="array" ref="E693">IFERROR(XLOOKUP(D693,'Astronomy 101 Week 1 Quiz (Resp'!F:F,'Astronomy 101 Week 1 Quiz (Resp'!E:E),0)</f>
        <v>0</v>
      </c>
      <c r="F693" s="3" t="s">
        <v>14</v>
      </c>
      <c r="G693" s="3"/>
      <c r="H693" s="6">
        <v>9.208792955E9</v>
      </c>
      <c r="I693" s="6" t="s">
        <v>2057</v>
      </c>
      <c r="J693" s="6" t="s">
        <v>16</v>
      </c>
      <c r="K693" s="6" t="s">
        <v>17</v>
      </c>
    </row>
    <row r="694" ht="22.5" customHeight="1">
      <c r="A694" s="5">
        <v>46172.43760524306</v>
      </c>
      <c r="B694" s="6" t="s">
        <v>2196</v>
      </c>
      <c r="C694" s="6" t="s">
        <v>2197</v>
      </c>
      <c r="D694" s="3" t="str">
        <f t="shared" si="1"/>
        <v>AE-0693</v>
      </c>
      <c r="E694" s="3">
        <f t="array" ref="E694">IFERROR(XLOOKUP(D694,'Astronomy 101 Week 1 Quiz (Resp'!F:F,'Astronomy 101 Week 1 Quiz (Resp'!E:E),0)</f>
        <v>44</v>
      </c>
      <c r="F694" s="3" t="s">
        <v>14</v>
      </c>
      <c r="G694" s="3"/>
      <c r="H694" s="6">
        <v>8.917299361E9</v>
      </c>
      <c r="I694" s="6" t="s">
        <v>2198</v>
      </c>
      <c r="J694" s="6" t="s">
        <v>16</v>
      </c>
      <c r="K694" s="6" t="s">
        <v>61</v>
      </c>
      <c r="L694" s="6" t="s">
        <v>2199</v>
      </c>
    </row>
    <row r="695" ht="22.5" customHeight="1">
      <c r="A695" s="5">
        <v>46172.44554054398</v>
      </c>
      <c r="B695" s="6" t="s">
        <v>2200</v>
      </c>
      <c r="C695" s="6" t="s">
        <v>2201</v>
      </c>
      <c r="D695" s="3" t="str">
        <f t="shared" si="1"/>
        <v>AE-0694</v>
      </c>
      <c r="E695" s="3">
        <f t="array" ref="E695">IFERROR(XLOOKUP(D695,'Astronomy 101 Week 1 Quiz (Resp'!F:F,'Astronomy 101 Week 1 Quiz (Resp'!E:E),0)</f>
        <v>44</v>
      </c>
      <c r="F695" s="3" t="s">
        <v>14</v>
      </c>
      <c r="G695" s="3"/>
      <c r="H695" s="6">
        <v>9.036560366E9</v>
      </c>
      <c r="I695" s="6" t="s">
        <v>2202</v>
      </c>
      <c r="J695" s="6" t="s">
        <v>16</v>
      </c>
      <c r="K695" s="6" t="s">
        <v>17</v>
      </c>
      <c r="L695" s="6" t="s">
        <v>2203</v>
      </c>
    </row>
    <row r="696" ht="22.5" customHeight="1">
      <c r="A696" s="5">
        <v>46172.45028197917</v>
      </c>
      <c r="B696" s="6" t="s">
        <v>2204</v>
      </c>
      <c r="C696" s="6" t="s">
        <v>2205</v>
      </c>
      <c r="D696" s="3" t="str">
        <f t="shared" si="1"/>
        <v>AE-0695</v>
      </c>
      <c r="E696" s="3">
        <f t="array" ref="E696">IFERROR(XLOOKUP(D696,'Astronomy 101 Week 1 Quiz (Resp'!F:F,'Astronomy 101 Week 1 Quiz (Resp'!E:E),0)</f>
        <v>0</v>
      </c>
      <c r="F696" s="3" t="s">
        <v>14</v>
      </c>
      <c r="G696" s="3"/>
      <c r="H696" s="6">
        <v>6.204303064E9</v>
      </c>
      <c r="I696" s="6" t="s">
        <v>64</v>
      </c>
      <c r="J696" s="6" t="s">
        <v>16</v>
      </c>
      <c r="K696" s="6" t="s">
        <v>17</v>
      </c>
    </row>
    <row r="697" ht="22.5" customHeight="1">
      <c r="A697" s="5">
        <v>46172.460050486116</v>
      </c>
      <c r="B697" s="6" t="s">
        <v>2206</v>
      </c>
      <c r="C697" s="6" t="s">
        <v>2207</v>
      </c>
      <c r="D697" s="3" t="str">
        <f t="shared" si="1"/>
        <v>AE-0696</v>
      </c>
      <c r="E697" s="3">
        <f t="array" ref="E697">IFERROR(XLOOKUP(D697,'Astronomy 101 Week 1 Quiz (Resp'!F:F,'Astronomy 101 Week 1 Quiz (Resp'!E:E),0)</f>
        <v>0</v>
      </c>
      <c r="F697" s="3" t="s">
        <v>14</v>
      </c>
      <c r="G697" s="3"/>
      <c r="H697" s="6">
        <v>8.40006254E9</v>
      </c>
      <c r="I697" s="6" t="s">
        <v>2208</v>
      </c>
      <c r="J697" s="6" t="s">
        <v>16</v>
      </c>
      <c r="K697" s="6" t="s">
        <v>61</v>
      </c>
      <c r="L697" s="6" t="s">
        <v>2209</v>
      </c>
    </row>
    <row r="698" ht="22.5" customHeight="1">
      <c r="A698" s="5">
        <v>46172.46284608796</v>
      </c>
      <c r="B698" s="6" t="s">
        <v>2210</v>
      </c>
      <c r="C698" s="6" t="s">
        <v>2211</v>
      </c>
      <c r="D698" s="3" t="str">
        <f t="shared" si="1"/>
        <v>AE-0697</v>
      </c>
      <c r="E698" s="3">
        <f t="array" ref="E698">IFERROR(XLOOKUP(D698,'Astronomy 101 Week 1 Quiz (Resp'!F:F,'Astronomy 101 Week 1 Quiz (Resp'!E:E),0)</f>
        <v>36</v>
      </c>
      <c r="F698" s="3" t="s">
        <v>14</v>
      </c>
      <c r="G698" s="3"/>
      <c r="H698" s="6">
        <v>7.276853124E9</v>
      </c>
      <c r="I698" s="6" t="s">
        <v>2212</v>
      </c>
      <c r="J698" s="6" t="s">
        <v>16</v>
      </c>
      <c r="K698" s="6" t="s">
        <v>25</v>
      </c>
      <c r="L698" s="6" t="s">
        <v>2213</v>
      </c>
    </row>
    <row r="699" ht="22.5" customHeight="1">
      <c r="A699" s="5">
        <v>46172.463886111116</v>
      </c>
      <c r="B699" s="6" t="s">
        <v>2214</v>
      </c>
      <c r="C699" s="6" t="s">
        <v>2215</v>
      </c>
      <c r="D699" s="3" t="str">
        <f t="shared" si="1"/>
        <v>AE-0698</v>
      </c>
      <c r="E699" s="3">
        <f t="array" ref="E699">IFERROR(XLOOKUP(D699,'Astronomy 101 Week 1 Quiz (Resp'!F:F,'Astronomy 101 Week 1 Quiz (Resp'!E:E),0)</f>
        <v>45</v>
      </c>
      <c r="F699" s="3" t="s">
        <v>14</v>
      </c>
      <c r="G699" s="3"/>
      <c r="H699" s="6">
        <v>9.080227279E9</v>
      </c>
      <c r="I699" s="6" t="s">
        <v>2216</v>
      </c>
      <c r="J699" s="6" t="s">
        <v>16</v>
      </c>
      <c r="K699" s="6" t="s">
        <v>17</v>
      </c>
    </row>
    <row r="700" ht="22.5" customHeight="1">
      <c r="A700" s="5">
        <v>46172.46505864583</v>
      </c>
      <c r="B700" s="6" t="s">
        <v>2217</v>
      </c>
      <c r="C700" s="6" t="s">
        <v>2218</v>
      </c>
      <c r="D700" s="3" t="str">
        <f t="shared" si="1"/>
        <v>AE-0699</v>
      </c>
      <c r="E700" s="3">
        <f t="array" ref="E700">IFERROR(XLOOKUP(D700,'Astronomy 101 Week 1 Quiz (Resp'!F:F,'Astronomy 101 Week 1 Quiz (Resp'!E:E),0)</f>
        <v>0</v>
      </c>
      <c r="F700" s="3" t="s">
        <v>14</v>
      </c>
      <c r="G700" s="3"/>
      <c r="H700" s="6">
        <v>9.958087887E9</v>
      </c>
      <c r="I700" s="6" t="s">
        <v>2219</v>
      </c>
      <c r="J700" s="6" t="s">
        <v>16</v>
      </c>
      <c r="K700" s="6" t="s">
        <v>17</v>
      </c>
      <c r="L700" s="6" t="s">
        <v>2220</v>
      </c>
    </row>
    <row r="701" ht="22.5" customHeight="1">
      <c r="A701" s="5">
        <v>46172.46706715278</v>
      </c>
      <c r="B701" s="6" t="s">
        <v>2221</v>
      </c>
      <c r="C701" s="6" t="s">
        <v>2222</v>
      </c>
      <c r="D701" s="3" t="str">
        <f t="shared" si="1"/>
        <v>AE-0700</v>
      </c>
      <c r="E701" s="3">
        <f t="array" ref="E701">IFERROR(XLOOKUP(D701,'Astronomy 101 Week 1 Quiz (Resp'!F:F,'Astronomy 101 Week 1 Quiz (Resp'!E:E),0)</f>
        <v>0</v>
      </c>
      <c r="F701" s="3" t="s">
        <v>14</v>
      </c>
      <c r="G701" s="3"/>
      <c r="H701" s="6">
        <v>9.992664045E9</v>
      </c>
      <c r="I701" s="6" t="s">
        <v>2171</v>
      </c>
      <c r="J701" s="6" t="s">
        <v>16</v>
      </c>
      <c r="K701" s="6" t="s">
        <v>47</v>
      </c>
      <c r="L701" s="6" t="s">
        <v>2223</v>
      </c>
    </row>
    <row r="702" ht="22.5" customHeight="1">
      <c r="A702" s="5">
        <v>46172.48826237269</v>
      </c>
      <c r="B702" s="6" t="s">
        <v>2224</v>
      </c>
      <c r="C702" s="6" t="s">
        <v>2225</v>
      </c>
      <c r="D702" s="3" t="str">
        <f t="shared" si="1"/>
        <v>AE-0701</v>
      </c>
      <c r="E702" s="3">
        <f t="array" ref="E702">IFERROR(XLOOKUP(D702,'Astronomy 101 Week 1 Quiz (Resp'!F:F,'Astronomy 101 Week 1 Quiz (Resp'!E:E),0)</f>
        <v>0</v>
      </c>
      <c r="F702" s="3" t="s">
        <v>14</v>
      </c>
      <c r="G702" s="3"/>
      <c r="H702" s="6">
        <v>7.674085485E9</v>
      </c>
      <c r="I702" s="6" t="s">
        <v>2226</v>
      </c>
      <c r="J702" s="6" t="s">
        <v>16</v>
      </c>
      <c r="K702" s="6" t="s">
        <v>43</v>
      </c>
      <c r="L702" s="6" t="s">
        <v>2227</v>
      </c>
    </row>
    <row r="703" ht="22.5" customHeight="1">
      <c r="A703" s="5">
        <v>46172.49819077546</v>
      </c>
      <c r="B703" s="6" t="s">
        <v>2228</v>
      </c>
      <c r="C703" s="6" t="s">
        <v>2229</v>
      </c>
      <c r="D703" s="3" t="str">
        <f t="shared" si="1"/>
        <v>AE-0702</v>
      </c>
      <c r="E703" s="3">
        <f t="array" ref="E703">IFERROR(XLOOKUP(D703,'Astronomy 101 Week 1 Quiz (Resp'!F:F,'Astronomy 101 Week 1 Quiz (Resp'!E:E),0)</f>
        <v>0</v>
      </c>
      <c r="F703" s="3" t="s">
        <v>14</v>
      </c>
      <c r="G703" s="3"/>
      <c r="H703" s="6">
        <v>8.102721237E9</v>
      </c>
      <c r="I703" s="6" t="s">
        <v>2230</v>
      </c>
      <c r="J703" s="6" t="s">
        <v>16</v>
      </c>
      <c r="K703" s="6" t="s">
        <v>17</v>
      </c>
    </row>
    <row r="704" ht="22.5" customHeight="1">
      <c r="A704" s="5">
        <v>46172.502667974535</v>
      </c>
      <c r="B704" s="6" t="s">
        <v>2231</v>
      </c>
      <c r="C704" s="6" t="s">
        <v>2232</v>
      </c>
      <c r="D704" s="3" t="str">
        <f t="shared" si="1"/>
        <v>AE-0703</v>
      </c>
      <c r="E704" s="3">
        <f t="array" ref="E704">IFERROR(XLOOKUP(D704,'Astronomy 101 Week 1 Quiz (Resp'!F:F,'Astronomy 101 Week 1 Quiz (Resp'!E:E),0)</f>
        <v>0</v>
      </c>
      <c r="F704" s="3" t="s">
        <v>14</v>
      </c>
      <c r="G704" s="3"/>
      <c r="H704" s="6">
        <v>9.935758304E9</v>
      </c>
      <c r="I704" s="6" t="s">
        <v>387</v>
      </c>
      <c r="J704" s="6" t="s">
        <v>16</v>
      </c>
      <c r="K704" s="6" t="s">
        <v>17</v>
      </c>
    </row>
    <row r="705" ht="22.5" customHeight="1">
      <c r="A705" s="5">
        <v>46172.50393466435</v>
      </c>
      <c r="B705" s="6" t="s">
        <v>2233</v>
      </c>
      <c r="C705" s="6" t="s">
        <v>2234</v>
      </c>
      <c r="D705" s="3" t="str">
        <f t="shared" si="1"/>
        <v>AE-0704</v>
      </c>
      <c r="E705" s="3">
        <f t="array" ref="E705">IFERROR(XLOOKUP(D705,'Astronomy 101 Week 1 Quiz (Resp'!F:F,'Astronomy 101 Week 1 Quiz (Resp'!E:E),0)</f>
        <v>0</v>
      </c>
      <c r="F705" s="3" t="s">
        <v>14</v>
      </c>
      <c r="G705" s="3"/>
      <c r="H705" s="6">
        <v>9.053745873E9</v>
      </c>
      <c r="I705" s="6" t="s">
        <v>429</v>
      </c>
      <c r="J705" s="6" t="s">
        <v>16</v>
      </c>
      <c r="K705" s="6" t="s">
        <v>61</v>
      </c>
      <c r="L705" s="6" t="s">
        <v>2235</v>
      </c>
    </row>
    <row r="706" ht="22.5" customHeight="1">
      <c r="A706" s="5">
        <v>46172.51855079861</v>
      </c>
      <c r="B706" s="6" t="s">
        <v>2236</v>
      </c>
      <c r="C706" s="6" t="s">
        <v>2237</v>
      </c>
      <c r="D706" s="3" t="str">
        <f t="shared" si="1"/>
        <v>AE-0705</v>
      </c>
      <c r="E706" s="3">
        <f t="array" ref="E706">IFERROR(XLOOKUP(D706,'Astronomy 101 Week 1 Quiz (Resp'!F:F,'Astronomy 101 Week 1 Quiz (Resp'!E:E),0)</f>
        <v>44</v>
      </c>
      <c r="F706" s="3" t="s">
        <v>14</v>
      </c>
      <c r="G706" s="3"/>
      <c r="H706" s="6">
        <v>8.415936891E9</v>
      </c>
      <c r="I706" s="6" t="s">
        <v>1028</v>
      </c>
      <c r="J706" s="6" t="s">
        <v>16</v>
      </c>
      <c r="K706" s="6" t="s">
        <v>17</v>
      </c>
      <c r="L706" s="6" t="s">
        <v>2238</v>
      </c>
    </row>
    <row r="707" ht="22.5" customHeight="1">
      <c r="A707" s="5">
        <v>46172.52132298611</v>
      </c>
      <c r="B707" s="6" t="s">
        <v>2239</v>
      </c>
      <c r="C707" s="6" t="s">
        <v>2240</v>
      </c>
      <c r="D707" s="3" t="str">
        <f t="shared" si="1"/>
        <v>AE-0706</v>
      </c>
      <c r="E707" s="3">
        <f t="array" ref="E707">IFERROR(XLOOKUP(D707,'Astronomy 101 Week 1 Quiz (Resp'!F:F,'Astronomy 101 Week 1 Quiz (Resp'!E:E),0)</f>
        <v>0</v>
      </c>
      <c r="F707" s="3" t="s">
        <v>14</v>
      </c>
      <c r="G707" s="3"/>
      <c r="H707" s="6">
        <v>7.811081759E9</v>
      </c>
      <c r="I707" s="6" t="s">
        <v>33</v>
      </c>
      <c r="J707" s="6" t="s">
        <v>16</v>
      </c>
      <c r="K707" s="6" t="s">
        <v>17</v>
      </c>
      <c r="L707" s="6" t="s">
        <v>2241</v>
      </c>
    </row>
    <row r="708" ht="22.5" customHeight="1">
      <c r="A708" s="5">
        <v>46172.52569216435</v>
      </c>
      <c r="B708" s="6" t="s">
        <v>2242</v>
      </c>
      <c r="C708" s="6" t="s">
        <v>2243</v>
      </c>
      <c r="D708" s="3" t="str">
        <f t="shared" si="1"/>
        <v>AE-0707</v>
      </c>
      <c r="E708" s="3">
        <f t="array" ref="E708">IFERROR(XLOOKUP(D708,'Astronomy 101 Week 1 Quiz (Resp'!F:F,'Astronomy 101 Week 1 Quiz (Resp'!E:E),0)</f>
        <v>0</v>
      </c>
      <c r="F708" s="3" t="s">
        <v>14</v>
      </c>
      <c r="G708" s="3"/>
      <c r="H708" s="6">
        <v>9.773391554E9</v>
      </c>
      <c r="I708" s="6" t="s">
        <v>2244</v>
      </c>
      <c r="J708" s="6" t="s">
        <v>16</v>
      </c>
      <c r="K708" s="6" t="s">
        <v>82</v>
      </c>
      <c r="L708" s="6" t="s">
        <v>2245</v>
      </c>
    </row>
    <row r="709" ht="22.5" customHeight="1">
      <c r="A709" s="5">
        <v>46172.53273407408</v>
      </c>
      <c r="B709" s="6" t="s">
        <v>2246</v>
      </c>
      <c r="C709" s="6" t="s">
        <v>2247</v>
      </c>
      <c r="D709" s="3" t="str">
        <f t="shared" si="1"/>
        <v>AE-0708</v>
      </c>
      <c r="E709" s="3">
        <f t="array" ref="E709">IFERROR(XLOOKUP(D709,'Astronomy 101 Week 1 Quiz (Resp'!F:F,'Astronomy 101 Week 1 Quiz (Resp'!E:E),0)</f>
        <v>0</v>
      </c>
      <c r="F709" s="3" t="s">
        <v>14</v>
      </c>
      <c r="G709" s="3"/>
      <c r="H709" s="6">
        <v>7.318893532E9</v>
      </c>
      <c r="I709" s="6" t="s">
        <v>683</v>
      </c>
      <c r="J709" s="6" t="s">
        <v>16</v>
      </c>
      <c r="K709" s="6" t="s">
        <v>82</v>
      </c>
    </row>
    <row r="710" ht="22.5" customHeight="1">
      <c r="A710" s="5">
        <v>46172.542631805554</v>
      </c>
      <c r="B710" s="6" t="s">
        <v>2248</v>
      </c>
      <c r="C710" s="6" t="s">
        <v>2249</v>
      </c>
      <c r="D710" s="3" t="str">
        <f t="shared" si="1"/>
        <v>AE-0709</v>
      </c>
      <c r="E710" s="3">
        <f t="array" ref="E710">IFERROR(XLOOKUP(D710,'Astronomy 101 Week 1 Quiz (Resp'!F:F,'Astronomy 101 Week 1 Quiz (Resp'!E:E),0)</f>
        <v>0</v>
      </c>
      <c r="F710" s="3" t="s">
        <v>14</v>
      </c>
      <c r="G710" s="3"/>
      <c r="H710" s="6">
        <v>9.365409914E9</v>
      </c>
      <c r="I710" s="6" t="s">
        <v>2250</v>
      </c>
      <c r="J710" s="6" t="s">
        <v>16</v>
      </c>
      <c r="K710" s="6" t="s">
        <v>17</v>
      </c>
    </row>
    <row r="711" ht="22.5" customHeight="1">
      <c r="A711" s="5">
        <v>46172.54316971065</v>
      </c>
      <c r="B711" s="6" t="s">
        <v>2251</v>
      </c>
      <c r="C711" s="6" t="s">
        <v>2252</v>
      </c>
      <c r="D711" s="3" t="str">
        <f t="shared" si="1"/>
        <v>AE-0710</v>
      </c>
      <c r="E711" s="3">
        <f t="array" ref="E711">IFERROR(XLOOKUP(D711,'Astronomy 101 Week 1 Quiz (Resp'!F:F,'Astronomy 101 Week 1 Quiz (Resp'!E:E),0)</f>
        <v>44</v>
      </c>
      <c r="F711" s="3" t="s">
        <v>14</v>
      </c>
      <c r="G711" s="3"/>
      <c r="H711" s="6">
        <v>9.013277899E9</v>
      </c>
      <c r="I711" s="6" t="s">
        <v>2253</v>
      </c>
      <c r="J711" s="6" t="s">
        <v>16</v>
      </c>
      <c r="K711" s="6" t="s">
        <v>17</v>
      </c>
    </row>
    <row r="712" ht="22.5" customHeight="1">
      <c r="A712" s="5">
        <v>46172.54766548611</v>
      </c>
      <c r="B712" s="6" t="s">
        <v>2254</v>
      </c>
      <c r="C712" s="6" t="s">
        <v>2255</v>
      </c>
      <c r="D712" s="3" t="str">
        <f t="shared" si="1"/>
        <v>AE-0711</v>
      </c>
      <c r="E712" s="3">
        <f t="array" ref="E712">IFERROR(XLOOKUP(D712,'Astronomy 101 Week 1 Quiz (Resp'!F:F,'Astronomy 101 Week 1 Quiz (Resp'!E:E),0)</f>
        <v>33</v>
      </c>
      <c r="F712" s="3" t="s">
        <v>14</v>
      </c>
      <c r="G712" s="3"/>
      <c r="H712" s="6">
        <v>8.105862076E9</v>
      </c>
      <c r="I712" s="6" t="s">
        <v>2256</v>
      </c>
      <c r="J712" s="6" t="s">
        <v>16</v>
      </c>
      <c r="K712" s="6" t="s">
        <v>21</v>
      </c>
    </row>
    <row r="713" ht="22.5" customHeight="1">
      <c r="A713" s="5">
        <v>46172.54987</v>
      </c>
      <c r="B713" s="6" t="s">
        <v>2257</v>
      </c>
      <c r="C713" s="6" t="s">
        <v>2258</v>
      </c>
      <c r="D713" s="3" t="str">
        <f t="shared" si="1"/>
        <v>AE-0712</v>
      </c>
      <c r="E713" s="3">
        <f t="array" ref="E713">IFERROR(XLOOKUP(D713,'Astronomy 101 Week 1 Quiz (Resp'!F:F,'Astronomy 101 Week 1 Quiz (Resp'!E:E),0)</f>
        <v>0</v>
      </c>
      <c r="F713" s="3" t="s">
        <v>14</v>
      </c>
      <c r="G713" s="3"/>
      <c r="H713" s="6">
        <v>9.907858041E9</v>
      </c>
      <c r="I713" s="6" t="s">
        <v>2259</v>
      </c>
      <c r="J713" s="6" t="s">
        <v>16</v>
      </c>
      <c r="K713" s="6" t="s">
        <v>82</v>
      </c>
      <c r="L713" s="6" t="s">
        <v>2260</v>
      </c>
    </row>
    <row r="714" ht="22.5" customHeight="1">
      <c r="A714" s="5">
        <v>46172.551183090276</v>
      </c>
      <c r="B714" s="6" t="s">
        <v>2261</v>
      </c>
      <c r="C714" s="6" t="s">
        <v>2262</v>
      </c>
      <c r="D714" s="3" t="str">
        <f t="shared" si="1"/>
        <v>AE-0713</v>
      </c>
      <c r="E714" s="3">
        <f t="array" ref="E714">IFERROR(XLOOKUP(D714,'Astronomy 101 Week 1 Quiz (Resp'!F:F,'Astronomy 101 Week 1 Quiz (Resp'!E:E),0)</f>
        <v>0</v>
      </c>
      <c r="F714" s="3" t="s">
        <v>14</v>
      </c>
      <c r="G714" s="3"/>
      <c r="H714" s="6">
        <v>7.86915096E9</v>
      </c>
      <c r="I714" s="6" t="s">
        <v>2263</v>
      </c>
      <c r="J714" s="6" t="s">
        <v>16</v>
      </c>
      <c r="K714" s="6" t="s">
        <v>82</v>
      </c>
    </row>
    <row r="715" ht="22.5" customHeight="1">
      <c r="A715" s="5">
        <v>46172.55253207176</v>
      </c>
      <c r="B715" s="6" t="s">
        <v>2264</v>
      </c>
      <c r="C715" s="6" t="s">
        <v>2265</v>
      </c>
      <c r="D715" s="3" t="str">
        <f t="shared" si="1"/>
        <v>AE-0714</v>
      </c>
      <c r="E715" s="3">
        <f t="array" ref="E715">IFERROR(XLOOKUP(D715,'Astronomy 101 Week 1 Quiz (Resp'!F:F,'Astronomy 101 Week 1 Quiz (Resp'!E:E),0)</f>
        <v>0</v>
      </c>
      <c r="F715" s="3" t="s">
        <v>14</v>
      </c>
      <c r="G715" s="3"/>
      <c r="H715" s="6">
        <v>9.284438726E9</v>
      </c>
      <c r="I715" s="6" t="s">
        <v>1090</v>
      </c>
      <c r="J715" s="6" t="s">
        <v>16</v>
      </c>
      <c r="K715" s="6" t="s">
        <v>47</v>
      </c>
      <c r="L715" s="6" t="s">
        <v>2266</v>
      </c>
    </row>
    <row r="716" ht="22.5" customHeight="1">
      <c r="A716" s="5">
        <v>46172.554416597224</v>
      </c>
      <c r="B716" s="6" t="s">
        <v>2267</v>
      </c>
      <c r="C716" s="6" t="s">
        <v>2268</v>
      </c>
      <c r="D716" s="3" t="str">
        <f t="shared" si="1"/>
        <v>AE-0715</v>
      </c>
      <c r="E716" s="3">
        <f t="array" ref="E716">IFERROR(XLOOKUP(D716,'Astronomy 101 Week 1 Quiz (Resp'!F:F,'Astronomy 101 Week 1 Quiz (Resp'!E:E),0)</f>
        <v>0</v>
      </c>
      <c r="F716" s="3" t="s">
        <v>14</v>
      </c>
      <c r="G716" s="3"/>
      <c r="H716" s="6">
        <v>9.03985308E9</v>
      </c>
      <c r="I716" s="6" t="s">
        <v>2269</v>
      </c>
      <c r="J716" s="6" t="s">
        <v>16</v>
      </c>
      <c r="K716" s="6" t="s">
        <v>17</v>
      </c>
      <c r="L716" s="6" t="s">
        <v>2270</v>
      </c>
    </row>
    <row r="717" ht="22.5" customHeight="1">
      <c r="A717" s="5">
        <v>46172.56200961806</v>
      </c>
      <c r="B717" s="6" t="s">
        <v>2271</v>
      </c>
      <c r="C717" s="6" t="s">
        <v>2272</v>
      </c>
      <c r="D717" s="3" t="str">
        <f t="shared" si="1"/>
        <v>AE-0716</v>
      </c>
      <c r="E717" s="3">
        <f t="array" ref="E717">IFERROR(XLOOKUP(D717,'Astronomy 101 Week 1 Quiz (Resp'!F:F,'Astronomy 101 Week 1 Quiz (Resp'!E:E),0)</f>
        <v>0</v>
      </c>
      <c r="F717" s="3" t="s">
        <v>14</v>
      </c>
      <c r="G717" s="3"/>
      <c r="H717" s="6">
        <v>9.475707109E9</v>
      </c>
      <c r="I717" s="6" t="s">
        <v>2273</v>
      </c>
      <c r="J717" s="6" t="s">
        <v>16</v>
      </c>
      <c r="K717" s="6" t="s">
        <v>61</v>
      </c>
      <c r="L717" s="6" t="s">
        <v>2274</v>
      </c>
    </row>
    <row r="718" ht="22.5" customHeight="1">
      <c r="A718" s="5">
        <v>46172.56519971065</v>
      </c>
      <c r="B718" s="6" t="s">
        <v>2275</v>
      </c>
      <c r="C718" s="6" t="s">
        <v>2276</v>
      </c>
      <c r="D718" s="3" t="str">
        <f t="shared" si="1"/>
        <v>AE-0717</v>
      </c>
      <c r="E718" s="3">
        <f t="array" ref="E718">IFERROR(XLOOKUP(D718,'Astronomy 101 Week 1 Quiz (Resp'!F:F,'Astronomy 101 Week 1 Quiz (Resp'!E:E),0)</f>
        <v>43</v>
      </c>
      <c r="F718" s="3" t="s">
        <v>14</v>
      </c>
      <c r="G718" s="3"/>
      <c r="H718" s="6">
        <v>9.391700567E9</v>
      </c>
      <c r="I718" s="6" t="s">
        <v>2149</v>
      </c>
      <c r="J718" s="6" t="s">
        <v>16</v>
      </c>
      <c r="K718" s="6" t="s">
        <v>17</v>
      </c>
    </row>
    <row r="719" ht="22.5" customHeight="1">
      <c r="A719" s="5">
        <v>46172.56564429398</v>
      </c>
      <c r="B719" s="6" t="s">
        <v>2277</v>
      </c>
      <c r="C719" s="6" t="s">
        <v>2278</v>
      </c>
      <c r="D719" s="3" t="str">
        <f t="shared" si="1"/>
        <v>AE-0718</v>
      </c>
      <c r="E719" s="3">
        <f t="array" ref="E719">IFERROR(XLOOKUP(D719,'Astronomy 101 Week 1 Quiz (Resp'!F:F,'Astronomy 101 Week 1 Quiz (Resp'!E:E),0)</f>
        <v>0</v>
      </c>
      <c r="F719" s="3" t="s">
        <v>14</v>
      </c>
      <c r="G719" s="3"/>
      <c r="H719" s="6">
        <v>6.002145107E9</v>
      </c>
      <c r="I719" s="6" t="s">
        <v>2279</v>
      </c>
      <c r="J719" s="6" t="s">
        <v>16</v>
      </c>
      <c r="K719" s="6" t="s">
        <v>17</v>
      </c>
      <c r="L719" s="6" t="s">
        <v>2280</v>
      </c>
    </row>
    <row r="720" ht="22.5" customHeight="1">
      <c r="A720" s="5">
        <v>46172.566668900465</v>
      </c>
      <c r="B720" s="6" t="s">
        <v>2281</v>
      </c>
      <c r="C720" s="6" t="s">
        <v>2282</v>
      </c>
      <c r="D720" s="3" t="str">
        <f t="shared" si="1"/>
        <v>AE-0719</v>
      </c>
      <c r="E720" s="3">
        <f t="array" ref="E720">IFERROR(XLOOKUP(D720,'Astronomy 101 Week 1 Quiz (Resp'!F:F,'Astronomy 101 Week 1 Quiz (Resp'!E:E),0)</f>
        <v>44</v>
      </c>
      <c r="F720" s="3" t="s">
        <v>14</v>
      </c>
      <c r="G720" s="3"/>
      <c r="H720" s="6">
        <v>9.327873592E9</v>
      </c>
      <c r="I720" s="6" t="s">
        <v>2283</v>
      </c>
      <c r="J720" s="6" t="s">
        <v>16</v>
      </c>
      <c r="K720" s="6" t="s">
        <v>17</v>
      </c>
      <c r="L720" s="6" t="s">
        <v>2284</v>
      </c>
    </row>
    <row r="721" ht="22.5" customHeight="1">
      <c r="A721" s="5">
        <v>46172.572679606485</v>
      </c>
      <c r="B721" s="6" t="s">
        <v>2285</v>
      </c>
      <c r="C721" s="6" t="s">
        <v>2286</v>
      </c>
      <c r="D721" s="3" t="str">
        <f t="shared" si="1"/>
        <v>AE-0720</v>
      </c>
      <c r="E721" s="3">
        <f t="array" ref="E721">IFERROR(XLOOKUP(D721,'Astronomy 101 Week 1 Quiz (Resp'!F:F,'Astronomy 101 Week 1 Quiz (Resp'!E:E),0)</f>
        <v>0</v>
      </c>
      <c r="F721" s="3" t="s">
        <v>14</v>
      </c>
      <c r="G721" s="3"/>
      <c r="H721" s="6">
        <v>9.556699402E9</v>
      </c>
      <c r="I721" s="6" t="s">
        <v>73</v>
      </c>
      <c r="J721" s="6" t="s">
        <v>16</v>
      </c>
      <c r="K721" s="6" t="s">
        <v>17</v>
      </c>
      <c r="L721" s="6" t="s">
        <v>2287</v>
      </c>
    </row>
    <row r="722" ht="22.5" customHeight="1">
      <c r="A722" s="5">
        <v>46172.572989849534</v>
      </c>
      <c r="B722" s="6" t="s">
        <v>2288</v>
      </c>
      <c r="C722" s="6" t="s">
        <v>2289</v>
      </c>
      <c r="D722" s="3" t="str">
        <f t="shared" si="1"/>
        <v>AE-0721</v>
      </c>
      <c r="E722" s="3">
        <f t="array" ref="E722">IFERROR(XLOOKUP(D722,'Astronomy 101 Week 1 Quiz (Resp'!F:F,'Astronomy 101 Week 1 Quiz (Resp'!E:E),0)</f>
        <v>0</v>
      </c>
      <c r="F722" s="3" t="s">
        <v>14</v>
      </c>
      <c r="G722" s="3"/>
      <c r="H722" s="6">
        <v>9.474844737E9</v>
      </c>
      <c r="I722" s="6" t="s">
        <v>2290</v>
      </c>
      <c r="J722" s="6" t="s">
        <v>16</v>
      </c>
      <c r="K722" s="6" t="s">
        <v>82</v>
      </c>
      <c r="L722" s="6" t="s">
        <v>274</v>
      </c>
    </row>
    <row r="723" ht="22.5" customHeight="1">
      <c r="A723" s="5">
        <v>46172.574455208334</v>
      </c>
      <c r="B723" s="6" t="s">
        <v>2291</v>
      </c>
      <c r="C723" s="6" t="s">
        <v>2292</v>
      </c>
      <c r="D723" s="3" t="str">
        <f t="shared" si="1"/>
        <v>AE-0722</v>
      </c>
      <c r="E723" s="3">
        <f t="array" ref="E723">IFERROR(XLOOKUP(D723,'Astronomy 101 Week 1 Quiz (Resp'!F:F,'Astronomy 101 Week 1 Quiz (Resp'!E:E),0)</f>
        <v>14</v>
      </c>
      <c r="F723" s="3" t="s">
        <v>14</v>
      </c>
      <c r="G723" s="3"/>
      <c r="H723" s="6" t="s">
        <v>2293</v>
      </c>
      <c r="I723" s="6" t="s">
        <v>2294</v>
      </c>
      <c r="J723" s="6" t="s">
        <v>16</v>
      </c>
      <c r="K723" s="6" t="s">
        <v>47</v>
      </c>
      <c r="L723" s="6" t="s">
        <v>2295</v>
      </c>
    </row>
    <row r="724" ht="22.5" customHeight="1">
      <c r="A724" s="5">
        <v>46172.61216725694</v>
      </c>
      <c r="B724" s="6" t="s">
        <v>2296</v>
      </c>
      <c r="C724" s="6" t="s">
        <v>2297</v>
      </c>
      <c r="D724" s="3" t="str">
        <f t="shared" si="1"/>
        <v>AE-0723</v>
      </c>
      <c r="E724" s="3">
        <f t="array" ref="E724">IFERROR(XLOOKUP(D724,'Astronomy 101 Week 1 Quiz (Resp'!F:F,'Astronomy 101 Week 1 Quiz (Resp'!E:E),0)</f>
        <v>21</v>
      </c>
      <c r="F724" s="3" t="s">
        <v>14</v>
      </c>
      <c r="G724" s="3"/>
      <c r="H724" s="6">
        <v>7.008045294E9</v>
      </c>
      <c r="I724" s="6" t="s">
        <v>662</v>
      </c>
      <c r="J724" s="6" t="s">
        <v>16</v>
      </c>
      <c r="K724" s="6" t="s">
        <v>61</v>
      </c>
      <c r="L724" s="6" t="s">
        <v>2298</v>
      </c>
    </row>
    <row r="725" ht="22.5" customHeight="1">
      <c r="A725" s="5">
        <v>46172.62886355324</v>
      </c>
      <c r="B725" s="6" t="s">
        <v>2299</v>
      </c>
      <c r="C725" s="6" t="s">
        <v>2300</v>
      </c>
      <c r="D725" s="3" t="str">
        <f t="shared" si="1"/>
        <v>AE-0724</v>
      </c>
      <c r="E725" s="3">
        <f t="array" ref="E725">IFERROR(XLOOKUP(D725,'Astronomy 101 Week 1 Quiz (Resp'!F:F,'Astronomy 101 Week 1 Quiz (Resp'!E:E),0)</f>
        <v>0</v>
      </c>
      <c r="F725" s="3" t="s">
        <v>14</v>
      </c>
      <c r="G725" s="3"/>
      <c r="H725" s="6">
        <v>8.388983974E9</v>
      </c>
      <c r="I725" s="6" t="s">
        <v>2301</v>
      </c>
      <c r="J725" s="6" t="s">
        <v>16</v>
      </c>
      <c r="K725" s="6" t="s">
        <v>17</v>
      </c>
      <c r="L725" s="6" t="s">
        <v>2302</v>
      </c>
    </row>
    <row r="726" ht="22.5" customHeight="1">
      <c r="A726" s="5">
        <v>46172.632409259255</v>
      </c>
      <c r="B726" s="6" t="s">
        <v>1231</v>
      </c>
      <c r="C726" s="6" t="s">
        <v>2303</v>
      </c>
      <c r="D726" s="3" t="str">
        <f t="shared" si="1"/>
        <v>AE-0725</v>
      </c>
      <c r="E726" s="3">
        <f t="array" ref="E726">IFERROR(XLOOKUP(D726,'Astronomy 101 Week 1 Quiz (Resp'!F:F,'Astronomy 101 Week 1 Quiz (Resp'!E:E),0)</f>
        <v>28</v>
      </c>
      <c r="F726" s="3" t="s">
        <v>14</v>
      </c>
      <c r="G726" s="3"/>
      <c r="H726" s="6">
        <v>7.778914384E9</v>
      </c>
      <c r="I726" s="6" t="s">
        <v>2304</v>
      </c>
      <c r="J726" s="6" t="s">
        <v>33</v>
      </c>
      <c r="K726" s="6" t="s">
        <v>82</v>
      </c>
    </row>
    <row r="727" ht="22.5" customHeight="1">
      <c r="A727" s="5">
        <v>46172.635728043984</v>
      </c>
      <c r="B727" s="6" t="s">
        <v>2305</v>
      </c>
      <c r="C727" s="6" t="s">
        <v>2306</v>
      </c>
      <c r="D727" s="3" t="str">
        <f t="shared" si="1"/>
        <v>AE-0726</v>
      </c>
      <c r="E727" s="3">
        <f t="array" ref="E727">IFERROR(XLOOKUP(D727,'Astronomy 101 Week 1 Quiz (Resp'!F:F,'Astronomy 101 Week 1 Quiz (Resp'!E:E),0)</f>
        <v>0</v>
      </c>
      <c r="F727" s="3" t="s">
        <v>14</v>
      </c>
      <c r="G727" s="3"/>
      <c r="H727" s="6">
        <v>7.568164924E9</v>
      </c>
      <c r="I727" s="6" t="s">
        <v>2307</v>
      </c>
      <c r="J727" s="6" t="s">
        <v>16</v>
      </c>
      <c r="K727" s="6" t="s">
        <v>82</v>
      </c>
      <c r="L727" s="6" t="s">
        <v>2308</v>
      </c>
    </row>
    <row r="728" ht="22.5" customHeight="1">
      <c r="A728" s="5">
        <v>46172.646256493055</v>
      </c>
      <c r="B728" s="6" t="s">
        <v>2309</v>
      </c>
      <c r="C728" s="6" t="s">
        <v>2310</v>
      </c>
      <c r="D728" s="3" t="str">
        <f t="shared" si="1"/>
        <v>AE-0727</v>
      </c>
      <c r="E728" s="3">
        <f t="array" ref="E728">IFERROR(XLOOKUP(D728,'Astronomy 101 Week 1 Quiz (Resp'!F:F,'Astronomy 101 Week 1 Quiz (Resp'!E:E),0)</f>
        <v>0</v>
      </c>
      <c r="F728" s="3" t="s">
        <v>14</v>
      </c>
      <c r="G728" s="3"/>
      <c r="H728" s="6">
        <v>9.620333084E9</v>
      </c>
      <c r="I728" s="6" t="s">
        <v>2311</v>
      </c>
      <c r="J728" s="6" t="s">
        <v>16</v>
      </c>
      <c r="K728" s="6" t="s">
        <v>61</v>
      </c>
    </row>
    <row r="729" ht="22.5" customHeight="1">
      <c r="A729" s="5">
        <v>46172.64645346065</v>
      </c>
      <c r="B729" s="6" t="s">
        <v>2312</v>
      </c>
      <c r="C729" s="6" t="s">
        <v>2313</v>
      </c>
      <c r="D729" s="3" t="str">
        <f t="shared" si="1"/>
        <v>AE-0728</v>
      </c>
      <c r="E729" s="3">
        <f t="array" ref="E729">IFERROR(XLOOKUP(D729,'Astronomy 101 Week 1 Quiz (Resp'!F:F,'Astronomy 101 Week 1 Quiz (Resp'!E:E),0)</f>
        <v>0</v>
      </c>
      <c r="F729" s="3" t="s">
        <v>14</v>
      </c>
      <c r="G729" s="3"/>
      <c r="H729" s="6">
        <v>6.392365187E9</v>
      </c>
      <c r="I729" s="6" t="s">
        <v>64</v>
      </c>
      <c r="J729" s="6" t="s">
        <v>16</v>
      </c>
      <c r="K729" s="6" t="s">
        <v>25</v>
      </c>
    </row>
    <row r="730" ht="22.5" customHeight="1">
      <c r="A730" s="5">
        <v>46172.652619120374</v>
      </c>
      <c r="B730" s="6" t="s">
        <v>2314</v>
      </c>
      <c r="C730" s="6" t="s">
        <v>2315</v>
      </c>
      <c r="D730" s="3" t="str">
        <f t="shared" si="1"/>
        <v>AE-0729</v>
      </c>
      <c r="E730" s="3">
        <f t="array" ref="E730">IFERROR(XLOOKUP(D730,'Astronomy 101 Week 1 Quiz (Resp'!F:F,'Astronomy 101 Week 1 Quiz (Resp'!E:E),0)</f>
        <v>45</v>
      </c>
      <c r="F730" s="3" t="s">
        <v>14</v>
      </c>
      <c r="G730" s="3"/>
      <c r="H730" s="6">
        <v>6.204371419E9</v>
      </c>
      <c r="I730" s="6" t="s">
        <v>2316</v>
      </c>
      <c r="J730" s="6" t="s">
        <v>16</v>
      </c>
      <c r="K730" s="6" t="s">
        <v>17</v>
      </c>
      <c r="L730" s="6" t="s">
        <v>2317</v>
      </c>
    </row>
    <row r="731" ht="22.5" customHeight="1">
      <c r="A731" s="5">
        <v>46172.676697002316</v>
      </c>
      <c r="B731" s="6" t="s">
        <v>2318</v>
      </c>
      <c r="C731" s="6" t="s">
        <v>2319</v>
      </c>
      <c r="D731" s="3" t="str">
        <f t="shared" si="1"/>
        <v>AE-0730</v>
      </c>
      <c r="E731" s="3">
        <f t="array" ref="E731">IFERROR(XLOOKUP(D731,'Astronomy 101 Week 1 Quiz (Resp'!F:F,'Astronomy 101 Week 1 Quiz (Resp'!E:E),0)</f>
        <v>0</v>
      </c>
      <c r="F731" s="3" t="s">
        <v>14</v>
      </c>
      <c r="G731" s="3"/>
      <c r="H731" s="6">
        <v>7.032227577E9</v>
      </c>
      <c r="I731" s="6" t="s">
        <v>29</v>
      </c>
      <c r="J731" s="6" t="s">
        <v>16</v>
      </c>
      <c r="K731" s="6" t="s">
        <v>17</v>
      </c>
    </row>
    <row r="732" ht="22.5" customHeight="1">
      <c r="A732" s="5">
        <v>46172.691272303244</v>
      </c>
      <c r="B732" s="6" t="s">
        <v>2320</v>
      </c>
      <c r="C732" s="6" t="s">
        <v>2321</v>
      </c>
      <c r="D732" s="3" t="str">
        <f t="shared" si="1"/>
        <v>AE-0731</v>
      </c>
      <c r="E732" s="3">
        <f t="array" ref="E732">IFERROR(XLOOKUP(D732,'Astronomy 101 Week 1 Quiz (Resp'!F:F,'Astronomy 101 Week 1 Quiz (Resp'!E:E),0)</f>
        <v>0</v>
      </c>
      <c r="F732" s="3" t="s">
        <v>14</v>
      </c>
      <c r="G732" s="3"/>
      <c r="H732" s="6">
        <v>8.739955615E9</v>
      </c>
      <c r="I732" s="6" t="s">
        <v>2322</v>
      </c>
      <c r="J732" s="6" t="s">
        <v>16</v>
      </c>
      <c r="K732" s="6" t="s">
        <v>25</v>
      </c>
    </row>
    <row r="733" ht="22.5" customHeight="1">
      <c r="A733" s="5">
        <v>46172.69177273149</v>
      </c>
      <c r="B733" s="6" t="s">
        <v>2323</v>
      </c>
      <c r="C733" s="6" t="s">
        <v>2324</v>
      </c>
      <c r="D733" s="3" t="str">
        <f t="shared" si="1"/>
        <v>AE-0732</v>
      </c>
      <c r="E733" s="3">
        <f t="array" ref="E733">IFERROR(XLOOKUP(D733,'Astronomy 101 Week 1 Quiz (Resp'!F:F,'Astronomy 101 Week 1 Quiz (Resp'!E:E),0)</f>
        <v>0</v>
      </c>
      <c r="F733" s="3" t="s">
        <v>14</v>
      </c>
      <c r="G733" s="3"/>
      <c r="H733" s="6">
        <v>8.920018783E9</v>
      </c>
      <c r="I733" s="6" t="s">
        <v>2325</v>
      </c>
      <c r="J733" s="6" t="s">
        <v>16</v>
      </c>
      <c r="K733" s="6" t="s">
        <v>17</v>
      </c>
      <c r="L733" s="6" t="s">
        <v>2326</v>
      </c>
    </row>
    <row r="734" ht="22.5" customHeight="1">
      <c r="A734" s="5">
        <v>46172.691797569445</v>
      </c>
      <c r="B734" s="6" t="s">
        <v>2327</v>
      </c>
      <c r="C734" s="6" t="s">
        <v>2328</v>
      </c>
      <c r="D734" s="3" t="str">
        <f t="shared" si="1"/>
        <v>AE-0733</v>
      </c>
      <c r="E734" s="3">
        <f t="array" ref="E734">IFERROR(XLOOKUP(D734,'Astronomy 101 Week 1 Quiz (Resp'!F:F,'Astronomy 101 Week 1 Quiz (Resp'!E:E),0)</f>
        <v>0</v>
      </c>
      <c r="F734" s="3" t="s">
        <v>14</v>
      </c>
      <c r="G734" s="3"/>
      <c r="H734" s="6">
        <v>8.129371899E9</v>
      </c>
      <c r="I734" s="6" t="s">
        <v>2329</v>
      </c>
      <c r="J734" s="6" t="s">
        <v>16</v>
      </c>
      <c r="K734" s="6" t="s">
        <v>25</v>
      </c>
    </row>
    <row r="735" ht="22.5" customHeight="1">
      <c r="A735" s="5">
        <v>46172.70579736111</v>
      </c>
      <c r="B735" s="6" t="s">
        <v>2330</v>
      </c>
      <c r="C735" s="6" t="s">
        <v>2331</v>
      </c>
      <c r="D735" s="3" t="str">
        <f t="shared" si="1"/>
        <v>AE-0734</v>
      </c>
      <c r="E735" s="3">
        <f t="array" ref="E735">IFERROR(XLOOKUP(D735,'Astronomy 101 Week 1 Quiz (Resp'!F:F,'Astronomy 101 Week 1 Quiz (Resp'!E:E),0)</f>
        <v>39</v>
      </c>
      <c r="F735" s="3" t="s">
        <v>14</v>
      </c>
      <c r="G735" s="3"/>
      <c r="H735" s="6">
        <v>8.349506673E9</v>
      </c>
      <c r="I735" s="6" t="s">
        <v>2332</v>
      </c>
      <c r="J735" s="6" t="s">
        <v>16</v>
      </c>
      <c r="K735" s="6" t="s">
        <v>25</v>
      </c>
    </row>
    <row r="736" ht="22.5" customHeight="1">
      <c r="A736" s="5">
        <v>46172.706452847226</v>
      </c>
      <c r="B736" s="6" t="s">
        <v>2333</v>
      </c>
      <c r="C736" s="6" t="s">
        <v>2334</v>
      </c>
      <c r="D736" s="3" t="str">
        <f t="shared" si="1"/>
        <v>AE-0735</v>
      </c>
      <c r="E736" s="3">
        <f t="array" ref="E736">IFERROR(XLOOKUP(D736,'Astronomy 101 Week 1 Quiz (Resp'!F:F,'Astronomy 101 Week 1 Quiz (Resp'!E:E),0)</f>
        <v>22</v>
      </c>
      <c r="F736" s="3" t="s">
        <v>14</v>
      </c>
      <c r="G736" s="3"/>
      <c r="H736" s="6">
        <v>8.955128034E9</v>
      </c>
      <c r="I736" s="6" t="s">
        <v>2335</v>
      </c>
      <c r="J736" s="6" t="s">
        <v>16</v>
      </c>
      <c r="K736" s="6" t="s">
        <v>25</v>
      </c>
    </row>
    <row r="737" ht="22.5" customHeight="1">
      <c r="A737" s="5">
        <v>46172.706935243055</v>
      </c>
      <c r="B737" s="6" t="s">
        <v>2336</v>
      </c>
      <c r="C737" s="6" t="s">
        <v>2337</v>
      </c>
      <c r="D737" s="3" t="str">
        <f t="shared" si="1"/>
        <v>AE-0736</v>
      </c>
      <c r="E737" s="3">
        <f t="array" ref="E737">IFERROR(XLOOKUP(D737,'Astronomy 101 Week 1 Quiz (Resp'!F:F,'Astronomy 101 Week 1 Quiz (Resp'!E:E),0)</f>
        <v>0</v>
      </c>
      <c r="F737" s="3" t="s">
        <v>14</v>
      </c>
      <c r="G737" s="3"/>
      <c r="H737" s="6">
        <v>6.232087843E9</v>
      </c>
      <c r="I737" s="6" t="s">
        <v>2338</v>
      </c>
      <c r="J737" s="6" t="s">
        <v>16</v>
      </c>
      <c r="K737" s="6" t="s">
        <v>17</v>
      </c>
      <c r="L737" s="6" t="s">
        <v>2339</v>
      </c>
    </row>
    <row r="738" ht="22.5" customHeight="1">
      <c r="A738" s="5">
        <v>46172.711691585646</v>
      </c>
      <c r="B738" s="6" t="s">
        <v>2340</v>
      </c>
      <c r="C738" s="6" t="s">
        <v>2341</v>
      </c>
      <c r="D738" s="3" t="str">
        <f t="shared" si="1"/>
        <v>AE-0737</v>
      </c>
      <c r="E738" s="3">
        <f t="array" ref="E738">IFERROR(XLOOKUP(D738,'Astronomy 101 Week 1 Quiz (Resp'!F:F,'Astronomy 101 Week 1 Quiz (Resp'!E:E),0)</f>
        <v>0</v>
      </c>
      <c r="F738" s="3" t="s">
        <v>14</v>
      </c>
      <c r="G738" s="3"/>
      <c r="H738" s="6">
        <v>9.992712369E9</v>
      </c>
      <c r="I738" s="6" t="s">
        <v>1116</v>
      </c>
      <c r="J738" s="6" t="s">
        <v>16</v>
      </c>
      <c r="K738" s="6" t="s">
        <v>21</v>
      </c>
      <c r="L738" s="6" t="s">
        <v>2342</v>
      </c>
    </row>
    <row r="739" ht="22.5" customHeight="1">
      <c r="A739" s="5">
        <v>46172.71593854167</v>
      </c>
      <c r="B739" s="6" t="s">
        <v>2343</v>
      </c>
      <c r="C739" s="6" t="s">
        <v>2344</v>
      </c>
      <c r="D739" s="3" t="str">
        <f t="shared" si="1"/>
        <v>AE-0738</v>
      </c>
      <c r="E739" s="3">
        <f t="array" ref="E739">IFERROR(XLOOKUP(D739,'Astronomy 101 Week 1 Quiz (Resp'!F:F,'Astronomy 101 Week 1 Quiz (Resp'!E:E),0)</f>
        <v>21</v>
      </c>
      <c r="F739" s="3" t="s">
        <v>14</v>
      </c>
      <c r="G739" s="3"/>
      <c r="H739" s="6">
        <v>9.423465188E9</v>
      </c>
      <c r="I739" s="6" t="s">
        <v>2345</v>
      </c>
      <c r="J739" s="6" t="s">
        <v>16</v>
      </c>
      <c r="K739" s="6" t="s">
        <v>21</v>
      </c>
    </row>
    <row r="740" ht="22.5" customHeight="1">
      <c r="A740" s="5">
        <v>46172.71862172453</v>
      </c>
      <c r="B740" s="6" t="s">
        <v>2346</v>
      </c>
      <c r="C740" s="6" t="s">
        <v>2347</v>
      </c>
      <c r="D740" s="3" t="str">
        <f t="shared" si="1"/>
        <v>AE-0739</v>
      </c>
      <c r="E740" s="3">
        <f t="array" ref="E740">IFERROR(XLOOKUP(D740,'Astronomy 101 Week 1 Quiz (Resp'!F:F,'Astronomy 101 Week 1 Quiz (Resp'!E:E),0)</f>
        <v>46</v>
      </c>
      <c r="F740" s="3" t="s">
        <v>14</v>
      </c>
      <c r="G740" s="3"/>
      <c r="H740" s="6">
        <v>8.341034995E9</v>
      </c>
      <c r="I740" s="6" t="s">
        <v>1116</v>
      </c>
      <c r="J740" s="6" t="s">
        <v>16</v>
      </c>
      <c r="K740" s="6" t="s">
        <v>17</v>
      </c>
      <c r="L740" s="6" t="s">
        <v>2348</v>
      </c>
    </row>
    <row r="741" ht="22.5" customHeight="1">
      <c r="A741" s="5">
        <v>46172.719110844904</v>
      </c>
      <c r="B741" s="6" t="s">
        <v>2349</v>
      </c>
      <c r="C741" s="6" t="s">
        <v>2350</v>
      </c>
      <c r="D741" s="3" t="str">
        <f t="shared" si="1"/>
        <v>AE-0740</v>
      </c>
      <c r="E741" s="3">
        <f t="array" ref="E741">IFERROR(XLOOKUP(D741,'Astronomy 101 Week 1 Quiz (Resp'!F:F,'Astronomy 101 Week 1 Quiz (Resp'!E:E),0)</f>
        <v>47</v>
      </c>
      <c r="F741" s="3" t="s">
        <v>14</v>
      </c>
      <c r="G741" s="3"/>
      <c r="H741" s="6">
        <v>8.017420281E9</v>
      </c>
      <c r="I741" s="6" t="s">
        <v>2332</v>
      </c>
      <c r="J741" s="6" t="s">
        <v>16</v>
      </c>
      <c r="K741" s="6" t="s">
        <v>82</v>
      </c>
    </row>
    <row r="742" ht="22.5" customHeight="1">
      <c r="A742" s="5">
        <v>46172.720693483796</v>
      </c>
      <c r="B742" s="6" t="s">
        <v>2351</v>
      </c>
      <c r="C742" s="6" t="s">
        <v>2352</v>
      </c>
      <c r="D742" s="3" t="str">
        <f t="shared" si="1"/>
        <v>AE-0741</v>
      </c>
      <c r="E742" s="3">
        <f t="array" ref="E742">IFERROR(XLOOKUP(D742,'Astronomy 101 Week 1 Quiz (Resp'!F:F,'Astronomy 101 Week 1 Quiz (Resp'!E:E),0)</f>
        <v>0</v>
      </c>
      <c r="F742" s="3" t="s">
        <v>14</v>
      </c>
      <c r="G742" s="3"/>
      <c r="H742" s="6">
        <v>9.179902295E9</v>
      </c>
      <c r="I742" s="6" t="s">
        <v>2353</v>
      </c>
      <c r="J742" s="6" t="s">
        <v>16</v>
      </c>
      <c r="K742" s="6" t="s">
        <v>17</v>
      </c>
    </row>
    <row r="743" ht="22.5" customHeight="1">
      <c r="A743" s="5">
        <v>46172.72787412037</v>
      </c>
      <c r="B743" s="6" t="s">
        <v>2354</v>
      </c>
      <c r="C743" s="6" t="s">
        <v>2355</v>
      </c>
      <c r="D743" s="3" t="str">
        <f t="shared" si="1"/>
        <v>AE-0742</v>
      </c>
      <c r="E743" s="3">
        <f t="array" ref="E743">IFERROR(XLOOKUP(D743,'Astronomy 101 Week 1 Quiz (Resp'!F:F,'Astronomy 101 Week 1 Quiz (Resp'!E:E),0)</f>
        <v>0</v>
      </c>
      <c r="F743" s="3" t="s">
        <v>14</v>
      </c>
      <c r="G743" s="3"/>
      <c r="H743" s="6">
        <v>9.425790405E9</v>
      </c>
      <c r="I743" s="6" t="s">
        <v>2356</v>
      </c>
      <c r="J743" s="6" t="s">
        <v>16</v>
      </c>
      <c r="K743" s="6" t="s">
        <v>43</v>
      </c>
    </row>
    <row r="744" ht="22.5" customHeight="1">
      <c r="A744" s="5">
        <v>46172.735814768515</v>
      </c>
      <c r="B744" s="6" t="s">
        <v>2357</v>
      </c>
      <c r="C744" s="6" t="s">
        <v>2358</v>
      </c>
      <c r="D744" s="3" t="str">
        <f t="shared" si="1"/>
        <v>AE-0743</v>
      </c>
      <c r="E744" s="3">
        <f t="array" ref="E744">IFERROR(XLOOKUP(D744,'Astronomy 101 Week 1 Quiz (Resp'!F:F,'Astronomy 101 Week 1 Quiz (Resp'!E:E),0)</f>
        <v>37</v>
      </c>
      <c r="F744" s="3" t="s">
        <v>14</v>
      </c>
      <c r="G744" s="3"/>
      <c r="H744" s="6">
        <v>9.375666637E9</v>
      </c>
      <c r="I744" s="6" t="s">
        <v>1116</v>
      </c>
      <c r="J744" s="6" t="s">
        <v>16</v>
      </c>
      <c r="K744" s="6" t="s">
        <v>43</v>
      </c>
    </row>
    <row r="745" ht="22.5" customHeight="1">
      <c r="A745" s="5">
        <v>46172.73668145834</v>
      </c>
      <c r="B745" s="6" t="s">
        <v>2359</v>
      </c>
      <c r="C745" s="6" t="s">
        <v>2360</v>
      </c>
      <c r="D745" s="3" t="str">
        <f t="shared" si="1"/>
        <v>AE-0744</v>
      </c>
      <c r="E745" s="3">
        <f t="array" ref="E745">IFERROR(XLOOKUP(D745,'Astronomy 101 Week 1 Quiz (Resp'!F:F,'Astronomy 101 Week 1 Quiz (Resp'!E:E),0)</f>
        <v>0</v>
      </c>
      <c r="F745" s="3" t="s">
        <v>14</v>
      </c>
      <c r="G745" s="3"/>
      <c r="H745" s="6">
        <v>9.630272167E9</v>
      </c>
      <c r="I745" s="6" t="s">
        <v>992</v>
      </c>
      <c r="J745" s="6" t="s">
        <v>16</v>
      </c>
      <c r="K745" s="6" t="s">
        <v>17</v>
      </c>
    </row>
    <row r="746" ht="22.5" customHeight="1">
      <c r="A746" s="5">
        <v>46172.73943287037</v>
      </c>
      <c r="B746" s="6" t="s">
        <v>2361</v>
      </c>
      <c r="C746" s="6" t="s">
        <v>2362</v>
      </c>
      <c r="D746" s="3" t="str">
        <f t="shared" si="1"/>
        <v>AE-0745</v>
      </c>
      <c r="E746" s="3">
        <f t="array" ref="E746">IFERROR(XLOOKUP(D746,'Astronomy 101 Week 1 Quiz (Resp'!F:F,'Astronomy 101 Week 1 Quiz (Resp'!E:E),0)</f>
        <v>0</v>
      </c>
      <c r="F746" s="3" t="s">
        <v>14</v>
      </c>
      <c r="G746" s="3"/>
      <c r="H746" s="6">
        <v>9.576453026E9</v>
      </c>
      <c r="I746" s="6" t="s">
        <v>2332</v>
      </c>
      <c r="J746" s="6" t="s">
        <v>16</v>
      </c>
      <c r="K746" s="6" t="s">
        <v>61</v>
      </c>
    </row>
    <row r="747" ht="22.5" customHeight="1">
      <c r="A747" s="5">
        <v>46172.74738884259</v>
      </c>
      <c r="B747" s="6" t="s">
        <v>2363</v>
      </c>
      <c r="C747" s="6" t="s">
        <v>2364</v>
      </c>
      <c r="D747" s="3" t="str">
        <f t="shared" si="1"/>
        <v>AE-0746</v>
      </c>
      <c r="E747" s="3">
        <f t="array" ref="E747">IFERROR(XLOOKUP(D747,'Astronomy 101 Week 1 Quiz (Resp'!F:F,'Astronomy 101 Week 1 Quiz (Resp'!E:E),0)</f>
        <v>0</v>
      </c>
      <c r="F747" s="3" t="s">
        <v>14</v>
      </c>
      <c r="G747" s="3"/>
      <c r="H747" s="6">
        <v>8.306424069E9</v>
      </c>
      <c r="I747" s="6" t="s">
        <v>2365</v>
      </c>
      <c r="J747" s="6" t="s">
        <v>16</v>
      </c>
      <c r="K747" s="6" t="s">
        <v>21</v>
      </c>
    </row>
    <row r="748" ht="22.5" customHeight="1">
      <c r="A748" s="5">
        <v>46172.75086472223</v>
      </c>
      <c r="B748" s="6" t="s">
        <v>2366</v>
      </c>
      <c r="C748" s="6" t="s">
        <v>2367</v>
      </c>
      <c r="D748" s="3" t="str">
        <f t="shared" si="1"/>
        <v>AE-0747</v>
      </c>
      <c r="E748" s="3">
        <f t="array" ref="E748">IFERROR(XLOOKUP(D748,'Astronomy 101 Week 1 Quiz (Resp'!F:F,'Astronomy 101 Week 1 Quiz (Resp'!E:E),0)</f>
        <v>0</v>
      </c>
      <c r="F748" s="3" t="s">
        <v>14</v>
      </c>
      <c r="G748" s="3"/>
      <c r="H748" s="6">
        <v>9.896334743E9</v>
      </c>
      <c r="I748" s="6" t="s">
        <v>2368</v>
      </c>
      <c r="J748" s="6" t="s">
        <v>16</v>
      </c>
      <c r="K748" s="6" t="s">
        <v>25</v>
      </c>
    </row>
    <row r="749" ht="22.5" customHeight="1">
      <c r="A749" s="5">
        <v>46172.75340923612</v>
      </c>
      <c r="B749" s="6" t="s">
        <v>2369</v>
      </c>
      <c r="C749" s="6" t="s">
        <v>2370</v>
      </c>
      <c r="D749" s="3" t="str">
        <f t="shared" si="1"/>
        <v>AE-0748</v>
      </c>
      <c r="E749" s="3">
        <f t="array" ref="E749">IFERROR(XLOOKUP(D749,'Astronomy 101 Week 1 Quiz (Resp'!F:F,'Astronomy 101 Week 1 Quiz (Resp'!E:E),0)</f>
        <v>0</v>
      </c>
      <c r="F749" s="3" t="s">
        <v>14</v>
      </c>
      <c r="G749" s="3"/>
      <c r="H749" s="6">
        <v>7.97821805E9</v>
      </c>
      <c r="I749" s="6" t="s">
        <v>29</v>
      </c>
      <c r="J749" s="6" t="s">
        <v>16</v>
      </c>
      <c r="K749" s="6" t="s">
        <v>82</v>
      </c>
      <c r="L749" s="6" t="s">
        <v>2371</v>
      </c>
    </row>
    <row r="750" ht="22.5" customHeight="1">
      <c r="A750" s="5">
        <v>46172.7584294213</v>
      </c>
      <c r="B750" s="6" t="s">
        <v>2372</v>
      </c>
      <c r="C750" s="6" t="s">
        <v>2373</v>
      </c>
      <c r="D750" s="3" t="str">
        <f t="shared" si="1"/>
        <v>AE-0749</v>
      </c>
      <c r="E750" s="3">
        <f t="array" ref="E750">IFERROR(XLOOKUP(D750,'Astronomy 101 Week 1 Quiz (Resp'!F:F,'Astronomy 101 Week 1 Quiz (Resp'!E:E),0)</f>
        <v>0</v>
      </c>
      <c r="F750" s="3" t="s">
        <v>14</v>
      </c>
      <c r="G750" s="3"/>
      <c r="H750" s="6">
        <v>8.383979022E9</v>
      </c>
      <c r="I750" s="6" t="s">
        <v>2374</v>
      </c>
      <c r="J750" s="6" t="s">
        <v>16</v>
      </c>
      <c r="K750" s="6" t="s">
        <v>17</v>
      </c>
    </row>
    <row r="751" ht="22.5" customHeight="1">
      <c r="A751" s="5">
        <v>46172.75843872685</v>
      </c>
      <c r="B751" s="6" t="s">
        <v>2375</v>
      </c>
      <c r="C751" s="6" t="s">
        <v>2376</v>
      </c>
      <c r="D751" s="3" t="str">
        <f t="shared" si="1"/>
        <v>AE-0750</v>
      </c>
      <c r="E751" s="3">
        <f t="array" ref="E751">IFERROR(XLOOKUP(D751,'Astronomy 101 Week 1 Quiz (Resp'!F:F,'Astronomy 101 Week 1 Quiz (Resp'!E:E),0)</f>
        <v>0</v>
      </c>
      <c r="F751" s="3" t="s">
        <v>14</v>
      </c>
      <c r="G751" s="3"/>
      <c r="H751" s="6">
        <v>7.982611678E9</v>
      </c>
      <c r="I751" s="6" t="s">
        <v>2377</v>
      </c>
      <c r="J751" s="6" t="s">
        <v>16</v>
      </c>
      <c r="K751" s="6" t="s">
        <v>17</v>
      </c>
    </row>
    <row r="752" ht="22.5" customHeight="1">
      <c r="A752" s="5">
        <v>46172.76235956018</v>
      </c>
      <c r="B752" s="6" t="s">
        <v>2378</v>
      </c>
      <c r="C752" s="6" t="s">
        <v>2379</v>
      </c>
      <c r="D752" s="3" t="str">
        <f t="shared" si="1"/>
        <v>AE-0751</v>
      </c>
      <c r="E752" s="3">
        <f t="array" ref="E752">IFERROR(XLOOKUP(D752,'Astronomy 101 Week 1 Quiz (Resp'!F:F,'Astronomy 101 Week 1 Quiz (Resp'!E:E),0)</f>
        <v>0</v>
      </c>
      <c r="F752" s="3" t="s">
        <v>14</v>
      </c>
      <c r="G752" s="3"/>
      <c r="H752" s="6">
        <v>9.370289897E9</v>
      </c>
      <c r="I752" s="6" t="s">
        <v>2380</v>
      </c>
      <c r="J752" s="6" t="s">
        <v>16</v>
      </c>
      <c r="K752" s="6" t="s">
        <v>47</v>
      </c>
    </row>
    <row r="753" ht="22.5" customHeight="1">
      <c r="A753" s="5">
        <v>46172.76400105324</v>
      </c>
      <c r="B753" s="6" t="s">
        <v>2366</v>
      </c>
      <c r="C753" s="6" t="s">
        <v>2381</v>
      </c>
      <c r="D753" s="3" t="str">
        <f t="shared" si="1"/>
        <v>AE-0752</v>
      </c>
      <c r="E753" s="3">
        <f t="array" ref="E753">IFERROR(XLOOKUP(D753,'Astronomy 101 Week 1 Quiz (Resp'!F:F,'Astronomy 101 Week 1 Quiz (Resp'!E:E),0)</f>
        <v>42</v>
      </c>
      <c r="F753" s="3" t="s">
        <v>14</v>
      </c>
      <c r="G753" s="3"/>
      <c r="H753" s="6">
        <v>9.896334843E9</v>
      </c>
      <c r="I753" s="6" t="s">
        <v>1886</v>
      </c>
      <c r="J753" s="6" t="s">
        <v>16</v>
      </c>
      <c r="K753" s="6" t="s">
        <v>25</v>
      </c>
    </row>
    <row r="754" ht="22.5" customHeight="1">
      <c r="A754" s="5">
        <v>46172.76895027778</v>
      </c>
      <c r="B754" s="6" t="s">
        <v>2382</v>
      </c>
      <c r="C754" s="6" t="s">
        <v>2383</v>
      </c>
      <c r="D754" s="3" t="str">
        <f t="shared" si="1"/>
        <v>AE-0753</v>
      </c>
      <c r="E754" s="3">
        <f t="array" ref="E754">IFERROR(XLOOKUP(D754,'Astronomy 101 Week 1 Quiz (Resp'!F:F,'Astronomy 101 Week 1 Quiz (Resp'!E:E),0)</f>
        <v>45</v>
      </c>
      <c r="F754" s="3" t="s">
        <v>14</v>
      </c>
      <c r="G754" s="3"/>
      <c r="H754" s="6">
        <v>9.9901378E9</v>
      </c>
      <c r="I754" s="6" t="s">
        <v>2384</v>
      </c>
      <c r="J754" s="6" t="s">
        <v>16</v>
      </c>
      <c r="K754" s="6" t="s">
        <v>82</v>
      </c>
      <c r="L754" s="6" t="s">
        <v>2385</v>
      </c>
    </row>
    <row r="755" ht="22.5" customHeight="1">
      <c r="A755" s="5">
        <v>46172.77346858796</v>
      </c>
      <c r="B755" s="6" t="s">
        <v>2386</v>
      </c>
      <c r="C755" s="6" t="s">
        <v>2387</v>
      </c>
      <c r="D755" s="3" t="str">
        <f t="shared" si="1"/>
        <v>AE-0754</v>
      </c>
      <c r="E755" s="3">
        <f t="array" ref="E755">IFERROR(XLOOKUP(D755,'Astronomy 101 Week 1 Quiz (Resp'!F:F,'Astronomy 101 Week 1 Quiz (Resp'!E:E),0)</f>
        <v>0</v>
      </c>
      <c r="F755" s="3" t="s">
        <v>14</v>
      </c>
      <c r="G755" s="3"/>
      <c r="H755" s="6">
        <v>7.014915728E9</v>
      </c>
      <c r="I755" s="6" t="s">
        <v>246</v>
      </c>
      <c r="J755" s="6" t="s">
        <v>16</v>
      </c>
      <c r="K755" s="6" t="s">
        <v>17</v>
      </c>
    </row>
    <row r="756" ht="22.5" customHeight="1">
      <c r="A756" s="5">
        <v>46172.774853333336</v>
      </c>
      <c r="B756" s="6" t="s">
        <v>2388</v>
      </c>
      <c r="C756" s="6" t="s">
        <v>2389</v>
      </c>
      <c r="D756" s="3" t="str">
        <f t="shared" si="1"/>
        <v>AE-0755</v>
      </c>
      <c r="E756" s="3">
        <f t="array" ref="E756">IFERROR(XLOOKUP(D756,'Astronomy 101 Week 1 Quiz (Resp'!F:F,'Astronomy 101 Week 1 Quiz (Resp'!E:E),0)</f>
        <v>41</v>
      </c>
      <c r="F756" s="3" t="s">
        <v>14</v>
      </c>
      <c r="G756" s="3"/>
      <c r="H756" s="6">
        <v>9.604432631E9</v>
      </c>
      <c r="I756" s="6" t="s">
        <v>2332</v>
      </c>
      <c r="J756" s="6" t="s">
        <v>16</v>
      </c>
      <c r="K756" s="6" t="s">
        <v>17</v>
      </c>
      <c r="L756" s="6" t="s">
        <v>2390</v>
      </c>
    </row>
    <row r="757" ht="22.5" customHeight="1">
      <c r="A757" s="5">
        <v>46172.77640149306</v>
      </c>
      <c r="B757" s="6" t="s">
        <v>2391</v>
      </c>
      <c r="C757" s="6" t="s">
        <v>2392</v>
      </c>
      <c r="D757" s="3" t="str">
        <f t="shared" si="1"/>
        <v>AE-0756</v>
      </c>
      <c r="E757" s="3">
        <f t="array" ref="E757">IFERROR(XLOOKUP(D757,'Astronomy 101 Week 1 Quiz (Resp'!F:F,'Astronomy 101 Week 1 Quiz (Resp'!E:E),0)</f>
        <v>0</v>
      </c>
      <c r="F757" s="3" t="s">
        <v>14</v>
      </c>
      <c r="G757" s="3"/>
      <c r="H757" s="6">
        <v>9.082446219E9</v>
      </c>
      <c r="I757" s="6" t="s">
        <v>2393</v>
      </c>
      <c r="J757" s="6" t="s">
        <v>16</v>
      </c>
      <c r="K757" s="6" t="s">
        <v>17</v>
      </c>
    </row>
    <row r="758" ht="22.5" customHeight="1">
      <c r="A758" s="5">
        <v>46172.77686201389</v>
      </c>
      <c r="B758" s="6" t="s">
        <v>2394</v>
      </c>
      <c r="C758" s="6" t="s">
        <v>2395</v>
      </c>
      <c r="D758" s="3" t="str">
        <f t="shared" si="1"/>
        <v>AE-0757</v>
      </c>
      <c r="E758" s="3">
        <f t="array" ref="E758">IFERROR(XLOOKUP(D758,'Astronomy 101 Week 1 Quiz (Resp'!F:F,'Astronomy 101 Week 1 Quiz (Resp'!E:E),0)</f>
        <v>0</v>
      </c>
      <c r="F758" s="3" t="s">
        <v>14</v>
      </c>
      <c r="G758" s="3"/>
      <c r="H758" s="6">
        <v>8.006001242E9</v>
      </c>
      <c r="I758" s="6" t="s">
        <v>1886</v>
      </c>
      <c r="J758" s="6" t="s">
        <v>16</v>
      </c>
      <c r="K758" s="6" t="s">
        <v>47</v>
      </c>
      <c r="L758" s="6" t="s">
        <v>2396</v>
      </c>
    </row>
    <row r="759" ht="22.5" customHeight="1">
      <c r="A759" s="5">
        <v>46172.77820032407</v>
      </c>
      <c r="B759" s="6" t="s">
        <v>2397</v>
      </c>
      <c r="C759" s="6" t="s">
        <v>2398</v>
      </c>
      <c r="D759" s="3" t="str">
        <f t="shared" si="1"/>
        <v>AE-0758</v>
      </c>
      <c r="E759" s="3">
        <f t="array" ref="E759">IFERROR(XLOOKUP(D759,'Astronomy 101 Week 1 Quiz (Resp'!F:F,'Astronomy 101 Week 1 Quiz (Resp'!E:E),0)</f>
        <v>37</v>
      </c>
      <c r="F759" s="3" t="s">
        <v>14</v>
      </c>
      <c r="G759" s="3"/>
      <c r="H759" s="6">
        <v>7.497897874E9</v>
      </c>
      <c r="I759" s="6" t="s">
        <v>2332</v>
      </c>
      <c r="J759" s="6" t="s">
        <v>16</v>
      </c>
      <c r="K759" s="6" t="s">
        <v>17</v>
      </c>
    </row>
    <row r="760" ht="22.5" customHeight="1">
      <c r="A760" s="5">
        <v>46172.78076009259</v>
      </c>
      <c r="B760" s="6" t="s">
        <v>2399</v>
      </c>
      <c r="C760" s="6" t="s">
        <v>2400</v>
      </c>
      <c r="D760" s="3" t="str">
        <f t="shared" si="1"/>
        <v>AE-0759</v>
      </c>
      <c r="E760" s="3">
        <f t="array" ref="E760">IFERROR(XLOOKUP(D760,'Astronomy 101 Week 1 Quiz (Resp'!F:F,'Astronomy 101 Week 1 Quiz (Resp'!E:E),0)</f>
        <v>28</v>
      </c>
      <c r="F760" s="3" t="s">
        <v>14</v>
      </c>
      <c r="G760" s="3"/>
      <c r="H760" s="6">
        <v>8.375929719E9</v>
      </c>
      <c r="I760" s="6" t="s">
        <v>2401</v>
      </c>
      <c r="J760" s="6" t="s">
        <v>16</v>
      </c>
      <c r="K760" s="6" t="s">
        <v>61</v>
      </c>
      <c r="L760" s="6" t="s">
        <v>2402</v>
      </c>
    </row>
    <row r="761" ht="22.5" customHeight="1">
      <c r="A761" s="5">
        <v>46172.78307651621</v>
      </c>
      <c r="B761" s="6" t="s">
        <v>2403</v>
      </c>
      <c r="C761" s="6" t="s">
        <v>2404</v>
      </c>
      <c r="D761" s="3" t="str">
        <f t="shared" si="1"/>
        <v>AE-0760</v>
      </c>
      <c r="E761" s="3">
        <f t="array" ref="E761">IFERROR(XLOOKUP(D761,'Astronomy 101 Week 1 Quiz (Resp'!F:F,'Astronomy 101 Week 1 Quiz (Resp'!E:E),0)</f>
        <v>0</v>
      </c>
      <c r="F761" s="3" t="s">
        <v>14</v>
      </c>
      <c r="G761" s="3"/>
      <c r="H761" s="6">
        <v>9.950914954E9</v>
      </c>
      <c r="I761" s="6" t="s">
        <v>2332</v>
      </c>
      <c r="J761" s="6" t="s">
        <v>16</v>
      </c>
      <c r="K761" s="6" t="s">
        <v>25</v>
      </c>
    </row>
    <row r="762" ht="22.5" customHeight="1">
      <c r="A762" s="5">
        <v>46172.787845659725</v>
      </c>
      <c r="B762" s="6" t="s">
        <v>2405</v>
      </c>
      <c r="C762" s="6" t="s">
        <v>2406</v>
      </c>
      <c r="D762" s="3" t="str">
        <f t="shared" si="1"/>
        <v>AE-0761</v>
      </c>
      <c r="E762" s="3">
        <f t="array" ref="E762">IFERROR(XLOOKUP(D762,'Astronomy 101 Week 1 Quiz (Resp'!F:F,'Astronomy 101 Week 1 Quiz (Resp'!E:E),0)</f>
        <v>41</v>
      </c>
      <c r="F762" s="3" t="s">
        <v>14</v>
      </c>
      <c r="G762" s="3"/>
      <c r="H762" s="6">
        <v>9.175902388E9</v>
      </c>
      <c r="I762" s="6" t="s">
        <v>2407</v>
      </c>
      <c r="J762" s="6" t="s">
        <v>16</v>
      </c>
      <c r="K762" s="6" t="s">
        <v>61</v>
      </c>
      <c r="L762" s="6" t="s">
        <v>2408</v>
      </c>
    </row>
    <row r="763" ht="22.5" customHeight="1">
      <c r="A763" s="5">
        <v>46172.78816880787</v>
      </c>
      <c r="B763" s="6" t="s">
        <v>2409</v>
      </c>
      <c r="C763" s="6" t="s">
        <v>2410</v>
      </c>
      <c r="D763" s="3" t="str">
        <f t="shared" si="1"/>
        <v>AE-0762</v>
      </c>
      <c r="E763" s="3">
        <f t="array" ref="E763">IFERROR(XLOOKUP(D763,'Astronomy 101 Week 1 Quiz (Resp'!F:F,'Astronomy 101 Week 1 Quiz (Resp'!E:E),0)</f>
        <v>0</v>
      </c>
      <c r="F763" s="3" t="s">
        <v>14</v>
      </c>
      <c r="G763" s="3"/>
      <c r="H763" s="6">
        <v>8.392034584E9</v>
      </c>
      <c r="I763" s="6" t="s">
        <v>64</v>
      </c>
      <c r="J763" s="6" t="s">
        <v>16</v>
      </c>
      <c r="K763" s="6" t="s">
        <v>17</v>
      </c>
    </row>
    <row r="764" ht="22.5" customHeight="1">
      <c r="A764" s="5">
        <v>46172.78990173611</v>
      </c>
      <c r="B764" s="6" t="s">
        <v>2411</v>
      </c>
      <c r="C764" s="6" t="s">
        <v>2412</v>
      </c>
      <c r="D764" s="3" t="str">
        <f t="shared" si="1"/>
        <v>AE-0763</v>
      </c>
      <c r="E764" s="3">
        <f t="array" ref="E764">IFERROR(XLOOKUP(D764,'Astronomy 101 Week 1 Quiz (Resp'!F:F,'Astronomy 101 Week 1 Quiz (Resp'!E:E),0)</f>
        <v>46</v>
      </c>
      <c r="F764" s="3" t="s">
        <v>14</v>
      </c>
      <c r="G764" s="3"/>
      <c r="H764" s="6">
        <v>6.290650591E9</v>
      </c>
      <c r="I764" s="6" t="s">
        <v>2413</v>
      </c>
      <c r="J764" s="6" t="s">
        <v>16</v>
      </c>
      <c r="K764" s="6" t="s">
        <v>17</v>
      </c>
    </row>
    <row r="765" ht="22.5" customHeight="1">
      <c r="A765" s="5">
        <v>46172.791204953704</v>
      </c>
      <c r="B765" s="6" t="s">
        <v>2414</v>
      </c>
      <c r="C765" s="6" t="s">
        <v>2415</v>
      </c>
      <c r="D765" s="3" t="str">
        <f t="shared" si="1"/>
        <v>AE-0764</v>
      </c>
      <c r="E765" s="3">
        <f t="array" ref="E765">IFERROR(XLOOKUP(D765,'Astronomy 101 Week 1 Quiz (Resp'!F:F,'Astronomy 101 Week 1 Quiz (Resp'!E:E),0)</f>
        <v>0</v>
      </c>
      <c r="F765" s="3" t="s">
        <v>14</v>
      </c>
      <c r="G765" s="3"/>
      <c r="H765" s="6">
        <v>6.371120029E9</v>
      </c>
      <c r="I765" s="6" t="s">
        <v>2416</v>
      </c>
      <c r="J765" s="6" t="s">
        <v>16</v>
      </c>
      <c r="K765" s="6" t="s">
        <v>43</v>
      </c>
    </row>
    <row r="766" ht="22.5" customHeight="1">
      <c r="A766" s="5">
        <v>46172.79978538194</v>
      </c>
      <c r="B766" s="6" t="s">
        <v>2417</v>
      </c>
      <c r="C766" s="6" t="s">
        <v>2418</v>
      </c>
      <c r="D766" s="3" t="str">
        <f t="shared" si="1"/>
        <v>AE-0765</v>
      </c>
      <c r="E766" s="3">
        <f t="array" ref="E766">IFERROR(XLOOKUP(D766,'Astronomy 101 Week 1 Quiz (Resp'!F:F,'Astronomy 101 Week 1 Quiz (Resp'!E:E),0)</f>
        <v>0</v>
      </c>
      <c r="F766" s="3" t="s">
        <v>14</v>
      </c>
      <c r="G766" s="3"/>
      <c r="H766" s="6">
        <v>9.007134019E9</v>
      </c>
      <c r="I766" s="6" t="s">
        <v>2419</v>
      </c>
      <c r="J766" s="6" t="s">
        <v>16</v>
      </c>
      <c r="K766" s="6" t="s">
        <v>47</v>
      </c>
      <c r="L766" s="6" t="s">
        <v>2420</v>
      </c>
    </row>
    <row r="767" ht="22.5" customHeight="1">
      <c r="A767" s="5">
        <v>46172.80071865741</v>
      </c>
      <c r="B767" s="6" t="s">
        <v>2421</v>
      </c>
      <c r="C767" s="6" t="s">
        <v>2422</v>
      </c>
      <c r="D767" s="3" t="str">
        <f t="shared" si="1"/>
        <v>AE-0766</v>
      </c>
      <c r="E767" s="3">
        <f t="array" ref="E767">IFERROR(XLOOKUP(D767,'Astronomy 101 Week 1 Quiz (Resp'!F:F,'Astronomy 101 Week 1 Quiz (Resp'!E:E),0)</f>
        <v>0</v>
      </c>
      <c r="F767" s="3" t="s">
        <v>14</v>
      </c>
      <c r="G767" s="3"/>
      <c r="H767" s="6">
        <v>9.656333666E9</v>
      </c>
      <c r="I767" s="6" t="s">
        <v>1778</v>
      </c>
      <c r="J767" s="6" t="s">
        <v>16</v>
      </c>
      <c r="K767" s="6" t="s">
        <v>17</v>
      </c>
      <c r="L767" s="6" t="s">
        <v>2423</v>
      </c>
    </row>
    <row r="768" ht="22.5" customHeight="1">
      <c r="A768" s="5">
        <v>46172.80773443287</v>
      </c>
      <c r="B768" s="6" t="s">
        <v>2424</v>
      </c>
      <c r="C768" s="6" t="s">
        <v>2425</v>
      </c>
      <c r="D768" s="3" t="str">
        <f t="shared" si="1"/>
        <v>AE-0767</v>
      </c>
      <c r="E768" s="3">
        <f t="array" ref="E768">IFERROR(XLOOKUP(D768,'Astronomy 101 Week 1 Quiz (Resp'!F:F,'Astronomy 101 Week 1 Quiz (Resp'!E:E),0)</f>
        <v>22</v>
      </c>
      <c r="F768" s="3" t="s">
        <v>14</v>
      </c>
      <c r="G768" s="3"/>
      <c r="H768" s="6">
        <v>9.17360514E9</v>
      </c>
      <c r="I768" s="6" t="s">
        <v>2426</v>
      </c>
      <c r="J768" s="6" t="s">
        <v>16</v>
      </c>
      <c r="K768" s="6" t="s">
        <v>43</v>
      </c>
    </row>
    <row r="769" ht="22.5" customHeight="1">
      <c r="A769" s="5">
        <v>46172.810575578704</v>
      </c>
      <c r="B769" s="6" t="s">
        <v>2427</v>
      </c>
      <c r="C769" s="6" t="s">
        <v>2428</v>
      </c>
      <c r="D769" s="3" t="str">
        <f t="shared" si="1"/>
        <v>AE-0768</v>
      </c>
      <c r="E769" s="3">
        <f t="array" ref="E769">IFERROR(XLOOKUP(D769,'Astronomy 101 Week 1 Quiz (Resp'!F:F,'Astronomy 101 Week 1 Quiz (Resp'!E:E),0)</f>
        <v>0</v>
      </c>
      <c r="F769" s="3" t="s">
        <v>14</v>
      </c>
      <c r="G769" s="3"/>
      <c r="H769" s="6">
        <v>8.237932075E9</v>
      </c>
      <c r="I769" s="6" t="s">
        <v>2429</v>
      </c>
      <c r="J769" s="6" t="s">
        <v>16</v>
      </c>
      <c r="K769" s="6" t="s">
        <v>43</v>
      </c>
      <c r="L769" s="6" t="s">
        <v>2430</v>
      </c>
    </row>
    <row r="770" ht="22.5" customHeight="1">
      <c r="A770" s="5">
        <v>46172.81278842593</v>
      </c>
      <c r="B770" s="6" t="s">
        <v>2431</v>
      </c>
      <c r="C770" s="6" t="s">
        <v>2432</v>
      </c>
      <c r="D770" s="3" t="str">
        <f t="shared" si="1"/>
        <v>AE-0769</v>
      </c>
      <c r="E770" s="3">
        <f t="array" ref="E770">IFERROR(XLOOKUP(D770,'Astronomy 101 Week 1 Quiz (Resp'!F:F,'Astronomy 101 Week 1 Quiz (Resp'!E:E),0)</f>
        <v>0</v>
      </c>
      <c r="F770" s="3" t="s">
        <v>14</v>
      </c>
      <c r="G770" s="3"/>
      <c r="H770" s="6">
        <v>6.20146033E9</v>
      </c>
      <c r="I770" s="6" t="s">
        <v>2433</v>
      </c>
      <c r="J770" s="6" t="s">
        <v>16</v>
      </c>
      <c r="K770" s="6" t="s">
        <v>17</v>
      </c>
    </row>
    <row r="771" ht="22.5" customHeight="1">
      <c r="A771" s="5">
        <v>46172.81331761574</v>
      </c>
      <c r="B771" s="6" t="s">
        <v>2434</v>
      </c>
      <c r="C771" s="6" t="s">
        <v>2435</v>
      </c>
      <c r="D771" s="3" t="str">
        <f t="shared" si="1"/>
        <v>AE-0770</v>
      </c>
      <c r="E771" s="3">
        <f t="array" ref="E771">IFERROR(XLOOKUP(D771,'Astronomy 101 Week 1 Quiz (Resp'!F:F,'Astronomy 101 Week 1 Quiz (Resp'!E:E),0)</f>
        <v>0</v>
      </c>
      <c r="F771" s="3" t="s">
        <v>14</v>
      </c>
      <c r="G771" s="3"/>
      <c r="H771" s="6">
        <v>9.83634544E9</v>
      </c>
      <c r="I771" s="6" t="s">
        <v>2436</v>
      </c>
      <c r="J771" s="6" t="s">
        <v>33</v>
      </c>
      <c r="K771" s="6" t="s">
        <v>25</v>
      </c>
      <c r="L771" s="6" t="s">
        <v>2437</v>
      </c>
    </row>
    <row r="772" ht="22.5" customHeight="1">
      <c r="A772" s="5">
        <v>46172.813602291666</v>
      </c>
      <c r="B772" s="6" t="s">
        <v>2438</v>
      </c>
      <c r="C772" s="6" t="s">
        <v>2439</v>
      </c>
      <c r="D772" s="3" t="str">
        <f t="shared" si="1"/>
        <v>AE-0771</v>
      </c>
      <c r="E772" s="3">
        <f t="array" ref="E772">IFERROR(XLOOKUP(D772,'Astronomy 101 Week 1 Quiz (Resp'!F:F,'Astronomy 101 Week 1 Quiz (Resp'!E:E),0)</f>
        <v>0</v>
      </c>
      <c r="F772" s="3" t="s">
        <v>14</v>
      </c>
      <c r="G772" s="3"/>
      <c r="H772" s="6">
        <v>8.000594906E9</v>
      </c>
      <c r="I772" s="6" t="s">
        <v>1307</v>
      </c>
      <c r="J772" s="6" t="s">
        <v>16</v>
      </c>
      <c r="K772" s="6" t="s">
        <v>43</v>
      </c>
    </row>
    <row r="773" ht="22.5" customHeight="1">
      <c r="A773" s="5">
        <v>46172.814401875</v>
      </c>
      <c r="B773" s="6" t="s">
        <v>2440</v>
      </c>
      <c r="C773" s="6" t="s">
        <v>2441</v>
      </c>
      <c r="D773" s="3" t="str">
        <f t="shared" si="1"/>
        <v>AE-0772</v>
      </c>
      <c r="E773" s="3">
        <f t="array" ref="E773">IFERROR(XLOOKUP(D773,'Astronomy 101 Week 1 Quiz (Resp'!F:F,'Astronomy 101 Week 1 Quiz (Resp'!E:E),0)</f>
        <v>0</v>
      </c>
      <c r="F773" s="3" t="s">
        <v>14</v>
      </c>
      <c r="G773" s="3"/>
      <c r="H773" s="6">
        <v>6.305697541E9</v>
      </c>
      <c r="I773" s="6" t="s">
        <v>2442</v>
      </c>
      <c r="J773" s="6" t="s">
        <v>16</v>
      </c>
      <c r="K773" s="6" t="s">
        <v>21</v>
      </c>
    </row>
    <row r="774" ht="22.5" customHeight="1">
      <c r="A774" s="5">
        <v>46172.81461168981</v>
      </c>
      <c r="B774" s="6" t="s">
        <v>2443</v>
      </c>
      <c r="C774" s="6" t="s">
        <v>2444</v>
      </c>
      <c r="D774" s="3" t="str">
        <f t="shared" si="1"/>
        <v>AE-0773</v>
      </c>
      <c r="E774" s="3">
        <f t="array" ref="E774">IFERROR(XLOOKUP(D774,'Astronomy 101 Week 1 Quiz (Resp'!F:F,'Astronomy 101 Week 1 Quiz (Resp'!E:E),0)</f>
        <v>39</v>
      </c>
      <c r="F774" s="3" t="s">
        <v>14</v>
      </c>
      <c r="G774" s="3"/>
      <c r="H774" s="6">
        <v>6.371640596E9</v>
      </c>
      <c r="I774" s="6" t="s">
        <v>1307</v>
      </c>
      <c r="J774" s="6" t="s">
        <v>16</v>
      </c>
      <c r="K774" s="6" t="s">
        <v>17</v>
      </c>
      <c r="L774" s="6" t="s">
        <v>2445</v>
      </c>
    </row>
    <row r="775" ht="22.5" customHeight="1">
      <c r="A775" s="5">
        <v>46172.817060347224</v>
      </c>
      <c r="B775" s="6" t="s">
        <v>189</v>
      </c>
      <c r="C775" s="6" t="s">
        <v>190</v>
      </c>
      <c r="D775" s="3" t="str">
        <f t="shared" si="1"/>
        <v>AE-0774</v>
      </c>
      <c r="E775" s="3">
        <f t="array" ref="E775">IFERROR(XLOOKUP(D775,'Astronomy 101 Week 1 Quiz (Resp'!F:F,'Astronomy 101 Week 1 Quiz (Resp'!E:E),0)</f>
        <v>0</v>
      </c>
      <c r="F775" s="3" t="s">
        <v>14</v>
      </c>
      <c r="G775" s="3"/>
      <c r="H775" s="6">
        <v>9.369820561E9</v>
      </c>
      <c r="I775" s="6" t="s">
        <v>191</v>
      </c>
      <c r="J775" s="6" t="s">
        <v>16</v>
      </c>
      <c r="K775" s="6" t="s">
        <v>17</v>
      </c>
      <c r="L775" s="6" t="s">
        <v>16</v>
      </c>
    </row>
    <row r="776" ht="22.5" customHeight="1">
      <c r="A776" s="5">
        <v>46172.81895206019</v>
      </c>
      <c r="B776" s="6" t="s">
        <v>2446</v>
      </c>
      <c r="C776" s="6" t="s">
        <v>2447</v>
      </c>
      <c r="D776" s="3" t="str">
        <f t="shared" si="1"/>
        <v>AE-0775</v>
      </c>
      <c r="E776" s="3">
        <f t="array" ref="E776">IFERROR(XLOOKUP(D776,'Astronomy 101 Week 1 Quiz (Resp'!F:F,'Astronomy 101 Week 1 Quiz (Resp'!E:E),0)</f>
        <v>0</v>
      </c>
      <c r="F776" s="3" t="s">
        <v>14</v>
      </c>
      <c r="G776" s="3"/>
      <c r="H776" s="6">
        <v>8.1305551E9</v>
      </c>
      <c r="I776" s="6" t="s">
        <v>2448</v>
      </c>
      <c r="J776" s="6" t="s">
        <v>16</v>
      </c>
      <c r="K776" s="6" t="s">
        <v>43</v>
      </c>
    </row>
    <row r="777" ht="22.5" customHeight="1">
      <c r="A777" s="5">
        <v>46172.823210243056</v>
      </c>
      <c r="B777" s="6" t="s">
        <v>2449</v>
      </c>
      <c r="C777" s="6" t="s">
        <v>2450</v>
      </c>
      <c r="D777" s="3" t="str">
        <f t="shared" si="1"/>
        <v>AE-0776</v>
      </c>
      <c r="E777" s="3">
        <f t="array" ref="E777">IFERROR(XLOOKUP(D777,'Astronomy 101 Week 1 Quiz (Resp'!F:F,'Astronomy 101 Week 1 Quiz (Resp'!E:E),0)</f>
        <v>0</v>
      </c>
      <c r="F777" s="3" t="s">
        <v>14</v>
      </c>
      <c r="G777" s="3"/>
      <c r="H777" s="7" t="s">
        <v>2451</v>
      </c>
      <c r="I777" s="6" t="s">
        <v>2436</v>
      </c>
      <c r="J777" s="6" t="s">
        <v>16</v>
      </c>
      <c r="K777" s="6" t="s">
        <v>47</v>
      </c>
    </row>
    <row r="778" ht="22.5" customHeight="1">
      <c r="A778" s="5">
        <v>46172.82328440972</v>
      </c>
      <c r="B778" s="6" t="s">
        <v>2452</v>
      </c>
      <c r="C778" s="6" t="s">
        <v>2453</v>
      </c>
      <c r="D778" s="3" t="str">
        <f t="shared" si="1"/>
        <v>AE-0777</v>
      </c>
      <c r="E778" s="3">
        <f t="array" ref="E778">IFERROR(XLOOKUP(D778,'Astronomy 101 Week 1 Quiz (Resp'!F:F,'Astronomy 101 Week 1 Quiz (Resp'!E:E),0)</f>
        <v>0</v>
      </c>
      <c r="F778" s="3" t="s">
        <v>14</v>
      </c>
      <c r="G778" s="3"/>
      <c r="H778" s="6">
        <v>9.05630341E9</v>
      </c>
      <c r="I778" s="6" t="s">
        <v>1307</v>
      </c>
      <c r="J778" s="6" t="s">
        <v>16</v>
      </c>
      <c r="K778" s="6" t="s">
        <v>25</v>
      </c>
    </row>
    <row r="779" ht="22.5" customHeight="1">
      <c r="A779" s="5">
        <v>46172.83193980324</v>
      </c>
      <c r="B779" s="6" t="s">
        <v>2454</v>
      </c>
      <c r="C779" s="6" t="s">
        <v>2455</v>
      </c>
      <c r="D779" s="3" t="str">
        <f t="shared" si="1"/>
        <v>AE-0778</v>
      </c>
      <c r="E779" s="3">
        <f t="array" ref="E779">IFERROR(XLOOKUP(D779,'Astronomy 101 Week 1 Quiz (Resp'!F:F,'Astronomy 101 Week 1 Quiz (Resp'!E:E),0)</f>
        <v>0</v>
      </c>
      <c r="F779" s="3" t="s">
        <v>14</v>
      </c>
      <c r="G779" s="3"/>
      <c r="H779" s="6">
        <v>8.210122571E9</v>
      </c>
      <c r="I779" s="6" t="s">
        <v>2436</v>
      </c>
      <c r="J779" s="6" t="s">
        <v>16</v>
      </c>
      <c r="K779" s="6" t="s">
        <v>17</v>
      </c>
    </row>
    <row r="780" ht="22.5" customHeight="1">
      <c r="A780" s="5">
        <v>46172.834555636575</v>
      </c>
      <c r="B780" s="6" t="s">
        <v>2456</v>
      </c>
      <c r="C780" s="6" t="s">
        <v>2457</v>
      </c>
      <c r="D780" s="3" t="str">
        <f t="shared" si="1"/>
        <v>AE-0779</v>
      </c>
      <c r="E780" s="3">
        <f t="array" ref="E780">IFERROR(XLOOKUP(D780,'Astronomy 101 Week 1 Quiz (Resp'!F:F,'Astronomy 101 Week 1 Quiz (Resp'!E:E),0)</f>
        <v>0</v>
      </c>
      <c r="F780" s="3" t="s">
        <v>14</v>
      </c>
      <c r="G780" s="3"/>
      <c r="H780" s="6">
        <v>8.739988454E9</v>
      </c>
      <c r="I780" s="6" t="s">
        <v>2436</v>
      </c>
      <c r="J780" s="6" t="s">
        <v>16</v>
      </c>
      <c r="K780" s="6" t="s">
        <v>82</v>
      </c>
      <c r="L780" s="6" t="s">
        <v>2458</v>
      </c>
    </row>
    <row r="781" ht="22.5" customHeight="1">
      <c r="A781" s="5">
        <v>46172.840212696756</v>
      </c>
      <c r="B781" s="6" t="s">
        <v>2459</v>
      </c>
      <c r="C781" s="6" t="s">
        <v>2460</v>
      </c>
      <c r="D781" s="3" t="str">
        <f t="shared" si="1"/>
        <v>AE-0780</v>
      </c>
      <c r="E781" s="3">
        <f t="array" ref="E781">IFERROR(XLOOKUP(D781,'Astronomy 101 Week 1 Quiz (Resp'!F:F,'Astronomy 101 Week 1 Quiz (Resp'!E:E),0)</f>
        <v>0</v>
      </c>
      <c r="F781" s="3" t="s">
        <v>14</v>
      </c>
      <c r="G781" s="3"/>
      <c r="H781" s="6">
        <v>9.93400839E9</v>
      </c>
      <c r="I781" s="6" t="s">
        <v>387</v>
      </c>
      <c r="J781" s="6" t="s">
        <v>16</v>
      </c>
      <c r="K781" s="6" t="s">
        <v>21</v>
      </c>
    </row>
    <row r="782" ht="22.5" customHeight="1">
      <c r="A782" s="5">
        <v>46172.85405094907</v>
      </c>
      <c r="B782" s="6" t="s">
        <v>2461</v>
      </c>
      <c r="C782" s="6" t="s">
        <v>2462</v>
      </c>
      <c r="D782" s="3" t="str">
        <f t="shared" si="1"/>
        <v>AE-0781</v>
      </c>
      <c r="E782" s="3">
        <f t="array" ref="E782">IFERROR(XLOOKUP(D782,'Astronomy 101 Week 1 Quiz (Resp'!F:F,'Astronomy 101 Week 1 Quiz (Resp'!E:E),0)</f>
        <v>0</v>
      </c>
      <c r="F782" s="3" t="s">
        <v>14</v>
      </c>
      <c r="G782" s="3"/>
      <c r="H782" s="7" t="s">
        <v>2463</v>
      </c>
      <c r="I782" s="6" t="s">
        <v>1364</v>
      </c>
      <c r="J782" s="6" t="s">
        <v>16</v>
      </c>
      <c r="K782" s="6" t="s">
        <v>17</v>
      </c>
      <c r="L782" s="6" t="s">
        <v>2464</v>
      </c>
    </row>
    <row r="783" ht="22.5" customHeight="1">
      <c r="A783" s="5">
        <v>46172.86427810186</v>
      </c>
      <c r="B783" s="6" t="s">
        <v>2465</v>
      </c>
      <c r="C783" s="6" t="s">
        <v>2466</v>
      </c>
      <c r="D783" s="3" t="str">
        <f t="shared" si="1"/>
        <v>AE-0782</v>
      </c>
      <c r="E783" s="3">
        <f t="array" ref="E783">IFERROR(XLOOKUP(D783,'Astronomy 101 Week 1 Quiz (Resp'!F:F,'Astronomy 101 Week 1 Quiz (Resp'!E:E),0)</f>
        <v>0</v>
      </c>
      <c r="F783" s="3" t="s">
        <v>14</v>
      </c>
      <c r="G783" s="3"/>
      <c r="H783" s="6">
        <v>9.323873505E9</v>
      </c>
      <c r="I783" s="6" t="s">
        <v>2467</v>
      </c>
      <c r="J783" s="6" t="s">
        <v>33</v>
      </c>
      <c r="K783" s="6" t="s">
        <v>82</v>
      </c>
    </row>
    <row r="784" ht="22.5" customHeight="1">
      <c r="A784" s="5">
        <v>46172.87038608796</v>
      </c>
      <c r="B784" s="6" t="s">
        <v>2468</v>
      </c>
      <c r="C784" s="6" t="s">
        <v>2469</v>
      </c>
      <c r="D784" s="3" t="str">
        <f t="shared" si="1"/>
        <v>AE-0783</v>
      </c>
      <c r="E784" s="3">
        <f t="array" ref="E784">IFERROR(XLOOKUP(D784,'Astronomy 101 Week 1 Quiz (Resp'!F:F,'Astronomy 101 Week 1 Quiz (Resp'!E:E),0)</f>
        <v>0</v>
      </c>
      <c r="F784" s="3" t="s">
        <v>14</v>
      </c>
      <c r="G784" s="3"/>
      <c r="H784" s="6">
        <v>8.16010078E9</v>
      </c>
      <c r="I784" s="6" t="s">
        <v>2470</v>
      </c>
      <c r="J784" s="6" t="s">
        <v>16</v>
      </c>
      <c r="K784" s="6" t="s">
        <v>82</v>
      </c>
    </row>
    <row r="785" ht="22.5" customHeight="1">
      <c r="A785" s="5">
        <v>46172.8829572338</v>
      </c>
      <c r="B785" s="6" t="s">
        <v>2471</v>
      </c>
      <c r="C785" s="6" t="s">
        <v>2472</v>
      </c>
      <c r="D785" s="3" t="str">
        <f t="shared" si="1"/>
        <v>AE-0784</v>
      </c>
      <c r="E785" s="3">
        <f t="array" ref="E785">IFERROR(XLOOKUP(D785,'Astronomy 101 Week 1 Quiz (Resp'!F:F,'Astronomy 101 Week 1 Quiz (Resp'!E:E),0)</f>
        <v>0</v>
      </c>
      <c r="F785" s="3" t="s">
        <v>14</v>
      </c>
      <c r="G785" s="3"/>
      <c r="H785" s="6">
        <v>9.306028989E9</v>
      </c>
      <c r="I785" s="6" t="s">
        <v>262</v>
      </c>
      <c r="J785" s="6" t="s">
        <v>16</v>
      </c>
      <c r="K785" s="6" t="s">
        <v>61</v>
      </c>
      <c r="L785" s="6" t="s">
        <v>2473</v>
      </c>
    </row>
    <row r="786" ht="22.5" customHeight="1">
      <c r="A786" s="5">
        <v>46172.88393946759</v>
      </c>
      <c r="B786" s="6" t="s">
        <v>2474</v>
      </c>
      <c r="C786" s="6" t="s">
        <v>2475</v>
      </c>
      <c r="D786" s="3" t="str">
        <f t="shared" si="1"/>
        <v>AE-0785</v>
      </c>
      <c r="E786" s="3">
        <f t="array" ref="E786">IFERROR(XLOOKUP(D786,'Astronomy 101 Week 1 Quiz (Resp'!F:F,'Astronomy 101 Week 1 Quiz (Resp'!E:E),0)</f>
        <v>0</v>
      </c>
      <c r="F786" s="3" t="s">
        <v>14</v>
      </c>
      <c r="G786" s="3"/>
      <c r="H786" s="6">
        <v>7.820903955E9</v>
      </c>
      <c r="I786" s="6" t="s">
        <v>1113</v>
      </c>
      <c r="J786" s="6" t="s">
        <v>16</v>
      </c>
      <c r="K786" s="6" t="s">
        <v>17</v>
      </c>
      <c r="L786" s="6" t="s">
        <v>2476</v>
      </c>
    </row>
    <row r="787" ht="22.5" customHeight="1">
      <c r="A787" s="5">
        <v>46172.88825940972</v>
      </c>
      <c r="B787" s="6" t="s">
        <v>2477</v>
      </c>
      <c r="C787" s="6" t="s">
        <v>2478</v>
      </c>
      <c r="D787" s="3" t="str">
        <f t="shared" si="1"/>
        <v>AE-0786</v>
      </c>
      <c r="E787" s="3">
        <f t="array" ref="E787">IFERROR(XLOOKUP(D787,'Astronomy 101 Week 1 Quiz (Resp'!F:F,'Astronomy 101 Week 1 Quiz (Resp'!E:E),0)</f>
        <v>0</v>
      </c>
      <c r="F787" s="3" t="s">
        <v>14</v>
      </c>
      <c r="G787" s="3"/>
      <c r="H787" s="6">
        <v>7.066710615E9</v>
      </c>
      <c r="I787" s="6" t="s">
        <v>2479</v>
      </c>
      <c r="J787" s="6" t="s">
        <v>16</v>
      </c>
      <c r="K787" s="6" t="s">
        <v>47</v>
      </c>
      <c r="L787" s="6" t="s">
        <v>2480</v>
      </c>
    </row>
    <row r="788" ht="22.5" customHeight="1">
      <c r="A788" s="5">
        <v>46172.904149062495</v>
      </c>
      <c r="B788" s="6" t="s">
        <v>2481</v>
      </c>
      <c r="C788" s="6" t="s">
        <v>2482</v>
      </c>
      <c r="D788" s="3" t="str">
        <f t="shared" si="1"/>
        <v>AE-0787</v>
      </c>
      <c r="E788" s="3">
        <f t="array" ref="E788">IFERROR(XLOOKUP(D788,'Astronomy 101 Week 1 Quiz (Resp'!F:F,'Astronomy 101 Week 1 Quiz (Resp'!E:E),0)</f>
        <v>0</v>
      </c>
      <c r="F788" s="3" t="s">
        <v>14</v>
      </c>
      <c r="G788" s="3"/>
      <c r="H788" s="6">
        <v>8.638858668E9</v>
      </c>
      <c r="I788" s="6" t="s">
        <v>2483</v>
      </c>
      <c r="J788" s="6" t="s">
        <v>16</v>
      </c>
      <c r="K788" s="6" t="s">
        <v>47</v>
      </c>
    </row>
    <row r="789" ht="22.5" customHeight="1">
      <c r="A789" s="5">
        <v>46172.9123606713</v>
      </c>
      <c r="B789" s="6" t="s">
        <v>2484</v>
      </c>
      <c r="C789" s="6" t="s">
        <v>2485</v>
      </c>
      <c r="D789" s="3" t="str">
        <f t="shared" si="1"/>
        <v>AE-0788</v>
      </c>
      <c r="E789" s="3">
        <f t="array" ref="E789">IFERROR(XLOOKUP(D789,'Astronomy 101 Week 1 Quiz (Resp'!F:F,'Astronomy 101 Week 1 Quiz (Resp'!E:E),0)</f>
        <v>0</v>
      </c>
      <c r="F789" s="3" t="s">
        <v>14</v>
      </c>
      <c r="G789" s="3"/>
      <c r="H789" s="6">
        <v>7.477682038E9</v>
      </c>
      <c r="I789" s="6" t="s">
        <v>1364</v>
      </c>
      <c r="J789" s="6" t="s">
        <v>16</v>
      </c>
      <c r="K789" s="6" t="s">
        <v>17</v>
      </c>
      <c r="L789" s="6" t="s">
        <v>296</v>
      </c>
    </row>
    <row r="790" ht="22.5" customHeight="1">
      <c r="A790" s="5">
        <v>46172.91413983796</v>
      </c>
      <c r="B790" s="6" t="s">
        <v>2486</v>
      </c>
      <c r="C790" s="6" t="s">
        <v>2487</v>
      </c>
      <c r="D790" s="3" t="str">
        <f t="shared" si="1"/>
        <v>AE-0789</v>
      </c>
      <c r="E790" s="3">
        <f t="array" ref="E790">IFERROR(XLOOKUP(D790,'Astronomy 101 Week 1 Quiz (Resp'!F:F,'Astronomy 101 Week 1 Quiz (Resp'!E:E),0)</f>
        <v>0</v>
      </c>
      <c r="F790" s="3" t="s">
        <v>14</v>
      </c>
      <c r="G790" s="3"/>
      <c r="H790" s="6">
        <v>6.387831096E9</v>
      </c>
      <c r="I790" s="6" t="s">
        <v>2488</v>
      </c>
      <c r="J790" s="6" t="s">
        <v>16</v>
      </c>
      <c r="K790" s="6" t="s">
        <v>61</v>
      </c>
      <c r="L790" s="6" t="s">
        <v>2489</v>
      </c>
    </row>
    <row r="791" ht="22.5" customHeight="1">
      <c r="A791" s="5">
        <v>46172.91418827546</v>
      </c>
      <c r="B791" s="6" t="s">
        <v>2490</v>
      </c>
      <c r="C791" s="6" t="s">
        <v>2491</v>
      </c>
      <c r="D791" s="3" t="str">
        <f t="shared" si="1"/>
        <v>AE-0790</v>
      </c>
      <c r="E791" s="3">
        <f t="array" ref="E791">IFERROR(XLOOKUP(D791,'Astronomy 101 Week 1 Quiz (Resp'!F:F,'Astronomy 101 Week 1 Quiz (Resp'!E:E),0)</f>
        <v>0</v>
      </c>
      <c r="F791" s="3" t="s">
        <v>14</v>
      </c>
      <c r="G791" s="3"/>
      <c r="H791" s="6">
        <v>9.862654495E9</v>
      </c>
      <c r="I791" s="6" t="s">
        <v>2492</v>
      </c>
      <c r="J791" s="6" t="s">
        <v>16</v>
      </c>
      <c r="K791" s="6" t="s">
        <v>17</v>
      </c>
    </row>
    <row r="792" ht="22.5" customHeight="1">
      <c r="A792" s="5">
        <v>46172.91639082176</v>
      </c>
      <c r="B792" s="6" t="s">
        <v>2493</v>
      </c>
      <c r="C792" s="6" t="s">
        <v>2494</v>
      </c>
      <c r="D792" s="3" t="str">
        <f t="shared" si="1"/>
        <v>AE-0791</v>
      </c>
      <c r="E792" s="3">
        <f t="array" ref="E792">IFERROR(XLOOKUP(D792,'Astronomy 101 Week 1 Quiz (Resp'!F:F,'Astronomy 101 Week 1 Quiz (Resp'!E:E),0)</f>
        <v>0</v>
      </c>
      <c r="F792" s="3" t="s">
        <v>14</v>
      </c>
      <c r="G792" s="3"/>
      <c r="H792" s="6">
        <v>9.800994716E9</v>
      </c>
      <c r="I792" s="6" t="s">
        <v>1307</v>
      </c>
      <c r="J792" s="6" t="s">
        <v>16</v>
      </c>
      <c r="K792" s="6" t="s">
        <v>17</v>
      </c>
      <c r="L792" s="6" t="s">
        <v>2495</v>
      </c>
    </row>
    <row r="793" ht="22.5" customHeight="1">
      <c r="A793" s="5">
        <v>46172.924477650464</v>
      </c>
      <c r="B793" s="6" t="s">
        <v>2496</v>
      </c>
      <c r="C793" s="6" t="s">
        <v>2497</v>
      </c>
      <c r="D793" s="3" t="str">
        <f t="shared" si="1"/>
        <v>AE-0792</v>
      </c>
      <c r="E793" s="3">
        <f t="array" ref="E793">IFERROR(XLOOKUP(D793,'Astronomy 101 Week 1 Quiz (Resp'!F:F,'Astronomy 101 Week 1 Quiz (Resp'!E:E),0)</f>
        <v>45</v>
      </c>
      <c r="F793" s="3" t="s">
        <v>14</v>
      </c>
      <c r="G793" s="3"/>
      <c r="H793" s="6" t="s">
        <v>2498</v>
      </c>
      <c r="I793" s="6" t="s">
        <v>2499</v>
      </c>
      <c r="J793" s="6" t="s">
        <v>16</v>
      </c>
      <c r="K793" s="6" t="s">
        <v>17</v>
      </c>
      <c r="L793" s="6" t="s">
        <v>2500</v>
      </c>
    </row>
    <row r="794" ht="22.5" customHeight="1">
      <c r="A794" s="5">
        <v>46172.92849539352</v>
      </c>
      <c r="B794" s="6" t="s">
        <v>2501</v>
      </c>
      <c r="C794" s="6" t="s">
        <v>2502</v>
      </c>
      <c r="D794" s="3" t="str">
        <f t="shared" si="1"/>
        <v>AE-0793</v>
      </c>
      <c r="E794" s="3">
        <f t="array" ref="E794">IFERROR(XLOOKUP(D794,'Astronomy 101 Week 1 Quiz (Resp'!F:F,'Astronomy 101 Week 1 Quiz (Resp'!E:E),0)</f>
        <v>29</v>
      </c>
      <c r="F794" s="3" t="s">
        <v>14</v>
      </c>
      <c r="G794" s="3"/>
      <c r="H794" s="6">
        <v>9.667340324E9</v>
      </c>
      <c r="I794" s="6" t="s">
        <v>2503</v>
      </c>
      <c r="J794" s="6" t="s">
        <v>16</v>
      </c>
      <c r="K794" s="6" t="s">
        <v>82</v>
      </c>
      <c r="L794" s="6" t="s">
        <v>2504</v>
      </c>
    </row>
    <row r="795" ht="22.5" customHeight="1">
      <c r="A795" s="5">
        <v>46172.92949909723</v>
      </c>
      <c r="B795" s="6" t="s">
        <v>2505</v>
      </c>
      <c r="C795" s="6" t="s">
        <v>2506</v>
      </c>
      <c r="D795" s="3" t="str">
        <f t="shared" si="1"/>
        <v>AE-0794</v>
      </c>
      <c r="E795" s="3">
        <f t="array" ref="E795">IFERROR(XLOOKUP(D795,'Astronomy 101 Week 1 Quiz (Resp'!F:F,'Astronomy 101 Week 1 Quiz (Resp'!E:E),0)</f>
        <v>0</v>
      </c>
      <c r="F795" s="3" t="s">
        <v>14</v>
      </c>
      <c r="G795" s="3"/>
      <c r="H795" s="6">
        <v>9.313641325E9</v>
      </c>
      <c r="I795" s="6" t="s">
        <v>2470</v>
      </c>
      <c r="J795" s="6" t="s">
        <v>16</v>
      </c>
      <c r="K795" s="6" t="s">
        <v>43</v>
      </c>
    </row>
    <row r="796" ht="22.5" customHeight="1">
      <c r="A796" s="5">
        <v>46172.93011693287</v>
      </c>
      <c r="B796" s="6" t="s">
        <v>2507</v>
      </c>
      <c r="C796" s="6" t="s">
        <v>2508</v>
      </c>
      <c r="D796" s="3" t="str">
        <f t="shared" si="1"/>
        <v>AE-0795</v>
      </c>
      <c r="E796" s="3">
        <f t="array" ref="E796">IFERROR(XLOOKUP(D796,'Astronomy 101 Week 1 Quiz (Resp'!F:F,'Astronomy 101 Week 1 Quiz (Resp'!E:E),0)</f>
        <v>0</v>
      </c>
      <c r="F796" s="3" t="s">
        <v>14</v>
      </c>
      <c r="G796" s="3"/>
      <c r="H796" s="6">
        <v>9.865809194E9</v>
      </c>
      <c r="I796" s="6" t="s">
        <v>2509</v>
      </c>
      <c r="J796" s="6" t="s">
        <v>16</v>
      </c>
      <c r="K796" s="6" t="s">
        <v>61</v>
      </c>
      <c r="L796" s="6" t="s">
        <v>2510</v>
      </c>
    </row>
    <row r="797" ht="22.5" customHeight="1">
      <c r="A797" s="5">
        <v>46172.93020623842</v>
      </c>
      <c r="B797" s="6" t="s">
        <v>2511</v>
      </c>
      <c r="C797" s="6" t="s">
        <v>2512</v>
      </c>
      <c r="D797" s="3" t="str">
        <f t="shared" si="1"/>
        <v>AE-0796</v>
      </c>
      <c r="E797" s="3">
        <f t="array" ref="E797">IFERROR(XLOOKUP(D797,'Astronomy 101 Week 1 Quiz (Resp'!F:F,'Astronomy 101 Week 1 Quiz (Resp'!E:E),0)</f>
        <v>0</v>
      </c>
      <c r="F797" s="3" t="s">
        <v>14</v>
      </c>
      <c r="G797" s="3"/>
      <c r="H797" s="6">
        <v>7.89662539E9</v>
      </c>
      <c r="I797" s="6" t="s">
        <v>2513</v>
      </c>
      <c r="J797" s="6" t="s">
        <v>16</v>
      </c>
      <c r="K797" s="6" t="s">
        <v>43</v>
      </c>
      <c r="L797" s="6" t="s">
        <v>2514</v>
      </c>
    </row>
    <row r="798" ht="22.5" customHeight="1">
      <c r="A798" s="5">
        <v>46172.9342028588</v>
      </c>
      <c r="B798" s="6" t="s">
        <v>2515</v>
      </c>
      <c r="C798" s="6" t="s">
        <v>2516</v>
      </c>
      <c r="D798" s="3" t="str">
        <f t="shared" si="1"/>
        <v>AE-0797</v>
      </c>
      <c r="E798" s="3">
        <f t="array" ref="E798">IFERROR(XLOOKUP(D798,'Astronomy 101 Week 1 Quiz (Resp'!F:F,'Astronomy 101 Week 1 Quiz (Resp'!E:E),0)</f>
        <v>43</v>
      </c>
      <c r="F798" s="3" t="s">
        <v>14</v>
      </c>
      <c r="G798" s="3"/>
      <c r="H798" s="6">
        <v>7.376976716E9</v>
      </c>
      <c r="I798" s="6" t="s">
        <v>2517</v>
      </c>
      <c r="J798" s="6" t="s">
        <v>16</v>
      </c>
      <c r="K798" s="6" t="s">
        <v>82</v>
      </c>
      <c r="L798" s="6" t="s">
        <v>2518</v>
      </c>
    </row>
    <row r="799" ht="22.5" customHeight="1">
      <c r="A799" s="5">
        <v>46172.93911273148</v>
      </c>
      <c r="B799" s="6" t="s">
        <v>2519</v>
      </c>
      <c r="C799" s="6" t="s">
        <v>2520</v>
      </c>
      <c r="D799" s="3" t="str">
        <f t="shared" si="1"/>
        <v>AE-0798</v>
      </c>
      <c r="E799" s="3">
        <f t="array" ref="E799">IFERROR(XLOOKUP(D799,'Astronomy 101 Week 1 Quiz (Resp'!F:F,'Astronomy 101 Week 1 Quiz (Resp'!E:E),0)</f>
        <v>38</v>
      </c>
      <c r="F799" s="3" t="s">
        <v>14</v>
      </c>
      <c r="G799" s="3"/>
      <c r="H799" s="6">
        <v>8.777579276E9</v>
      </c>
      <c r="I799" s="6" t="s">
        <v>742</v>
      </c>
      <c r="J799" s="6" t="s">
        <v>16</v>
      </c>
      <c r="K799" s="6" t="s">
        <v>47</v>
      </c>
      <c r="L799" s="6" t="s">
        <v>2521</v>
      </c>
    </row>
    <row r="800" ht="22.5" customHeight="1">
      <c r="A800" s="5">
        <v>46172.94039123843</v>
      </c>
      <c r="B800" s="6" t="s">
        <v>2522</v>
      </c>
      <c r="C800" s="6" t="s">
        <v>2523</v>
      </c>
      <c r="D800" s="3" t="str">
        <f t="shared" si="1"/>
        <v>AE-0799</v>
      </c>
      <c r="E800" s="3">
        <f t="array" ref="E800">IFERROR(XLOOKUP(D800,'Astronomy 101 Week 1 Quiz (Resp'!F:F,'Astronomy 101 Week 1 Quiz (Resp'!E:E),0)</f>
        <v>17</v>
      </c>
      <c r="F800" s="3" t="s">
        <v>14</v>
      </c>
      <c r="G800" s="3"/>
      <c r="H800" s="6">
        <v>8.328087019E9</v>
      </c>
      <c r="I800" s="6" t="s">
        <v>2524</v>
      </c>
      <c r="J800" s="6" t="s">
        <v>16</v>
      </c>
      <c r="K800" s="6" t="s">
        <v>17</v>
      </c>
      <c r="L800" s="6" t="s">
        <v>2525</v>
      </c>
    </row>
    <row r="801" ht="22.5" customHeight="1">
      <c r="A801" s="5">
        <v>46172.94104631944</v>
      </c>
      <c r="B801" s="6" t="s">
        <v>2526</v>
      </c>
      <c r="C801" s="6" t="s">
        <v>2527</v>
      </c>
      <c r="D801" s="3" t="str">
        <f t="shared" si="1"/>
        <v>AE-0800</v>
      </c>
      <c r="E801" s="3">
        <f t="array" ref="E801">IFERROR(XLOOKUP(D801,'Astronomy 101 Week 1 Quiz (Resp'!F:F,'Astronomy 101 Week 1 Quiz (Resp'!E:E),0)</f>
        <v>0</v>
      </c>
      <c r="F801" s="3" t="s">
        <v>734</v>
      </c>
      <c r="G801" s="3" t="s">
        <v>2528</v>
      </c>
      <c r="H801" s="6">
        <v>8.882110634E9</v>
      </c>
      <c r="I801" s="6" t="s">
        <v>2529</v>
      </c>
      <c r="J801" s="6" t="s">
        <v>16</v>
      </c>
      <c r="K801" s="6" t="s">
        <v>25</v>
      </c>
      <c r="L801" s="6" t="s">
        <v>2530</v>
      </c>
    </row>
    <row r="802" ht="22.5" customHeight="1">
      <c r="A802" s="5">
        <v>46172.94412082176</v>
      </c>
      <c r="B802" s="6" t="s">
        <v>2531</v>
      </c>
      <c r="C802" s="6" t="s">
        <v>2532</v>
      </c>
      <c r="D802" s="3" t="str">
        <f t="shared" si="1"/>
        <v>AE-0801</v>
      </c>
      <c r="E802" s="3">
        <f t="array" ref="E802">IFERROR(XLOOKUP(D802,'Astronomy 101 Week 1 Quiz (Resp'!F:F,'Astronomy 101 Week 1 Quiz (Resp'!E:E),0)</f>
        <v>0</v>
      </c>
      <c r="F802" s="3" t="s">
        <v>14</v>
      </c>
      <c r="G802" s="3"/>
      <c r="H802" s="6">
        <v>9.236257647E9</v>
      </c>
      <c r="I802" s="6" t="s">
        <v>2533</v>
      </c>
      <c r="J802" s="6" t="s">
        <v>16</v>
      </c>
      <c r="K802" s="6" t="s">
        <v>82</v>
      </c>
      <c r="L802" s="6" t="s">
        <v>2534</v>
      </c>
    </row>
    <row r="803" ht="22.5" customHeight="1">
      <c r="A803" s="5">
        <v>46172.944350034726</v>
      </c>
      <c r="B803" s="6" t="s">
        <v>2535</v>
      </c>
      <c r="C803" s="6" t="s">
        <v>2536</v>
      </c>
      <c r="D803" s="3" t="str">
        <f t="shared" si="1"/>
        <v>AE-0802</v>
      </c>
      <c r="E803" s="3">
        <f t="array" ref="E803">IFERROR(XLOOKUP(D803,'Astronomy 101 Week 1 Quiz (Resp'!F:F,'Astronomy 101 Week 1 Quiz (Resp'!E:E),0)</f>
        <v>0</v>
      </c>
      <c r="F803" s="3" t="s">
        <v>14</v>
      </c>
      <c r="G803" s="3"/>
      <c r="H803" s="6">
        <v>8.595648089E9</v>
      </c>
      <c r="I803" s="6" t="s">
        <v>2533</v>
      </c>
      <c r="J803" s="6" t="s">
        <v>16</v>
      </c>
      <c r="K803" s="6" t="s">
        <v>21</v>
      </c>
      <c r="L803" s="6" t="s">
        <v>2537</v>
      </c>
    </row>
    <row r="804" ht="22.5" customHeight="1">
      <c r="A804" s="5">
        <v>46172.96059283565</v>
      </c>
      <c r="B804" s="6" t="s">
        <v>2538</v>
      </c>
      <c r="C804" s="6" t="s">
        <v>2539</v>
      </c>
      <c r="D804" s="3" t="str">
        <f t="shared" si="1"/>
        <v>AE-0803</v>
      </c>
      <c r="E804" s="3">
        <f t="array" ref="E804">IFERROR(XLOOKUP(D804,'Astronomy 101 Week 1 Quiz (Resp'!F:F,'Astronomy 101 Week 1 Quiz (Resp'!E:E),0)</f>
        <v>0</v>
      </c>
      <c r="F804" s="3" t="s">
        <v>14</v>
      </c>
      <c r="G804" s="3"/>
      <c r="H804" s="6">
        <v>7.00729414E8</v>
      </c>
      <c r="I804" s="6" t="s">
        <v>2540</v>
      </c>
      <c r="J804" s="6" t="s">
        <v>16</v>
      </c>
      <c r="K804" s="6" t="s">
        <v>17</v>
      </c>
      <c r="L804" s="6" t="s">
        <v>2541</v>
      </c>
    </row>
    <row r="805" ht="22.5" customHeight="1">
      <c r="A805" s="5">
        <v>46172.96660034722</v>
      </c>
      <c r="B805" s="6" t="s">
        <v>2542</v>
      </c>
      <c r="C805" s="6" t="s">
        <v>2543</v>
      </c>
      <c r="D805" s="3" t="str">
        <f t="shared" si="1"/>
        <v>AE-0804</v>
      </c>
      <c r="E805" s="3">
        <f t="array" ref="E805">IFERROR(XLOOKUP(D805,'Astronomy 101 Week 1 Quiz (Resp'!F:F,'Astronomy 101 Week 1 Quiz (Resp'!E:E),0)</f>
        <v>47</v>
      </c>
      <c r="F805" s="3" t="s">
        <v>14</v>
      </c>
      <c r="G805" s="3"/>
      <c r="H805" s="6">
        <v>7.988068838E9</v>
      </c>
      <c r="I805" s="6" t="s">
        <v>2544</v>
      </c>
      <c r="J805" s="6" t="s">
        <v>16</v>
      </c>
      <c r="K805" s="6" t="s">
        <v>61</v>
      </c>
      <c r="L805" s="6" t="s">
        <v>2545</v>
      </c>
    </row>
    <row r="806" ht="22.5" customHeight="1">
      <c r="A806" s="5">
        <v>46172.967942523144</v>
      </c>
      <c r="B806" s="6" t="s">
        <v>2546</v>
      </c>
      <c r="C806" s="6" t="s">
        <v>2547</v>
      </c>
      <c r="D806" s="3" t="str">
        <f t="shared" si="1"/>
        <v>AE-0805</v>
      </c>
      <c r="E806" s="3">
        <f t="array" ref="E806">IFERROR(XLOOKUP(D806,'Astronomy 101 Week 1 Quiz (Resp'!F:F,'Astronomy 101 Week 1 Quiz (Resp'!E:E),0)</f>
        <v>0</v>
      </c>
      <c r="F806" s="3" t="s">
        <v>14</v>
      </c>
      <c r="G806" s="3"/>
      <c r="H806" s="6">
        <v>8.853957925E9</v>
      </c>
      <c r="I806" s="6" t="s">
        <v>1028</v>
      </c>
      <c r="J806" s="6" t="s">
        <v>16</v>
      </c>
      <c r="K806" s="6" t="s">
        <v>17</v>
      </c>
      <c r="L806" s="6" t="s">
        <v>2548</v>
      </c>
    </row>
    <row r="807" ht="22.5" customHeight="1">
      <c r="A807" s="5">
        <v>46172.96805791667</v>
      </c>
      <c r="B807" s="6" t="s">
        <v>2549</v>
      </c>
      <c r="C807" s="6" t="s">
        <v>2550</v>
      </c>
      <c r="D807" s="3" t="str">
        <f t="shared" si="1"/>
        <v>AE-0806</v>
      </c>
      <c r="E807" s="3">
        <f t="array" ref="E807">IFERROR(XLOOKUP(D807,'Astronomy 101 Week 1 Quiz (Resp'!F:F,'Astronomy 101 Week 1 Quiz (Resp'!E:E),0)</f>
        <v>0</v>
      </c>
      <c r="F807" s="3" t="s">
        <v>14</v>
      </c>
      <c r="G807" s="3"/>
      <c r="H807" s="6">
        <v>9.679451478E9</v>
      </c>
      <c r="I807" s="6" t="s">
        <v>2551</v>
      </c>
      <c r="J807" s="6" t="s">
        <v>16</v>
      </c>
      <c r="K807" s="6" t="s">
        <v>47</v>
      </c>
      <c r="L807" s="6" t="s">
        <v>2552</v>
      </c>
    </row>
    <row r="808" ht="22.5" customHeight="1">
      <c r="A808" s="5">
        <v>46172.97377331019</v>
      </c>
      <c r="B808" s="6" t="s">
        <v>2553</v>
      </c>
      <c r="C808" s="6" t="s">
        <v>2554</v>
      </c>
      <c r="D808" s="3" t="str">
        <f t="shared" si="1"/>
        <v>AE-0807</v>
      </c>
      <c r="E808" s="3">
        <f t="array" ref="E808">IFERROR(XLOOKUP(D808,'Astronomy 101 Week 1 Quiz (Resp'!F:F,'Astronomy 101 Week 1 Quiz (Resp'!E:E),0)</f>
        <v>0</v>
      </c>
      <c r="F808" s="3" t="s">
        <v>14</v>
      </c>
      <c r="G808" s="3"/>
      <c r="H808" s="6">
        <v>9.40911313E9</v>
      </c>
      <c r="I808" s="6" t="s">
        <v>2436</v>
      </c>
      <c r="J808" s="6" t="s">
        <v>16</v>
      </c>
      <c r="K808" s="6" t="s">
        <v>25</v>
      </c>
      <c r="L808" s="6" t="s">
        <v>2555</v>
      </c>
    </row>
    <row r="809" ht="22.5" customHeight="1">
      <c r="A809" s="5">
        <v>46172.98639450231</v>
      </c>
      <c r="B809" s="6" t="s">
        <v>2556</v>
      </c>
      <c r="C809" s="6" t="s">
        <v>2557</v>
      </c>
      <c r="D809" s="3" t="str">
        <f t="shared" si="1"/>
        <v>AE-0808</v>
      </c>
      <c r="E809" s="3">
        <f t="array" ref="E809">IFERROR(XLOOKUP(D809,'Astronomy 101 Week 1 Quiz (Resp'!F:F,'Astronomy 101 Week 1 Quiz (Resp'!E:E),0)</f>
        <v>0</v>
      </c>
      <c r="F809" s="3" t="s">
        <v>14</v>
      </c>
      <c r="G809" s="3"/>
      <c r="H809" s="6">
        <v>8.591809731E9</v>
      </c>
      <c r="I809" s="6" t="s">
        <v>2558</v>
      </c>
      <c r="J809" s="6" t="s">
        <v>16</v>
      </c>
      <c r="K809" s="6" t="s">
        <v>47</v>
      </c>
      <c r="L809" s="6" t="s">
        <v>2559</v>
      </c>
    </row>
    <row r="810" ht="22.5" customHeight="1">
      <c r="A810" s="5">
        <v>46172.991225474536</v>
      </c>
      <c r="B810" s="6" t="s">
        <v>2560</v>
      </c>
      <c r="C810" s="6" t="s">
        <v>2561</v>
      </c>
      <c r="D810" s="3" t="str">
        <f t="shared" si="1"/>
        <v>AE-0809</v>
      </c>
      <c r="E810" s="3">
        <f t="array" ref="E810">IFERROR(XLOOKUP(D810,'Astronomy 101 Week 1 Quiz (Resp'!F:F,'Astronomy 101 Week 1 Quiz (Resp'!E:E),0)</f>
        <v>0</v>
      </c>
      <c r="F810" s="3" t="s">
        <v>14</v>
      </c>
      <c r="G810" s="3"/>
      <c r="H810" s="6">
        <v>8.340703763E9</v>
      </c>
      <c r="I810" s="6" t="s">
        <v>2562</v>
      </c>
      <c r="J810" s="6" t="s">
        <v>16</v>
      </c>
      <c r="K810" s="6" t="s">
        <v>43</v>
      </c>
      <c r="L810" s="6" t="s">
        <v>2563</v>
      </c>
    </row>
    <row r="811" ht="22.5" customHeight="1">
      <c r="A811" s="5">
        <v>46172.9915571875</v>
      </c>
      <c r="B811" s="6" t="s">
        <v>2564</v>
      </c>
      <c r="C811" s="6" t="s">
        <v>2565</v>
      </c>
      <c r="D811" s="3" t="str">
        <f t="shared" si="1"/>
        <v>AE-0810</v>
      </c>
      <c r="E811" s="3">
        <f t="array" ref="E811">IFERROR(XLOOKUP(D811,'Astronomy 101 Week 1 Quiz (Resp'!F:F,'Astronomy 101 Week 1 Quiz (Resp'!E:E),0)</f>
        <v>0</v>
      </c>
      <c r="F811" s="3" t="s">
        <v>14</v>
      </c>
      <c r="G811" s="3"/>
      <c r="H811" s="6">
        <v>9.032473547E9</v>
      </c>
      <c r="I811" s="6" t="s">
        <v>2566</v>
      </c>
      <c r="J811" s="6" t="s">
        <v>16</v>
      </c>
      <c r="K811" s="6" t="s">
        <v>17</v>
      </c>
      <c r="L811" s="6" t="s">
        <v>2567</v>
      </c>
    </row>
    <row r="812" ht="22.5" customHeight="1">
      <c r="A812" s="5">
        <v>46172.9961787037</v>
      </c>
      <c r="B812" s="6" t="s">
        <v>2568</v>
      </c>
      <c r="C812" s="6" t="s">
        <v>2569</v>
      </c>
      <c r="D812" s="3" t="str">
        <f t="shared" si="1"/>
        <v>AE-0811</v>
      </c>
      <c r="E812" s="3">
        <f t="array" ref="E812">IFERROR(XLOOKUP(D812,'Astronomy 101 Week 1 Quiz (Resp'!F:F,'Astronomy 101 Week 1 Quiz (Resp'!E:E),0)</f>
        <v>0</v>
      </c>
      <c r="F812" s="3" t="s">
        <v>14</v>
      </c>
      <c r="G812" s="3"/>
      <c r="H812" s="6">
        <v>6.302804384E9</v>
      </c>
      <c r="I812" s="6" t="s">
        <v>2570</v>
      </c>
      <c r="J812" s="6" t="s">
        <v>16</v>
      </c>
      <c r="K812" s="6" t="s">
        <v>61</v>
      </c>
      <c r="L812" s="6" t="s">
        <v>2571</v>
      </c>
    </row>
    <row r="813" ht="22.5" customHeight="1">
      <c r="A813" s="5">
        <v>46173.00879692129</v>
      </c>
      <c r="B813" s="6" t="s">
        <v>2572</v>
      </c>
      <c r="C813" s="6" t="s">
        <v>2573</v>
      </c>
      <c r="D813" s="3" t="str">
        <f t="shared" si="1"/>
        <v>AE-0812</v>
      </c>
      <c r="E813" s="3">
        <f t="array" ref="E813">IFERROR(XLOOKUP(D813,'Astronomy 101 Week 1 Quiz (Resp'!F:F,'Astronomy 101 Week 1 Quiz (Resp'!E:E),0)</f>
        <v>44</v>
      </c>
      <c r="F813" s="3" t="s">
        <v>14</v>
      </c>
      <c r="G813" s="3"/>
      <c r="H813" s="6">
        <v>9.030475568E9</v>
      </c>
      <c r="I813" s="6" t="s">
        <v>2574</v>
      </c>
      <c r="J813" s="6" t="s">
        <v>16</v>
      </c>
      <c r="K813" s="6" t="s">
        <v>17</v>
      </c>
      <c r="L813" s="6" t="s">
        <v>2575</v>
      </c>
    </row>
    <row r="814" ht="22.5" customHeight="1">
      <c r="A814" s="5">
        <v>46173.04184184028</v>
      </c>
      <c r="B814" s="6" t="s">
        <v>2576</v>
      </c>
      <c r="C814" s="6" t="s">
        <v>2577</v>
      </c>
      <c r="D814" s="3" t="str">
        <f t="shared" si="1"/>
        <v>AE-0813</v>
      </c>
      <c r="E814" s="3">
        <f t="array" ref="E814">IFERROR(XLOOKUP(D814,'Astronomy 101 Week 1 Quiz (Resp'!F:F,'Astronomy 101 Week 1 Quiz (Resp'!E:E),0)</f>
        <v>0</v>
      </c>
      <c r="F814" s="3" t="s">
        <v>14</v>
      </c>
      <c r="G814" s="3"/>
      <c r="H814" s="6">
        <v>9.847131701E9</v>
      </c>
      <c r="I814" s="6" t="s">
        <v>2578</v>
      </c>
      <c r="J814" s="6" t="s">
        <v>16</v>
      </c>
      <c r="K814" s="6" t="s">
        <v>17</v>
      </c>
      <c r="L814" s="6" t="s">
        <v>2579</v>
      </c>
    </row>
    <row r="815" ht="22.5" customHeight="1">
      <c r="A815" s="5">
        <v>46173.081761504625</v>
      </c>
      <c r="B815" s="6" t="s">
        <v>2580</v>
      </c>
      <c r="C815" s="6" t="s">
        <v>2581</v>
      </c>
      <c r="D815" s="3" t="str">
        <f t="shared" si="1"/>
        <v>AE-0814</v>
      </c>
      <c r="E815" s="3">
        <f t="array" ref="E815">IFERROR(XLOOKUP(D815,'Astronomy 101 Week 1 Quiz (Resp'!F:F,'Astronomy 101 Week 1 Quiz (Resp'!E:E),0)</f>
        <v>40</v>
      </c>
      <c r="F815" s="3" t="s">
        <v>14</v>
      </c>
      <c r="G815" s="3"/>
      <c r="H815" s="6" t="s">
        <v>2582</v>
      </c>
      <c r="I815" s="6" t="s">
        <v>2583</v>
      </c>
      <c r="J815" s="6" t="s">
        <v>16</v>
      </c>
      <c r="K815" s="6" t="s">
        <v>47</v>
      </c>
      <c r="L815" s="6" t="s">
        <v>2584</v>
      </c>
    </row>
    <row r="816" ht="22.5" customHeight="1">
      <c r="A816" s="5">
        <v>46173.165632881944</v>
      </c>
      <c r="B816" s="6" t="s">
        <v>2585</v>
      </c>
      <c r="C816" s="6" t="s">
        <v>2586</v>
      </c>
      <c r="D816" s="3" t="str">
        <f t="shared" si="1"/>
        <v>AE-0815</v>
      </c>
      <c r="E816" s="3">
        <f t="array" ref="E816">IFERROR(XLOOKUP(D816,'Astronomy 101 Week 1 Quiz (Resp'!F:F,'Astronomy 101 Week 1 Quiz (Resp'!E:E),0)</f>
        <v>0</v>
      </c>
      <c r="F816" s="3" t="s">
        <v>14</v>
      </c>
      <c r="G816" s="3"/>
      <c r="H816" s="6">
        <v>9.672502901E9</v>
      </c>
      <c r="I816" s="6" t="s">
        <v>2587</v>
      </c>
      <c r="J816" s="6" t="s">
        <v>16</v>
      </c>
      <c r="K816" s="6" t="s">
        <v>47</v>
      </c>
    </row>
    <row r="817" ht="22.5" customHeight="1">
      <c r="A817" s="5">
        <v>46173.232811215275</v>
      </c>
      <c r="B817" s="6" t="s">
        <v>2588</v>
      </c>
      <c r="C817" s="6" t="s">
        <v>2589</v>
      </c>
      <c r="D817" s="3" t="str">
        <f t="shared" si="1"/>
        <v>AE-0816</v>
      </c>
      <c r="E817" s="3">
        <f t="array" ref="E817">IFERROR(XLOOKUP(D817,'Astronomy 101 Week 1 Quiz (Resp'!F:F,'Astronomy 101 Week 1 Quiz (Resp'!E:E),0)</f>
        <v>0</v>
      </c>
      <c r="F817" s="3" t="s">
        <v>14</v>
      </c>
      <c r="G817" s="3"/>
      <c r="H817" s="6">
        <v>8.446313498E9</v>
      </c>
      <c r="I817" s="6" t="s">
        <v>15</v>
      </c>
      <c r="J817" s="6" t="s">
        <v>16</v>
      </c>
      <c r="K817" s="6" t="s">
        <v>21</v>
      </c>
      <c r="L817" s="6" t="s">
        <v>2590</v>
      </c>
    </row>
    <row r="818" ht="22.5" customHeight="1">
      <c r="A818" s="5">
        <v>46173.31745236111</v>
      </c>
      <c r="B818" s="6" t="s">
        <v>2591</v>
      </c>
      <c r="C818" s="6" t="s">
        <v>2592</v>
      </c>
      <c r="D818" s="3" t="str">
        <f t="shared" si="1"/>
        <v>AE-0817</v>
      </c>
      <c r="E818" s="3">
        <f t="array" ref="E818">IFERROR(XLOOKUP(D818,'Astronomy 101 Week 1 Quiz (Resp'!F:F,'Astronomy 101 Week 1 Quiz (Resp'!E:E),0)</f>
        <v>0</v>
      </c>
      <c r="F818" s="3" t="s">
        <v>14</v>
      </c>
      <c r="G818" s="3"/>
      <c r="H818" s="6">
        <v>9.633053967E9</v>
      </c>
      <c r="I818" s="6" t="s">
        <v>2593</v>
      </c>
      <c r="J818" s="6" t="s">
        <v>16</v>
      </c>
      <c r="K818" s="6" t="s">
        <v>17</v>
      </c>
      <c r="L818" s="6" t="s">
        <v>2594</v>
      </c>
    </row>
    <row r="819" ht="22.5" customHeight="1">
      <c r="A819" s="5">
        <v>46173.33705192129</v>
      </c>
      <c r="B819" s="6" t="s">
        <v>2595</v>
      </c>
      <c r="C819" s="6" t="s">
        <v>2596</v>
      </c>
      <c r="D819" s="3" t="str">
        <f t="shared" si="1"/>
        <v>AE-0818</v>
      </c>
      <c r="E819" s="3">
        <f t="array" ref="E819">IFERROR(XLOOKUP(D819,'Astronomy 101 Week 1 Quiz (Resp'!F:F,'Astronomy 101 Week 1 Quiz (Resp'!E:E),0)</f>
        <v>0</v>
      </c>
      <c r="F819" s="3" t="s">
        <v>14</v>
      </c>
      <c r="G819" s="3"/>
      <c r="H819" s="6">
        <v>9.356341963E9</v>
      </c>
      <c r="I819" s="6" t="s">
        <v>2597</v>
      </c>
      <c r="J819" s="6" t="s">
        <v>16</v>
      </c>
      <c r="K819" s="6" t="s">
        <v>25</v>
      </c>
      <c r="L819" s="6" t="s">
        <v>2598</v>
      </c>
    </row>
    <row r="820" ht="22.5" customHeight="1">
      <c r="A820" s="5">
        <v>46173.340384027775</v>
      </c>
      <c r="B820" s="6" t="s">
        <v>2599</v>
      </c>
      <c r="C820" s="6" t="s">
        <v>2600</v>
      </c>
      <c r="D820" s="3" t="str">
        <f t="shared" si="1"/>
        <v>AE-0819</v>
      </c>
      <c r="E820" s="3">
        <f t="array" ref="E820">IFERROR(XLOOKUP(D820,'Astronomy 101 Week 1 Quiz (Resp'!F:F,'Astronomy 101 Week 1 Quiz (Resp'!E:E),0)</f>
        <v>43</v>
      </c>
      <c r="F820" s="3" t="s">
        <v>14</v>
      </c>
      <c r="G820" s="3"/>
      <c r="H820" s="6">
        <v>7.675975489E9</v>
      </c>
      <c r="I820" s="6" t="s">
        <v>2601</v>
      </c>
      <c r="J820" s="6" t="s">
        <v>16</v>
      </c>
      <c r="K820" s="6" t="s">
        <v>21</v>
      </c>
      <c r="L820" s="6" t="s">
        <v>2602</v>
      </c>
    </row>
    <row r="821" ht="22.5" customHeight="1">
      <c r="A821" s="5">
        <v>46173.34186510417</v>
      </c>
      <c r="B821" s="6" t="s">
        <v>2603</v>
      </c>
      <c r="C821" s="6" t="s">
        <v>2604</v>
      </c>
      <c r="D821" s="3" t="str">
        <f t="shared" si="1"/>
        <v>AE-0820</v>
      </c>
      <c r="E821" s="3">
        <f t="array" ref="E821">IFERROR(XLOOKUP(D821,'Astronomy 101 Week 1 Quiz (Resp'!F:F,'Astronomy 101 Week 1 Quiz (Resp'!E:E),0)</f>
        <v>0</v>
      </c>
      <c r="F821" s="3" t="s">
        <v>14</v>
      </c>
      <c r="G821" s="3"/>
      <c r="H821" s="6">
        <v>9.785772029E9</v>
      </c>
      <c r="I821" s="6" t="s">
        <v>2605</v>
      </c>
      <c r="J821" s="6" t="s">
        <v>16</v>
      </c>
      <c r="K821" s="6" t="s">
        <v>17</v>
      </c>
    </row>
    <row r="822" ht="22.5" customHeight="1">
      <c r="A822" s="5">
        <v>46173.34996872685</v>
      </c>
      <c r="B822" s="6" t="s">
        <v>2606</v>
      </c>
      <c r="C822" s="6" t="s">
        <v>2607</v>
      </c>
      <c r="D822" s="3" t="str">
        <f t="shared" si="1"/>
        <v>AE-0821</v>
      </c>
      <c r="E822" s="3">
        <f t="array" ref="E822">IFERROR(XLOOKUP(D822,'Astronomy 101 Week 1 Quiz (Resp'!F:F,'Astronomy 101 Week 1 Quiz (Resp'!E:E),0)</f>
        <v>43</v>
      </c>
      <c r="F822" s="3" t="s">
        <v>14</v>
      </c>
      <c r="G822" s="3"/>
      <c r="H822" s="6">
        <v>6.358853389E9</v>
      </c>
      <c r="I822" s="6" t="s">
        <v>2436</v>
      </c>
      <c r="J822" s="6" t="s">
        <v>16</v>
      </c>
      <c r="K822" s="6" t="s">
        <v>25</v>
      </c>
    </row>
    <row r="823" ht="22.5" customHeight="1">
      <c r="A823" s="5">
        <v>46173.3580147801</v>
      </c>
      <c r="B823" s="6" t="s">
        <v>2608</v>
      </c>
      <c r="C823" s="6" t="s">
        <v>2609</v>
      </c>
      <c r="D823" s="3" t="str">
        <f t="shared" si="1"/>
        <v>AE-0822</v>
      </c>
      <c r="E823" s="3">
        <f t="array" ref="E823">IFERROR(XLOOKUP(D823,'Astronomy 101 Week 1 Quiz (Resp'!F:F,'Astronomy 101 Week 1 Quiz (Resp'!E:E),0)</f>
        <v>0</v>
      </c>
      <c r="F823" s="3" t="s">
        <v>14</v>
      </c>
      <c r="G823" s="3"/>
      <c r="H823" s="6">
        <v>9.4155747999E10</v>
      </c>
      <c r="I823" s="6" t="s">
        <v>2610</v>
      </c>
      <c r="J823" s="6" t="s">
        <v>16</v>
      </c>
      <c r="K823" s="6" t="s">
        <v>17</v>
      </c>
    </row>
    <row r="824" ht="22.5" customHeight="1">
      <c r="A824" s="5">
        <v>46173.36399670139</v>
      </c>
      <c r="B824" s="6" t="s">
        <v>2611</v>
      </c>
      <c r="C824" s="6" t="s">
        <v>2612</v>
      </c>
      <c r="D824" s="3" t="str">
        <f t="shared" si="1"/>
        <v>AE-0823</v>
      </c>
      <c r="E824" s="3">
        <f t="array" ref="E824">IFERROR(XLOOKUP(D824,'Astronomy 101 Week 1 Quiz (Resp'!F:F,'Astronomy 101 Week 1 Quiz (Resp'!E:E),0)</f>
        <v>0</v>
      </c>
      <c r="F824" s="3" t="s">
        <v>14</v>
      </c>
      <c r="G824" s="3"/>
      <c r="H824" s="6">
        <v>7.004209443E9</v>
      </c>
      <c r="I824" s="6" t="s">
        <v>2613</v>
      </c>
      <c r="J824" s="6" t="s">
        <v>16</v>
      </c>
      <c r="K824" s="6" t="s">
        <v>82</v>
      </c>
      <c r="L824" s="6" t="s">
        <v>2614</v>
      </c>
    </row>
    <row r="825" ht="22.5" customHeight="1">
      <c r="A825" s="5">
        <v>46173.38654835648</v>
      </c>
      <c r="B825" s="6" t="s">
        <v>2615</v>
      </c>
      <c r="C825" s="6" t="s">
        <v>2616</v>
      </c>
      <c r="D825" s="3" t="str">
        <f t="shared" si="1"/>
        <v>AE-0824</v>
      </c>
      <c r="E825" s="3">
        <f t="array" ref="E825">IFERROR(XLOOKUP(D825,'Astronomy 101 Week 1 Quiz (Resp'!F:F,'Astronomy 101 Week 1 Quiz (Resp'!E:E),0)</f>
        <v>42</v>
      </c>
      <c r="F825" s="3" t="s">
        <v>14</v>
      </c>
      <c r="G825" s="3"/>
      <c r="H825" s="6">
        <v>8.291614019E9</v>
      </c>
      <c r="I825" s="6" t="s">
        <v>1307</v>
      </c>
      <c r="J825" s="6" t="s">
        <v>16</v>
      </c>
      <c r="K825" s="6" t="s">
        <v>17</v>
      </c>
      <c r="L825" s="6" t="s">
        <v>2617</v>
      </c>
    </row>
    <row r="826" ht="22.5" customHeight="1">
      <c r="A826" s="5">
        <v>46173.40257114584</v>
      </c>
      <c r="B826" s="6" t="s">
        <v>2618</v>
      </c>
      <c r="C826" s="6" t="s">
        <v>2619</v>
      </c>
      <c r="D826" s="3" t="str">
        <f t="shared" si="1"/>
        <v>AE-0825</v>
      </c>
      <c r="E826" s="3">
        <f t="array" ref="E826">IFERROR(XLOOKUP(D826,'Astronomy 101 Week 1 Quiz (Resp'!F:F,'Astronomy 101 Week 1 Quiz (Resp'!E:E),0)</f>
        <v>0</v>
      </c>
      <c r="F826" s="3" t="s">
        <v>14</v>
      </c>
      <c r="G826" s="3"/>
      <c r="H826" s="6">
        <v>7.569825494E9</v>
      </c>
      <c r="I826" s="6" t="s">
        <v>2620</v>
      </c>
      <c r="J826" s="6" t="s">
        <v>16</v>
      </c>
      <c r="K826" s="6" t="s">
        <v>17</v>
      </c>
      <c r="L826" s="6" t="s">
        <v>2621</v>
      </c>
    </row>
    <row r="827" ht="22.5" customHeight="1">
      <c r="A827" s="5">
        <v>46173.415841458336</v>
      </c>
      <c r="B827" s="6" t="s">
        <v>2622</v>
      </c>
      <c r="C827" s="6" t="s">
        <v>2623</v>
      </c>
      <c r="D827" s="3" t="str">
        <f t="shared" si="1"/>
        <v>AE-0826</v>
      </c>
      <c r="E827" s="3">
        <f t="array" ref="E827">IFERROR(XLOOKUP(D827,'Astronomy 101 Week 1 Quiz (Resp'!F:F,'Astronomy 101 Week 1 Quiz (Resp'!E:E),0)</f>
        <v>0</v>
      </c>
      <c r="F827" s="3" t="s">
        <v>14</v>
      </c>
      <c r="G827" s="3"/>
      <c r="H827" s="6">
        <v>6.350102473E9</v>
      </c>
      <c r="I827" s="6" t="s">
        <v>2533</v>
      </c>
      <c r="J827" s="6" t="s">
        <v>16</v>
      </c>
      <c r="K827" s="6" t="s">
        <v>82</v>
      </c>
      <c r="L827" s="6" t="s">
        <v>2624</v>
      </c>
    </row>
    <row r="828" ht="22.5" customHeight="1">
      <c r="A828" s="5">
        <v>46173.42263570602</v>
      </c>
      <c r="B828" s="6" t="s">
        <v>2625</v>
      </c>
      <c r="C828" s="6" t="s">
        <v>2626</v>
      </c>
      <c r="D828" s="3" t="str">
        <f t="shared" si="1"/>
        <v>AE-0827</v>
      </c>
      <c r="E828" s="3">
        <f t="array" ref="E828">IFERROR(XLOOKUP(D828,'Astronomy 101 Week 1 Quiz (Resp'!F:F,'Astronomy 101 Week 1 Quiz (Resp'!E:E),0)</f>
        <v>0</v>
      </c>
      <c r="F828" s="3" t="s">
        <v>14</v>
      </c>
      <c r="G828" s="3"/>
      <c r="H828" s="6">
        <v>8.119998577E9</v>
      </c>
      <c r="I828" s="6" t="s">
        <v>2627</v>
      </c>
      <c r="J828" s="6" t="s">
        <v>16</v>
      </c>
      <c r="K828" s="6" t="s">
        <v>17</v>
      </c>
      <c r="L828" s="6" t="s">
        <v>2628</v>
      </c>
    </row>
    <row r="829" ht="22.5" customHeight="1">
      <c r="A829" s="5">
        <v>46173.42554115741</v>
      </c>
      <c r="B829" s="6" t="s">
        <v>2629</v>
      </c>
      <c r="C829" s="6" t="s">
        <v>2630</v>
      </c>
      <c r="D829" s="3" t="str">
        <f t="shared" si="1"/>
        <v>AE-0828</v>
      </c>
      <c r="E829" s="3">
        <f t="array" ref="E829">IFERROR(XLOOKUP(D829,'Astronomy 101 Week 1 Quiz (Resp'!F:F,'Astronomy 101 Week 1 Quiz (Resp'!E:E),0)</f>
        <v>0</v>
      </c>
      <c r="F829" s="3" t="s">
        <v>14</v>
      </c>
      <c r="G829" s="3"/>
      <c r="H829" s="6">
        <v>8.129911416E9</v>
      </c>
      <c r="I829" s="6" t="s">
        <v>2631</v>
      </c>
      <c r="J829" s="6" t="s">
        <v>16</v>
      </c>
      <c r="K829" s="6" t="s">
        <v>17</v>
      </c>
    </row>
    <row r="830" ht="22.5" customHeight="1">
      <c r="A830" s="5">
        <v>46173.42641792824</v>
      </c>
      <c r="B830" s="6" t="s">
        <v>2632</v>
      </c>
      <c r="C830" s="6" t="s">
        <v>2633</v>
      </c>
      <c r="D830" s="3" t="str">
        <f t="shared" si="1"/>
        <v>AE-0829</v>
      </c>
      <c r="E830" s="3">
        <f t="array" ref="E830">IFERROR(XLOOKUP(D830,'Astronomy 101 Week 1 Quiz (Resp'!F:F,'Astronomy 101 Week 1 Quiz (Resp'!E:E),0)</f>
        <v>0</v>
      </c>
      <c r="F830" s="3" t="s">
        <v>14</v>
      </c>
      <c r="G830" s="3"/>
      <c r="H830" s="6">
        <v>7.658970981E9</v>
      </c>
      <c r="I830" s="6" t="s">
        <v>2634</v>
      </c>
      <c r="J830" s="6" t="s">
        <v>16</v>
      </c>
      <c r="K830" s="6" t="s">
        <v>17</v>
      </c>
      <c r="L830" s="6" t="s">
        <v>2635</v>
      </c>
    </row>
    <row r="831" ht="22.5" customHeight="1">
      <c r="A831" s="5">
        <v>46173.4299209375</v>
      </c>
      <c r="B831" s="6" t="s">
        <v>2636</v>
      </c>
      <c r="C831" s="6" t="s">
        <v>2637</v>
      </c>
      <c r="D831" s="3" t="str">
        <f t="shared" si="1"/>
        <v>AE-0830</v>
      </c>
      <c r="E831" s="3">
        <f t="array" ref="E831">IFERROR(XLOOKUP(D831,'Astronomy 101 Week 1 Quiz (Resp'!F:F,'Astronomy 101 Week 1 Quiz (Resp'!E:E),0)</f>
        <v>34</v>
      </c>
      <c r="F831" s="3" t="s">
        <v>14</v>
      </c>
      <c r="G831" s="3"/>
      <c r="H831" s="6">
        <v>7.644926665E9</v>
      </c>
      <c r="I831" s="6" t="s">
        <v>2638</v>
      </c>
      <c r="J831" s="6" t="s">
        <v>16</v>
      </c>
      <c r="K831" s="6" t="s">
        <v>17</v>
      </c>
    </row>
    <row r="832" ht="22.5" customHeight="1">
      <c r="A832" s="5">
        <v>46173.44702186342</v>
      </c>
      <c r="B832" s="6" t="s">
        <v>2639</v>
      </c>
      <c r="C832" s="6" t="s">
        <v>2640</v>
      </c>
      <c r="D832" s="3" t="str">
        <f t="shared" si="1"/>
        <v>AE-0831</v>
      </c>
      <c r="E832" s="3">
        <f t="array" ref="E832">IFERROR(XLOOKUP(D832,'Astronomy 101 Week 1 Quiz (Resp'!F:F,'Astronomy 101 Week 1 Quiz (Resp'!E:E),0)</f>
        <v>0</v>
      </c>
      <c r="F832" s="3" t="s">
        <v>14</v>
      </c>
      <c r="G832" s="3"/>
      <c r="H832" s="6">
        <v>9.949799688E9</v>
      </c>
      <c r="I832" s="6" t="s">
        <v>2641</v>
      </c>
      <c r="J832" s="6" t="s">
        <v>16</v>
      </c>
      <c r="K832" s="6" t="s">
        <v>21</v>
      </c>
      <c r="L832" s="6" t="s">
        <v>2642</v>
      </c>
    </row>
    <row r="833" ht="22.5" customHeight="1">
      <c r="A833" s="5">
        <v>46173.45086993056</v>
      </c>
      <c r="B833" s="6" t="s">
        <v>2643</v>
      </c>
      <c r="C833" s="6" t="s">
        <v>2644</v>
      </c>
      <c r="D833" s="3" t="str">
        <f t="shared" si="1"/>
        <v>AE-0832</v>
      </c>
      <c r="E833" s="3">
        <f t="array" ref="E833">IFERROR(XLOOKUP(D833,'Astronomy 101 Week 1 Quiz (Resp'!F:F,'Astronomy 101 Week 1 Quiz (Resp'!E:E),0)</f>
        <v>0</v>
      </c>
      <c r="F833" s="3" t="s">
        <v>14</v>
      </c>
      <c r="G833" s="3"/>
      <c r="H833" s="6">
        <v>6.302804327E9</v>
      </c>
      <c r="I833" s="6" t="s">
        <v>2645</v>
      </c>
      <c r="J833" s="6" t="s">
        <v>16</v>
      </c>
      <c r="K833" s="6" t="s">
        <v>17</v>
      </c>
      <c r="L833" s="6" t="s">
        <v>2646</v>
      </c>
    </row>
    <row r="834" ht="22.5" customHeight="1">
      <c r="A834" s="5">
        <v>46173.45314439815</v>
      </c>
      <c r="B834" s="6" t="s">
        <v>2647</v>
      </c>
      <c r="C834" s="6" t="s">
        <v>2648</v>
      </c>
      <c r="D834" s="3" t="str">
        <f t="shared" si="1"/>
        <v>AE-0833</v>
      </c>
      <c r="E834" s="3">
        <f t="array" ref="E834">IFERROR(XLOOKUP(D834,'Astronomy 101 Week 1 Quiz (Resp'!F:F,'Astronomy 101 Week 1 Quiz (Resp'!E:E),0)</f>
        <v>0</v>
      </c>
      <c r="F834" s="3" t="s">
        <v>14</v>
      </c>
      <c r="G834" s="3"/>
      <c r="H834" s="6">
        <v>8.874632851E9</v>
      </c>
      <c r="I834" s="6" t="s">
        <v>2335</v>
      </c>
      <c r="J834" s="6" t="s">
        <v>16</v>
      </c>
      <c r="K834" s="6" t="s">
        <v>61</v>
      </c>
    </row>
    <row r="835" ht="22.5" customHeight="1">
      <c r="A835" s="5">
        <v>46173.46341355324</v>
      </c>
      <c r="B835" s="6" t="s">
        <v>2649</v>
      </c>
      <c r="C835" s="6" t="s">
        <v>2650</v>
      </c>
      <c r="D835" s="3" t="str">
        <f t="shared" si="1"/>
        <v>AE-0834</v>
      </c>
      <c r="E835" s="3">
        <f t="array" ref="E835">IFERROR(XLOOKUP(D835,'Astronomy 101 Week 1 Quiz (Resp'!F:F,'Astronomy 101 Week 1 Quiz (Resp'!E:E),0)</f>
        <v>0</v>
      </c>
      <c r="F835" s="3" t="s">
        <v>14</v>
      </c>
      <c r="G835" s="3"/>
      <c r="H835" s="6">
        <v>9.676467787E9</v>
      </c>
      <c r="I835" s="6" t="s">
        <v>2651</v>
      </c>
      <c r="J835" s="6" t="s">
        <v>16</v>
      </c>
      <c r="K835" s="6" t="s">
        <v>17</v>
      </c>
      <c r="L835" s="6" t="s">
        <v>2652</v>
      </c>
    </row>
    <row r="836" ht="22.5" customHeight="1">
      <c r="A836" s="5">
        <v>46173.46718056713</v>
      </c>
      <c r="B836" s="6" t="s">
        <v>2653</v>
      </c>
      <c r="C836" s="6" t="s">
        <v>2398</v>
      </c>
      <c r="D836" s="3" t="str">
        <f t="shared" si="1"/>
        <v>AE-0835</v>
      </c>
      <c r="E836" s="3">
        <f t="array" ref="E836">IFERROR(XLOOKUP(D836,'Astronomy 101 Week 1 Quiz (Resp'!F:F,'Astronomy 101 Week 1 Quiz (Resp'!E:E),0)</f>
        <v>0</v>
      </c>
      <c r="F836" s="3" t="s">
        <v>14</v>
      </c>
      <c r="G836" s="3"/>
      <c r="H836" s="6">
        <v>7.497897874E9</v>
      </c>
      <c r="I836" s="6" t="s">
        <v>2335</v>
      </c>
      <c r="J836" s="6" t="s">
        <v>16</v>
      </c>
      <c r="K836" s="6" t="s">
        <v>17</v>
      </c>
    </row>
    <row r="837" ht="22.5" customHeight="1">
      <c r="A837" s="5">
        <v>46173.46903042824</v>
      </c>
      <c r="B837" s="6" t="s">
        <v>2654</v>
      </c>
      <c r="C837" s="6" t="s">
        <v>2655</v>
      </c>
      <c r="D837" s="3" t="str">
        <f t="shared" si="1"/>
        <v>AE-0836</v>
      </c>
      <c r="E837" s="3">
        <f t="array" ref="E837">IFERROR(XLOOKUP(D837,'Astronomy 101 Week 1 Quiz (Resp'!F:F,'Astronomy 101 Week 1 Quiz (Resp'!E:E),0)</f>
        <v>0</v>
      </c>
      <c r="F837" s="3" t="s">
        <v>14</v>
      </c>
      <c r="G837" s="3"/>
      <c r="H837" s="6">
        <v>8.638433611E9</v>
      </c>
      <c r="I837" s="6" t="s">
        <v>2656</v>
      </c>
      <c r="J837" s="6" t="s">
        <v>16</v>
      </c>
      <c r="K837" s="6" t="s">
        <v>61</v>
      </c>
    </row>
    <row r="838" ht="22.5" customHeight="1">
      <c r="A838" s="5">
        <v>46173.47248414352</v>
      </c>
      <c r="B838" s="6" t="s">
        <v>2657</v>
      </c>
      <c r="C838" s="6" t="s">
        <v>2658</v>
      </c>
      <c r="D838" s="3" t="str">
        <f t="shared" si="1"/>
        <v>AE-0837</v>
      </c>
      <c r="E838" s="3">
        <f t="array" ref="E838">IFERROR(XLOOKUP(D838,'Astronomy 101 Week 1 Quiz (Resp'!F:F,'Astronomy 101 Week 1 Quiz (Resp'!E:E),0)</f>
        <v>33</v>
      </c>
      <c r="F838" s="3" t="s">
        <v>14</v>
      </c>
      <c r="G838" s="3"/>
      <c r="H838" s="6">
        <v>9.423571504E9</v>
      </c>
      <c r="I838" s="6" t="s">
        <v>2659</v>
      </c>
      <c r="J838" s="6" t="s">
        <v>16</v>
      </c>
      <c r="K838" s="6" t="s">
        <v>82</v>
      </c>
      <c r="L838" s="6" t="s">
        <v>2660</v>
      </c>
    </row>
    <row r="839" ht="22.5" customHeight="1">
      <c r="A839" s="5">
        <v>46173.47916984954</v>
      </c>
      <c r="B839" s="6" t="s">
        <v>2661</v>
      </c>
      <c r="C839" s="6" t="s">
        <v>2662</v>
      </c>
      <c r="D839" s="3" t="str">
        <f t="shared" si="1"/>
        <v>AE-0838</v>
      </c>
      <c r="E839" s="3">
        <f t="array" ref="E839">IFERROR(XLOOKUP(D839,'Astronomy 101 Week 1 Quiz (Resp'!F:F,'Astronomy 101 Week 1 Quiz (Resp'!E:E),0)</f>
        <v>0</v>
      </c>
      <c r="F839" s="3" t="s">
        <v>14</v>
      </c>
      <c r="G839" s="3"/>
      <c r="H839" s="6">
        <v>9.856340742E9</v>
      </c>
      <c r="I839" s="6" t="s">
        <v>2663</v>
      </c>
      <c r="J839" s="6" t="s">
        <v>16</v>
      </c>
      <c r="K839" s="6" t="s">
        <v>47</v>
      </c>
      <c r="L839" s="6" t="s">
        <v>2664</v>
      </c>
    </row>
    <row r="840" ht="22.5" customHeight="1">
      <c r="A840" s="5">
        <v>46173.487885486116</v>
      </c>
      <c r="B840" s="6" t="s">
        <v>2665</v>
      </c>
      <c r="C840" s="6" t="s">
        <v>2666</v>
      </c>
      <c r="D840" s="3" t="str">
        <f t="shared" si="1"/>
        <v>AE-0839</v>
      </c>
      <c r="E840" s="3">
        <f t="array" ref="E840">IFERROR(XLOOKUP(D840,'Astronomy 101 Week 1 Quiz (Resp'!F:F,'Astronomy 101 Week 1 Quiz (Resp'!E:E),0)</f>
        <v>0</v>
      </c>
      <c r="F840" s="3" t="s">
        <v>14</v>
      </c>
      <c r="G840" s="3"/>
      <c r="H840" s="6">
        <v>9.149845625E9</v>
      </c>
      <c r="I840" s="6" t="s">
        <v>2335</v>
      </c>
      <c r="J840" s="6" t="s">
        <v>16</v>
      </c>
      <c r="K840" s="6" t="s">
        <v>61</v>
      </c>
    </row>
    <row r="841" ht="22.5" customHeight="1">
      <c r="A841" s="5">
        <v>46173.49059269676</v>
      </c>
      <c r="B841" s="6" t="s">
        <v>2667</v>
      </c>
      <c r="C841" s="6" t="s">
        <v>2668</v>
      </c>
      <c r="D841" s="3" t="str">
        <f t="shared" si="1"/>
        <v>AE-0840</v>
      </c>
      <c r="E841" s="3">
        <f t="array" ref="E841">IFERROR(XLOOKUP(D841,'Astronomy 101 Week 1 Quiz (Resp'!F:F,'Astronomy 101 Week 1 Quiz (Resp'!E:E),0)</f>
        <v>0</v>
      </c>
      <c r="F841" s="3" t="s">
        <v>14</v>
      </c>
      <c r="G841" s="3"/>
      <c r="H841" s="6">
        <v>8.977526339E9</v>
      </c>
      <c r="I841" s="6" t="s">
        <v>1307</v>
      </c>
      <c r="J841" s="6" t="s">
        <v>16</v>
      </c>
      <c r="K841" s="6" t="s">
        <v>21</v>
      </c>
      <c r="L841" s="6" t="s">
        <v>2669</v>
      </c>
    </row>
    <row r="842" ht="22.5" customHeight="1">
      <c r="A842" s="5">
        <v>46173.50888625</v>
      </c>
      <c r="B842" s="6" t="s">
        <v>2670</v>
      </c>
      <c r="C842" s="6" t="s">
        <v>2671</v>
      </c>
      <c r="D842" s="3" t="str">
        <f t="shared" si="1"/>
        <v>AE-0841</v>
      </c>
      <c r="E842" s="3">
        <f t="array" ref="E842">IFERROR(XLOOKUP(D842,'Astronomy 101 Week 1 Quiz (Resp'!F:F,'Astronomy 101 Week 1 Quiz (Resp'!E:E),0)</f>
        <v>0</v>
      </c>
      <c r="F842" s="3" t="s">
        <v>14</v>
      </c>
      <c r="G842" s="3"/>
      <c r="H842" s="6">
        <v>9.097856625E9</v>
      </c>
      <c r="I842" s="6" t="s">
        <v>262</v>
      </c>
      <c r="J842" s="6" t="s">
        <v>16</v>
      </c>
      <c r="K842" s="6" t="s">
        <v>25</v>
      </c>
    </row>
    <row r="843" ht="22.5" customHeight="1">
      <c r="A843" s="5">
        <v>46173.519920879626</v>
      </c>
      <c r="B843" s="6" t="s">
        <v>2672</v>
      </c>
      <c r="C843" s="6" t="s">
        <v>2673</v>
      </c>
      <c r="D843" s="3" t="str">
        <f t="shared" si="1"/>
        <v>AE-0842</v>
      </c>
      <c r="E843" s="3">
        <f t="array" ref="E843">IFERROR(XLOOKUP(D843,'Astronomy 101 Week 1 Quiz (Resp'!F:F,'Astronomy 101 Week 1 Quiz (Resp'!E:E),0)</f>
        <v>47</v>
      </c>
      <c r="F843" s="3" t="s">
        <v>14</v>
      </c>
      <c r="G843" s="3"/>
      <c r="H843" s="6">
        <v>8.288890514E9</v>
      </c>
      <c r="I843" s="6" t="s">
        <v>1307</v>
      </c>
      <c r="J843" s="6" t="s">
        <v>16</v>
      </c>
      <c r="K843" s="6" t="s">
        <v>47</v>
      </c>
    </row>
    <row r="844" ht="22.5" customHeight="1">
      <c r="A844" s="5">
        <v>46173.53563809028</v>
      </c>
      <c r="B844" s="6" t="s">
        <v>2674</v>
      </c>
      <c r="C844" s="6" t="s">
        <v>2675</v>
      </c>
      <c r="D844" s="3" t="str">
        <f t="shared" si="1"/>
        <v>AE-0843</v>
      </c>
      <c r="E844" s="3">
        <f t="array" ref="E844">IFERROR(XLOOKUP(D844,'Astronomy 101 Week 1 Quiz (Resp'!F:F,'Astronomy 101 Week 1 Quiz (Resp'!E:E),0)</f>
        <v>45</v>
      </c>
      <c r="F844" s="3" t="s">
        <v>14</v>
      </c>
      <c r="G844" s="3"/>
      <c r="H844" s="6">
        <v>8.547503306E9</v>
      </c>
      <c r="I844" s="6" t="s">
        <v>2676</v>
      </c>
      <c r="J844" s="6" t="s">
        <v>16</v>
      </c>
      <c r="K844" s="6" t="s">
        <v>82</v>
      </c>
      <c r="L844" s="6" t="s">
        <v>2677</v>
      </c>
    </row>
    <row r="845" ht="22.5" customHeight="1">
      <c r="A845" s="5">
        <v>46173.54210327547</v>
      </c>
      <c r="B845" s="6" t="s">
        <v>2678</v>
      </c>
      <c r="C845" s="6" t="s">
        <v>2679</v>
      </c>
      <c r="D845" s="3" t="str">
        <f t="shared" si="1"/>
        <v>AE-0844</v>
      </c>
      <c r="E845" s="3">
        <f t="array" ref="E845">IFERROR(XLOOKUP(D845,'Astronomy 101 Week 1 Quiz (Resp'!F:F,'Astronomy 101 Week 1 Quiz (Resp'!E:E),0)</f>
        <v>31</v>
      </c>
      <c r="F845" s="3" t="s">
        <v>14</v>
      </c>
      <c r="G845" s="3"/>
      <c r="H845" s="6">
        <v>9.830726212E9</v>
      </c>
      <c r="I845" s="6" t="s">
        <v>1921</v>
      </c>
      <c r="J845" s="6" t="s">
        <v>16</v>
      </c>
      <c r="K845" s="6" t="s">
        <v>17</v>
      </c>
    </row>
    <row r="846" ht="22.5" customHeight="1">
      <c r="A846" s="5">
        <v>46173.55734128472</v>
      </c>
      <c r="B846" s="6" t="s">
        <v>2680</v>
      </c>
      <c r="C846" s="6" t="s">
        <v>2681</v>
      </c>
      <c r="D846" s="3" t="str">
        <f t="shared" si="1"/>
        <v>AE-0845</v>
      </c>
      <c r="E846" s="3">
        <f t="array" ref="E846">IFERROR(XLOOKUP(D846,'Astronomy 101 Week 1 Quiz (Resp'!F:F,'Astronomy 101 Week 1 Quiz (Resp'!E:E),0)</f>
        <v>0</v>
      </c>
      <c r="F846" s="3" t="s">
        <v>14</v>
      </c>
      <c r="G846" s="3"/>
      <c r="H846" s="6">
        <v>9.082084489E9</v>
      </c>
      <c r="I846" s="6" t="s">
        <v>2332</v>
      </c>
      <c r="J846" s="6" t="s">
        <v>16</v>
      </c>
      <c r="K846" s="6" t="s">
        <v>47</v>
      </c>
    </row>
    <row r="847" ht="22.5" customHeight="1">
      <c r="A847" s="5">
        <v>46173.56308709491</v>
      </c>
      <c r="B847" s="6" t="s">
        <v>2682</v>
      </c>
      <c r="C847" s="6" t="s">
        <v>2683</v>
      </c>
      <c r="D847" s="3" t="str">
        <f t="shared" si="1"/>
        <v>AE-0846</v>
      </c>
      <c r="E847" s="3">
        <f t="array" ref="E847">IFERROR(XLOOKUP(D847,'Astronomy 101 Week 1 Quiz (Resp'!F:F,'Astronomy 101 Week 1 Quiz (Resp'!E:E),0)</f>
        <v>44</v>
      </c>
      <c r="F847" s="3" t="s">
        <v>14</v>
      </c>
      <c r="G847" s="3"/>
      <c r="H847" s="6">
        <v>7.306196956E9</v>
      </c>
      <c r="I847" s="6" t="s">
        <v>2684</v>
      </c>
      <c r="J847" s="6" t="s">
        <v>16</v>
      </c>
      <c r="K847" s="6" t="s">
        <v>82</v>
      </c>
      <c r="L847" s="6" t="s">
        <v>2685</v>
      </c>
    </row>
    <row r="848" ht="22.5" customHeight="1">
      <c r="A848" s="5">
        <v>46173.56520758102</v>
      </c>
      <c r="B848" s="6" t="s">
        <v>2686</v>
      </c>
      <c r="C848" s="6" t="s">
        <v>2687</v>
      </c>
      <c r="D848" s="3" t="str">
        <f t="shared" si="1"/>
        <v>AE-0847</v>
      </c>
      <c r="E848" s="3">
        <f t="array" ref="E848">IFERROR(XLOOKUP(D848,'Astronomy 101 Week 1 Quiz (Resp'!F:F,'Astronomy 101 Week 1 Quiz (Resp'!E:E),0)</f>
        <v>0</v>
      </c>
      <c r="F848" s="3" t="s">
        <v>14</v>
      </c>
      <c r="G848" s="3"/>
      <c r="H848" s="6">
        <v>8.822049524E9</v>
      </c>
      <c r="I848" s="6" t="s">
        <v>2688</v>
      </c>
      <c r="J848" s="6" t="s">
        <v>16</v>
      </c>
      <c r="K848" s="6" t="s">
        <v>61</v>
      </c>
      <c r="L848" s="6" t="s">
        <v>2689</v>
      </c>
    </row>
    <row r="849" ht="22.5" customHeight="1">
      <c r="A849" s="5">
        <v>46173.590245300926</v>
      </c>
      <c r="B849" s="6" t="s">
        <v>2690</v>
      </c>
      <c r="C849" s="6" t="s">
        <v>2691</v>
      </c>
      <c r="D849" s="3" t="str">
        <f t="shared" si="1"/>
        <v>AE-0848</v>
      </c>
      <c r="E849" s="3">
        <f t="array" ref="E849">IFERROR(XLOOKUP(D849,'Astronomy 101 Week 1 Quiz (Resp'!F:F,'Astronomy 101 Week 1 Quiz (Resp'!E:E),0)</f>
        <v>0</v>
      </c>
      <c r="F849" s="3" t="s">
        <v>14</v>
      </c>
      <c r="G849" s="3"/>
      <c r="H849" s="6">
        <v>8.827372883E9</v>
      </c>
      <c r="I849" s="6" t="s">
        <v>2692</v>
      </c>
      <c r="J849" s="6" t="s">
        <v>16</v>
      </c>
      <c r="K849" s="6" t="s">
        <v>17</v>
      </c>
    </row>
    <row r="850" ht="22.5" customHeight="1">
      <c r="A850" s="5">
        <v>46173.59078854167</v>
      </c>
      <c r="B850" s="6" t="s">
        <v>2693</v>
      </c>
      <c r="C850" s="6" t="s">
        <v>53</v>
      </c>
      <c r="D850" s="3" t="str">
        <f t="shared" si="1"/>
        <v>AE-0849</v>
      </c>
      <c r="E850" s="3">
        <f t="array" ref="E850">IFERROR(XLOOKUP(D850,'Astronomy 101 Week 1 Quiz (Resp'!F:F,'Astronomy 101 Week 1 Quiz (Resp'!E:E),0)</f>
        <v>0</v>
      </c>
      <c r="F850" s="3" t="s">
        <v>734</v>
      </c>
      <c r="G850" s="3" t="s">
        <v>2694</v>
      </c>
      <c r="H850" s="6" t="s">
        <v>53</v>
      </c>
      <c r="I850" s="6" t="s">
        <v>53</v>
      </c>
      <c r="J850" s="6" t="s">
        <v>16</v>
      </c>
      <c r="K850" s="6" t="s">
        <v>17</v>
      </c>
      <c r="L850" s="6" t="s">
        <v>53</v>
      </c>
    </row>
    <row r="851" ht="22.5" customHeight="1">
      <c r="A851" s="5">
        <v>46173.591037754624</v>
      </c>
      <c r="B851" s="6" t="s">
        <v>2695</v>
      </c>
      <c r="C851" s="6" t="s">
        <v>2696</v>
      </c>
      <c r="D851" s="3" t="str">
        <f t="shared" si="1"/>
        <v>AE-0850</v>
      </c>
      <c r="E851" s="3">
        <f t="array" ref="E851">IFERROR(XLOOKUP(D851,'Astronomy 101 Week 1 Quiz (Resp'!F:F,'Astronomy 101 Week 1 Quiz (Resp'!E:E),0)</f>
        <v>31</v>
      </c>
      <c r="F851" s="3" t="s">
        <v>14</v>
      </c>
      <c r="G851" s="3"/>
      <c r="H851" s="6">
        <v>8.267861027E9</v>
      </c>
      <c r="I851" s="6" t="s">
        <v>2697</v>
      </c>
      <c r="J851" s="6" t="s">
        <v>16</v>
      </c>
      <c r="K851" s="6" t="s">
        <v>43</v>
      </c>
    </row>
    <row r="852" ht="22.5" customHeight="1">
      <c r="A852" s="5">
        <v>46173.59135256945</v>
      </c>
      <c r="B852" s="6" t="s">
        <v>2698</v>
      </c>
      <c r="C852" s="6" t="s">
        <v>2699</v>
      </c>
      <c r="D852" s="3" t="str">
        <f t="shared" si="1"/>
        <v>AE-0851</v>
      </c>
      <c r="E852" s="3">
        <f t="array" ref="E852">IFERROR(XLOOKUP(D852,'Astronomy 101 Week 1 Quiz (Resp'!F:F,'Astronomy 101 Week 1 Quiz (Resp'!E:E),0)</f>
        <v>40</v>
      </c>
      <c r="F852" s="3" t="s">
        <v>14</v>
      </c>
      <c r="G852" s="3"/>
      <c r="H852" s="6">
        <v>7.789940029E9</v>
      </c>
      <c r="I852" s="6" t="s">
        <v>2700</v>
      </c>
      <c r="J852" s="6" t="s">
        <v>16</v>
      </c>
      <c r="K852" s="6" t="s">
        <v>25</v>
      </c>
      <c r="L852" s="6" t="s">
        <v>2701</v>
      </c>
    </row>
    <row r="853" ht="22.5" customHeight="1">
      <c r="A853" s="5">
        <v>46173.59622201389</v>
      </c>
      <c r="B853" s="6" t="s">
        <v>2702</v>
      </c>
      <c r="C853" s="6" t="s">
        <v>2703</v>
      </c>
      <c r="D853" s="3" t="str">
        <f t="shared" si="1"/>
        <v>AE-0852</v>
      </c>
      <c r="E853" s="3">
        <f t="array" ref="E853">IFERROR(XLOOKUP(D853,'Astronomy 101 Week 1 Quiz (Resp'!F:F,'Astronomy 101 Week 1 Quiz (Resp'!E:E),0)</f>
        <v>0</v>
      </c>
      <c r="F853" s="3" t="s">
        <v>14</v>
      </c>
      <c r="G853" s="3"/>
      <c r="H853" s="6">
        <v>7.976338956E9</v>
      </c>
      <c r="I853" s="6" t="s">
        <v>507</v>
      </c>
      <c r="J853" s="6" t="s">
        <v>16</v>
      </c>
      <c r="K853" s="6" t="s">
        <v>17</v>
      </c>
      <c r="L853" s="6" t="s">
        <v>2704</v>
      </c>
    </row>
    <row r="854" ht="22.5" customHeight="1">
      <c r="A854" s="5">
        <v>46173.596670196755</v>
      </c>
      <c r="B854" s="6" t="s">
        <v>2705</v>
      </c>
      <c r="C854" s="6" t="s">
        <v>2706</v>
      </c>
      <c r="D854" s="3" t="str">
        <f t="shared" si="1"/>
        <v>AE-0853</v>
      </c>
      <c r="E854" s="3">
        <f t="array" ref="E854">IFERROR(XLOOKUP(D854,'Astronomy 101 Week 1 Quiz (Resp'!F:F,'Astronomy 101 Week 1 Quiz (Resp'!E:E),0)</f>
        <v>0</v>
      </c>
      <c r="F854" s="3" t="s">
        <v>14</v>
      </c>
      <c r="G854" s="3"/>
      <c r="H854" s="6">
        <v>9.059506053E9</v>
      </c>
      <c r="I854" s="6" t="s">
        <v>749</v>
      </c>
      <c r="J854" s="6" t="s">
        <v>16</v>
      </c>
      <c r="K854" s="6" t="s">
        <v>17</v>
      </c>
    </row>
    <row r="855" ht="22.5" customHeight="1">
      <c r="A855" s="5">
        <v>46173.596787222225</v>
      </c>
      <c r="B855" s="6" t="s">
        <v>2707</v>
      </c>
      <c r="C855" s="6" t="s">
        <v>2708</v>
      </c>
      <c r="D855" s="3" t="str">
        <f t="shared" si="1"/>
        <v>AE-0854</v>
      </c>
      <c r="E855" s="3">
        <f t="array" ref="E855">IFERROR(XLOOKUP(D855,'Astronomy 101 Week 1 Quiz (Resp'!F:F,'Astronomy 101 Week 1 Quiz (Resp'!E:E),0)</f>
        <v>0</v>
      </c>
      <c r="F855" s="3" t="s">
        <v>14</v>
      </c>
      <c r="G855" s="3"/>
      <c r="H855" s="6">
        <v>7.879553261E9</v>
      </c>
      <c r="I855" s="6" t="s">
        <v>2709</v>
      </c>
      <c r="J855" s="6" t="s">
        <v>16</v>
      </c>
      <c r="K855" s="6" t="s">
        <v>17</v>
      </c>
      <c r="L855" s="6" t="s">
        <v>2710</v>
      </c>
    </row>
    <row r="856" ht="22.5" customHeight="1">
      <c r="A856" s="5">
        <v>46173.604257037034</v>
      </c>
      <c r="B856" s="6" t="s">
        <v>2711</v>
      </c>
      <c r="C856" s="6" t="s">
        <v>2712</v>
      </c>
      <c r="D856" s="3" t="str">
        <f t="shared" si="1"/>
        <v>AE-0855</v>
      </c>
      <c r="E856" s="3">
        <f t="array" ref="E856">IFERROR(XLOOKUP(D856,'Astronomy 101 Week 1 Quiz (Resp'!F:F,'Astronomy 101 Week 1 Quiz (Resp'!E:E),0)</f>
        <v>33</v>
      </c>
      <c r="F856" s="3" t="s">
        <v>14</v>
      </c>
      <c r="G856" s="3"/>
      <c r="H856" s="6">
        <v>8.840424165E9</v>
      </c>
      <c r="I856" s="6" t="s">
        <v>2713</v>
      </c>
      <c r="J856" s="6" t="s">
        <v>16</v>
      </c>
      <c r="K856" s="6" t="s">
        <v>17</v>
      </c>
    </row>
    <row r="857" ht="22.5" customHeight="1">
      <c r="A857" s="5">
        <v>46173.616495775466</v>
      </c>
      <c r="B857" s="6" t="s">
        <v>2714</v>
      </c>
      <c r="C857" s="6" t="s">
        <v>2715</v>
      </c>
      <c r="D857" s="3" t="str">
        <f t="shared" si="1"/>
        <v>AE-0856</v>
      </c>
      <c r="E857" s="3">
        <f t="array" ref="E857">IFERROR(XLOOKUP(D857,'Astronomy 101 Week 1 Quiz (Resp'!F:F,'Astronomy 101 Week 1 Quiz (Resp'!E:E),0)</f>
        <v>0</v>
      </c>
      <c r="F857" s="3" t="s">
        <v>14</v>
      </c>
      <c r="G857" s="3"/>
      <c r="H857" s="6">
        <v>6.291771357E9</v>
      </c>
      <c r="I857" s="6" t="s">
        <v>2716</v>
      </c>
      <c r="J857" s="6" t="s">
        <v>16</v>
      </c>
      <c r="K857" s="6" t="s">
        <v>17</v>
      </c>
    </row>
    <row r="858" ht="22.5" customHeight="1">
      <c r="A858" s="5">
        <v>46173.61773614583</v>
      </c>
      <c r="B858" s="6" t="s">
        <v>2717</v>
      </c>
      <c r="C858" s="6" t="s">
        <v>2718</v>
      </c>
      <c r="D858" s="3" t="str">
        <f t="shared" si="1"/>
        <v>AE-0857</v>
      </c>
      <c r="E858" s="3">
        <f t="array" ref="E858">IFERROR(XLOOKUP(D858,'Astronomy 101 Week 1 Quiz (Resp'!F:F,'Astronomy 101 Week 1 Quiz (Resp'!E:E),0)</f>
        <v>0</v>
      </c>
      <c r="F858" s="3" t="s">
        <v>14</v>
      </c>
      <c r="G858" s="3"/>
      <c r="H858" s="6">
        <v>7.303848835E9</v>
      </c>
      <c r="I858" s="6" t="s">
        <v>1307</v>
      </c>
      <c r="J858" s="6" t="s">
        <v>16</v>
      </c>
      <c r="K858" s="6" t="s">
        <v>47</v>
      </c>
      <c r="L858" s="6" t="s">
        <v>2719</v>
      </c>
    </row>
    <row r="859" ht="22.5" customHeight="1">
      <c r="A859" s="5">
        <v>46173.61851969907</v>
      </c>
      <c r="B859" s="6" t="s">
        <v>2720</v>
      </c>
      <c r="C859" s="6" t="s">
        <v>2721</v>
      </c>
      <c r="D859" s="3" t="str">
        <f t="shared" si="1"/>
        <v>AE-0858</v>
      </c>
      <c r="E859" s="3">
        <f t="array" ref="E859">IFERROR(XLOOKUP(D859,'Astronomy 101 Week 1 Quiz (Resp'!F:F,'Astronomy 101 Week 1 Quiz (Resp'!E:E),0)</f>
        <v>0</v>
      </c>
      <c r="F859" s="3" t="s">
        <v>14</v>
      </c>
      <c r="G859" s="3"/>
      <c r="H859" s="6">
        <v>6.392414647E9</v>
      </c>
      <c r="I859" s="6" t="s">
        <v>2436</v>
      </c>
      <c r="J859" s="6" t="s">
        <v>16</v>
      </c>
      <c r="K859" s="6" t="s">
        <v>43</v>
      </c>
    </row>
    <row r="860" ht="22.5" customHeight="1">
      <c r="A860" s="5">
        <v>46173.62831537037</v>
      </c>
      <c r="B860" s="6" t="s">
        <v>2722</v>
      </c>
      <c r="C860" s="6" t="s">
        <v>2723</v>
      </c>
      <c r="D860" s="3" t="str">
        <f t="shared" si="1"/>
        <v>AE-0859</v>
      </c>
      <c r="E860" s="3">
        <f t="array" ref="E860">IFERROR(XLOOKUP(D860,'Astronomy 101 Week 1 Quiz (Resp'!F:F,'Astronomy 101 Week 1 Quiz (Resp'!E:E),0)</f>
        <v>0</v>
      </c>
      <c r="F860" s="3" t="s">
        <v>14</v>
      </c>
      <c r="G860" s="3"/>
      <c r="H860" s="6">
        <v>7.819993496E9</v>
      </c>
      <c r="I860" s="6" t="s">
        <v>2724</v>
      </c>
      <c r="J860" s="6" t="s">
        <v>16</v>
      </c>
      <c r="K860" s="6" t="s">
        <v>21</v>
      </c>
      <c r="L860" s="6" t="s">
        <v>2725</v>
      </c>
    </row>
    <row r="861" ht="22.5" customHeight="1">
      <c r="A861" s="5">
        <v>46173.63101295139</v>
      </c>
      <c r="B861" s="6" t="s">
        <v>2726</v>
      </c>
      <c r="C861" s="6" t="s">
        <v>2727</v>
      </c>
      <c r="D861" s="3" t="str">
        <f t="shared" si="1"/>
        <v>AE-0860</v>
      </c>
      <c r="E861" s="3">
        <f t="array" ref="E861">IFERROR(XLOOKUP(D861,'Astronomy 101 Week 1 Quiz (Resp'!F:F,'Astronomy 101 Week 1 Quiz (Resp'!E:E),0)</f>
        <v>0</v>
      </c>
      <c r="F861" s="3" t="s">
        <v>14</v>
      </c>
      <c r="G861" s="3"/>
      <c r="H861" s="6">
        <v>9.896094227E9</v>
      </c>
      <c r="I861" s="6" t="s">
        <v>2728</v>
      </c>
      <c r="J861" s="6" t="s">
        <v>16</v>
      </c>
      <c r="K861" s="6" t="s">
        <v>17</v>
      </c>
      <c r="L861" s="6" t="s">
        <v>2729</v>
      </c>
    </row>
    <row r="862" ht="22.5" customHeight="1">
      <c r="A862" s="5">
        <v>46173.6433514699</v>
      </c>
      <c r="B862" s="6" t="s">
        <v>2730</v>
      </c>
      <c r="C862" s="6" t="s">
        <v>2731</v>
      </c>
      <c r="D862" s="3" t="str">
        <f t="shared" si="1"/>
        <v>AE-0861</v>
      </c>
      <c r="E862" s="3">
        <f t="array" ref="E862">IFERROR(XLOOKUP(D862,'Astronomy 101 Week 1 Quiz (Resp'!F:F,'Astronomy 101 Week 1 Quiz (Resp'!E:E),0)</f>
        <v>0</v>
      </c>
      <c r="F862" s="3" t="s">
        <v>14</v>
      </c>
      <c r="G862" s="3"/>
      <c r="H862" s="6">
        <v>7.585870608E9</v>
      </c>
      <c r="I862" s="6" t="s">
        <v>2732</v>
      </c>
      <c r="J862" s="6" t="s">
        <v>16</v>
      </c>
      <c r="K862" s="6" t="s">
        <v>17</v>
      </c>
      <c r="L862" s="6" t="s">
        <v>2733</v>
      </c>
    </row>
    <row r="863" ht="22.5" customHeight="1">
      <c r="A863" s="5">
        <v>46173.65803584491</v>
      </c>
      <c r="B863" s="6" t="s">
        <v>2734</v>
      </c>
      <c r="C863" s="6" t="s">
        <v>2735</v>
      </c>
      <c r="D863" s="3" t="str">
        <f t="shared" si="1"/>
        <v>AE-0862</v>
      </c>
      <c r="E863" s="3">
        <f t="array" ref="E863">IFERROR(XLOOKUP(D863,'Astronomy 101 Week 1 Quiz (Resp'!F:F,'Astronomy 101 Week 1 Quiz (Resp'!E:E),0)</f>
        <v>47</v>
      </c>
      <c r="F863" s="3" t="s">
        <v>14</v>
      </c>
      <c r="G863" s="3"/>
      <c r="H863" s="6">
        <v>9.922472905E9</v>
      </c>
      <c r="I863" s="6" t="s">
        <v>2713</v>
      </c>
      <c r="J863" s="6" t="s">
        <v>16</v>
      </c>
      <c r="K863" s="6" t="s">
        <v>47</v>
      </c>
    </row>
    <row r="864" ht="22.5" customHeight="1">
      <c r="A864" s="5">
        <v>46173.675090115736</v>
      </c>
      <c r="B864" s="6" t="s">
        <v>2736</v>
      </c>
      <c r="C864" s="6" t="s">
        <v>2737</v>
      </c>
      <c r="D864" s="3" t="str">
        <f t="shared" si="1"/>
        <v>AE-0863</v>
      </c>
      <c r="E864" s="3">
        <f t="array" ref="E864">IFERROR(XLOOKUP(D864,'Astronomy 101 Week 1 Quiz (Resp'!F:F,'Astronomy 101 Week 1 Quiz (Resp'!E:E),0)</f>
        <v>0</v>
      </c>
      <c r="F864" s="3" t="s">
        <v>14</v>
      </c>
      <c r="G864" s="3"/>
      <c r="H864" s="6">
        <v>9.02939386E9</v>
      </c>
      <c r="I864" s="6" t="s">
        <v>2700</v>
      </c>
      <c r="J864" s="6" t="s">
        <v>16</v>
      </c>
      <c r="K864" s="6" t="s">
        <v>17</v>
      </c>
      <c r="L864" s="6" t="s">
        <v>2738</v>
      </c>
    </row>
    <row r="865" ht="22.5" customHeight="1">
      <c r="A865" s="5">
        <v>46173.682223125</v>
      </c>
      <c r="B865" s="6" t="s">
        <v>2739</v>
      </c>
      <c r="C865" s="6" t="s">
        <v>2740</v>
      </c>
      <c r="D865" s="3" t="str">
        <f t="shared" si="1"/>
        <v>AE-0864</v>
      </c>
      <c r="E865" s="3">
        <f t="array" ref="E865">IFERROR(XLOOKUP(D865,'Astronomy 101 Week 1 Quiz (Resp'!F:F,'Astronomy 101 Week 1 Quiz (Resp'!E:E),0)</f>
        <v>0</v>
      </c>
      <c r="F865" s="3" t="s">
        <v>14</v>
      </c>
      <c r="G865" s="3"/>
      <c r="H865" s="6">
        <v>9.5475631E9</v>
      </c>
      <c r="I865" s="6" t="s">
        <v>2741</v>
      </c>
      <c r="J865" s="6" t="s">
        <v>16</v>
      </c>
      <c r="K865" s="6" t="s">
        <v>25</v>
      </c>
      <c r="L865" s="6" t="s">
        <v>2742</v>
      </c>
    </row>
    <row r="866" ht="22.5" customHeight="1">
      <c r="A866" s="5">
        <v>46173.682756574075</v>
      </c>
      <c r="B866" s="6" t="s">
        <v>2743</v>
      </c>
      <c r="C866" s="6" t="s">
        <v>2744</v>
      </c>
      <c r="D866" s="3" t="str">
        <f t="shared" si="1"/>
        <v>AE-0865</v>
      </c>
      <c r="E866" s="3">
        <f t="array" ref="E866">IFERROR(XLOOKUP(D866,'Astronomy 101 Week 1 Quiz (Resp'!F:F,'Astronomy 101 Week 1 Quiz (Resp'!E:E),0)</f>
        <v>0</v>
      </c>
      <c r="F866" s="3" t="s">
        <v>14</v>
      </c>
      <c r="G866" s="3"/>
      <c r="H866" s="6">
        <v>9.761222961E9</v>
      </c>
      <c r="I866" s="6" t="s">
        <v>29</v>
      </c>
      <c r="J866" s="6" t="s">
        <v>16</v>
      </c>
      <c r="K866" s="6" t="s">
        <v>17</v>
      </c>
    </row>
    <row r="867" ht="22.5" customHeight="1">
      <c r="A867" s="5">
        <v>46173.71158105324</v>
      </c>
      <c r="B867" s="6" t="s">
        <v>2745</v>
      </c>
      <c r="C867" s="6" t="s">
        <v>2746</v>
      </c>
      <c r="D867" s="3" t="str">
        <f t="shared" si="1"/>
        <v>AE-0866</v>
      </c>
      <c r="E867" s="3">
        <f t="array" ref="E867">IFERROR(XLOOKUP(D867,'Astronomy 101 Week 1 Quiz (Resp'!F:F,'Astronomy 101 Week 1 Quiz (Resp'!E:E),0)</f>
        <v>0</v>
      </c>
      <c r="F867" s="3" t="s">
        <v>14</v>
      </c>
      <c r="G867" s="3"/>
      <c r="H867" s="6">
        <v>8.249278378E9</v>
      </c>
      <c r="I867" s="6" t="s">
        <v>2436</v>
      </c>
      <c r="J867" s="6" t="s">
        <v>16</v>
      </c>
      <c r="K867" s="6" t="s">
        <v>61</v>
      </c>
      <c r="L867" s="6" t="s">
        <v>2747</v>
      </c>
    </row>
    <row r="868" ht="22.5" customHeight="1">
      <c r="A868" s="5">
        <v>46173.727344687504</v>
      </c>
      <c r="B868" s="6" t="s">
        <v>2748</v>
      </c>
      <c r="C868" s="6" t="s">
        <v>2749</v>
      </c>
      <c r="D868" s="3" t="str">
        <f t="shared" si="1"/>
        <v>AE-0867</v>
      </c>
      <c r="E868" s="3">
        <f t="array" ref="E868">IFERROR(XLOOKUP(D868,'Astronomy 101 Week 1 Quiz (Resp'!F:F,'Astronomy 101 Week 1 Quiz (Resp'!E:E),0)</f>
        <v>27</v>
      </c>
      <c r="F868" s="3" t="s">
        <v>14</v>
      </c>
      <c r="G868" s="3"/>
      <c r="H868" s="6" t="s">
        <v>2750</v>
      </c>
      <c r="I868" s="6" t="s">
        <v>2751</v>
      </c>
      <c r="J868" s="6" t="s">
        <v>16</v>
      </c>
      <c r="K868" s="6" t="s">
        <v>61</v>
      </c>
      <c r="L868" s="6" t="s">
        <v>2752</v>
      </c>
    </row>
    <row r="869" ht="22.5" customHeight="1">
      <c r="A869" s="5">
        <v>46173.72896591436</v>
      </c>
      <c r="B869" s="6" t="s">
        <v>2753</v>
      </c>
      <c r="C869" s="6" t="s">
        <v>2754</v>
      </c>
      <c r="D869" s="3" t="str">
        <f t="shared" si="1"/>
        <v>AE-0868</v>
      </c>
      <c r="E869" s="3">
        <f t="array" ref="E869">IFERROR(XLOOKUP(D869,'Astronomy 101 Week 1 Quiz (Resp'!F:F,'Astronomy 101 Week 1 Quiz (Resp'!E:E),0)</f>
        <v>0</v>
      </c>
      <c r="F869" s="3" t="s">
        <v>14</v>
      </c>
      <c r="G869" s="3"/>
      <c r="H869" s="6">
        <v>9.345359288E9</v>
      </c>
      <c r="I869" s="6" t="s">
        <v>1633</v>
      </c>
      <c r="J869" s="6" t="s">
        <v>16</v>
      </c>
    </row>
    <row r="870" ht="22.5" customHeight="1">
      <c r="A870" s="5">
        <v>46173.73278438658</v>
      </c>
      <c r="B870" s="6" t="s">
        <v>2755</v>
      </c>
      <c r="C870" s="6" t="s">
        <v>2756</v>
      </c>
      <c r="D870" s="3" t="str">
        <f t="shared" si="1"/>
        <v>AE-0869</v>
      </c>
      <c r="E870" s="3">
        <f t="array" ref="E870">IFERROR(XLOOKUP(D870,'Astronomy 101 Week 1 Quiz (Resp'!F:F,'Astronomy 101 Week 1 Quiz (Resp'!E:E),0)</f>
        <v>0</v>
      </c>
      <c r="F870" s="3" t="s">
        <v>14</v>
      </c>
      <c r="G870" s="3"/>
      <c r="H870" s="6">
        <v>7.015406991E9</v>
      </c>
      <c r="I870" s="6" t="s">
        <v>2757</v>
      </c>
      <c r="J870" s="6" t="s">
        <v>16</v>
      </c>
      <c r="K870" s="6" t="s">
        <v>47</v>
      </c>
      <c r="L870" s="6" t="s">
        <v>2758</v>
      </c>
    </row>
    <row r="871" ht="22.5" customHeight="1">
      <c r="A871" s="5">
        <v>46173.73446057871</v>
      </c>
      <c r="B871" s="6" t="s">
        <v>2759</v>
      </c>
      <c r="C871" s="6" t="s">
        <v>2760</v>
      </c>
      <c r="D871" s="3" t="str">
        <f t="shared" si="1"/>
        <v>AE-0870</v>
      </c>
      <c r="E871" s="3">
        <f t="array" ref="E871">IFERROR(XLOOKUP(D871,'Astronomy 101 Week 1 Quiz (Resp'!F:F,'Astronomy 101 Week 1 Quiz (Resp'!E:E),0)</f>
        <v>0</v>
      </c>
      <c r="F871" s="3" t="s">
        <v>14</v>
      </c>
      <c r="G871" s="3"/>
      <c r="H871" s="6">
        <v>7.978470985E9</v>
      </c>
      <c r="I871" s="6" t="s">
        <v>1307</v>
      </c>
      <c r="J871" s="6" t="s">
        <v>16</v>
      </c>
      <c r="K871" s="6" t="s">
        <v>17</v>
      </c>
    </row>
    <row r="872" ht="22.5" customHeight="1">
      <c r="A872" s="5">
        <v>46173.75098571759</v>
      </c>
      <c r="B872" s="6" t="s">
        <v>2761</v>
      </c>
      <c r="C872" s="6" t="s">
        <v>2762</v>
      </c>
      <c r="D872" s="3" t="str">
        <f t="shared" si="1"/>
        <v>AE-0871</v>
      </c>
      <c r="E872" s="3">
        <f t="array" ref="E872">IFERROR(XLOOKUP(D872,'Astronomy 101 Week 1 Quiz (Resp'!F:F,'Astronomy 101 Week 1 Quiz (Resp'!E:E),0)</f>
        <v>0</v>
      </c>
      <c r="F872" s="3" t="s">
        <v>14</v>
      </c>
      <c r="G872" s="3"/>
      <c r="H872" s="6">
        <v>7.04108992E9</v>
      </c>
      <c r="I872" s="6" t="s">
        <v>2763</v>
      </c>
      <c r="J872" s="6" t="s">
        <v>16</v>
      </c>
      <c r="K872" s="6" t="s">
        <v>17</v>
      </c>
    </row>
    <row r="873" ht="22.5" customHeight="1">
      <c r="A873" s="5">
        <v>46173.76946649306</v>
      </c>
      <c r="B873" s="6" t="s">
        <v>2764</v>
      </c>
      <c r="C873" s="6" t="s">
        <v>2765</v>
      </c>
      <c r="D873" s="3" t="str">
        <f t="shared" si="1"/>
        <v>AE-0872</v>
      </c>
      <c r="E873" s="3">
        <f t="array" ref="E873">IFERROR(XLOOKUP(D873,'Astronomy 101 Week 1 Quiz (Resp'!F:F,'Astronomy 101 Week 1 Quiz (Resp'!E:E),0)</f>
        <v>0</v>
      </c>
      <c r="F873" s="3" t="s">
        <v>14</v>
      </c>
      <c r="G873" s="3"/>
      <c r="H873" s="6">
        <v>9.631025475E9</v>
      </c>
      <c r="I873" s="6" t="s">
        <v>273</v>
      </c>
      <c r="J873" s="6" t="s">
        <v>16</v>
      </c>
      <c r="K873" s="6" t="s">
        <v>82</v>
      </c>
      <c r="L873" s="6" t="s">
        <v>2766</v>
      </c>
    </row>
    <row r="874" ht="22.5" customHeight="1">
      <c r="A874" s="5">
        <v>46173.77504332176</v>
      </c>
      <c r="B874" s="6" t="s">
        <v>2767</v>
      </c>
      <c r="C874" s="6" t="s">
        <v>2768</v>
      </c>
      <c r="D874" s="3" t="str">
        <f t="shared" si="1"/>
        <v>AE-0873</v>
      </c>
      <c r="E874" s="3">
        <f t="array" ref="E874">IFERROR(XLOOKUP(D874,'Astronomy 101 Week 1 Quiz (Resp'!F:F,'Astronomy 101 Week 1 Quiz (Resp'!E:E),0)</f>
        <v>0</v>
      </c>
      <c r="F874" s="3" t="s">
        <v>14</v>
      </c>
      <c r="G874" s="3"/>
      <c r="H874" s="6">
        <v>9.157011889E9</v>
      </c>
      <c r="I874" s="6" t="s">
        <v>1561</v>
      </c>
      <c r="J874" s="6" t="s">
        <v>16</v>
      </c>
      <c r="K874" s="6" t="s">
        <v>47</v>
      </c>
    </row>
    <row r="875" ht="22.5" customHeight="1">
      <c r="A875" s="5">
        <v>46173.775945925925</v>
      </c>
      <c r="B875" s="6" t="s">
        <v>2769</v>
      </c>
      <c r="C875" s="6" t="s">
        <v>2770</v>
      </c>
      <c r="D875" s="3" t="str">
        <f t="shared" si="1"/>
        <v>AE-0874</v>
      </c>
      <c r="E875" s="3">
        <f t="array" ref="E875">IFERROR(XLOOKUP(D875,'Astronomy 101 Week 1 Quiz (Resp'!F:F,'Astronomy 101 Week 1 Quiz (Resp'!E:E),0)</f>
        <v>0</v>
      </c>
      <c r="F875" s="3" t="s">
        <v>14</v>
      </c>
      <c r="G875" s="3"/>
      <c r="H875" s="6">
        <v>8.820372373E9</v>
      </c>
      <c r="I875" s="6" t="s">
        <v>1307</v>
      </c>
      <c r="J875" s="6" t="s">
        <v>16</v>
      </c>
      <c r="K875" s="6" t="s">
        <v>17</v>
      </c>
      <c r="L875" s="6" t="s">
        <v>2771</v>
      </c>
    </row>
    <row r="876" ht="22.5" customHeight="1">
      <c r="A876" s="5">
        <v>46173.77617173611</v>
      </c>
      <c r="B876" s="6" t="s">
        <v>2772</v>
      </c>
      <c r="C876" s="6" t="s">
        <v>2773</v>
      </c>
      <c r="D876" s="3" t="str">
        <f t="shared" si="1"/>
        <v>AE-0875</v>
      </c>
      <c r="E876" s="3">
        <f t="array" ref="E876">IFERROR(XLOOKUP(D876,'Astronomy 101 Week 1 Quiz (Resp'!F:F,'Astronomy 101 Week 1 Quiz (Resp'!E:E),0)</f>
        <v>37</v>
      </c>
      <c r="F876" s="3" t="s">
        <v>14</v>
      </c>
      <c r="G876" s="3"/>
      <c r="H876" s="6">
        <v>9.33618849E9</v>
      </c>
      <c r="I876" s="6" t="s">
        <v>395</v>
      </c>
      <c r="J876" s="6" t="s">
        <v>16</v>
      </c>
      <c r="K876" s="6" t="s">
        <v>21</v>
      </c>
      <c r="L876" s="6" t="s">
        <v>2774</v>
      </c>
    </row>
    <row r="877" ht="22.5" customHeight="1">
      <c r="A877" s="5">
        <v>46173.78014271991</v>
      </c>
      <c r="B877" s="6" t="s">
        <v>2775</v>
      </c>
      <c r="C877" s="6" t="s">
        <v>2776</v>
      </c>
      <c r="D877" s="3" t="str">
        <f t="shared" si="1"/>
        <v>AE-0876</v>
      </c>
      <c r="E877" s="3">
        <f t="array" ref="E877">IFERROR(XLOOKUP(D877,'Astronomy 101 Week 1 Quiz (Resp'!F:F,'Astronomy 101 Week 1 Quiz (Resp'!E:E),0)</f>
        <v>0</v>
      </c>
      <c r="F877" s="3" t="s">
        <v>14</v>
      </c>
      <c r="G877" s="3"/>
      <c r="H877" s="6">
        <v>7.715841156E9</v>
      </c>
      <c r="I877" s="6" t="s">
        <v>2777</v>
      </c>
      <c r="J877" s="6" t="s">
        <v>16</v>
      </c>
      <c r="K877" s="6" t="s">
        <v>17</v>
      </c>
    </row>
    <row r="878" ht="22.5" customHeight="1">
      <c r="A878" s="5">
        <v>46173.79150532407</v>
      </c>
      <c r="B878" s="6" t="s">
        <v>2778</v>
      </c>
      <c r="C878" s="6" t="s">
        <v>2779</v>
      </c>
      <c r="D878" s="3" t="str">
        <f t="shared" si="1"/>
        <v>AE-0877</v>
      </c>
      <c r="E878" s="3">
        <f t="array" ref="E878">IFERROR(XLOOKUP(D878,'Astronomy 101 Week 1 Quiz (Resp'!F:F,'Astronomy 101 Week 1 Quiz (Resp'!E:E),0)</f>
        <v>0</v>
      </c>
      <c r="F878" s="3" t="s">
        <v>14</v>
      </c>
      <c r="G878" s="3"/>
      <c r="H878" s="6">
        <v>9.66700737E9</v>
      </c>
      <c r="I878" s="6" t="s">
        <v>2780</v>
      </c>
      <c r="J878" s="6" t="s">
        <v>16</v>
      </c>
      <c r="K878" s="6" t="s">
        <v>61</v>
      </c>
      <c r="L878" s="6" t="s">
        <v>2781</v>
      </c>
    </row>
    <row r="879" ht="22.5" customHeight="1">
      <c r="A879" s="5">
        <v>46173.79324645833</v>
      </c>
      <c r="B879" s="6" t="s">
        <v>2782</v>
      </c>
      <c r="C879" s="6" t="s">
        <v>2783</v>
      </c>
      <c r="D879" s="3" t="str">
        <f t="shared" si="1"/>
        <v>AE-0878</v>
      </c>
      <c r="E879" s="3">
        <f t="array" ref="E879">IFERROR(XLOOKUP(D879,'Astronomy 101 Week 1 Quiz (Resp'!F:F,'Astronomy 101 Week 1 Quiz (Resp'!E:E),0)</f>
        <v>0</v>
      </c>
      <c r="F879" s="3" t="s">
        <v>14</v>
      </c>
      <c r="G879" s="3"/>
      <c r="H879" s="6">
        <v>8.623091369E9</v>
      </c>
      <c r="I879" s="6" t="s">
        <v>325</v>
      </c>
      <c r="J879" s="6" t="s">
        <v>16</v>
      </c>
      <c r="K879" s="6" t="s">
        <v>43</v>
      </c>
      <c r="L879" s="6" t="s">
        <v>2784</v>
      </c>
    </row>
    <row r="880" ht="22.5" customHeight="1">
      <c r="A880" s="5">
        <v>46173.798817013885</v>
      </c>
      <c r="B880" s="6" t="s">
        <v>2785</v>
      </c>
      <c r="C880" s="6" t="s">
        <v>2786</v>
      </c>
      <c r="D880" s="3" t="str">
        <f t="shared" si="1"/>
        <v>AE-0879</v>
      </c>
      <c r="E880" s="3">
        <f t="array" ref="E880">IFERROR(XLOOKUP(D880,'Astronomy 101 Week 1 Quiz (Resp'!F:F,'Astronomy 101 Week 1 Quiz (Resp'!E:E),0)</f>
        <v>0</v>
      </c>
      <c r="F880" s="3" t="s">
        <v>14</v>
      </c>
      <c r="G880" s="3"/>
      <c r="H880" s="6">
        <v>7.099015663E9</v>
      </c>
      <c r="I880" s="6" t="s">
        <v>2787</v>
      </c>
      <c r="J880" s="6" t="s">
        <v>16</v>
      </c>
      <c r="K880" s="6" t="s">
        <v>17</v>
      </c>
      <c r="L880" s="6" t="s">
        <v>2788</v>
      </c>
    </row>
    <row r="881" ht="22.5" customHeight="1">
      <c r="A881" s="5">
        <v>46173.80842113426</v>
      </c>
      <c r="B881" s="6" t="s">
        <v>2789</v>
      </c>
      <c r="C881" s="6" t="s">
        <v>2790</v>
      </c>
      <c r="D881" s="3" t="str">
        <f t="shared" si="1"/>
        <v>AE-0880</v>
      </c>
      <c r="E881" s="3">
        <f t="array" ref="E881">IFERROR(XLOOKUP(D881,'Astronomy 101 Week 1 Quiz (Resp'!F:F,'Astronomy 101 Week 1 Quiz (Resp'!E:E),0)</f>
        <v>41</v>
      </c>
      <c r="F881" s="3" t="s">
        <v>14</v>
      </c>
      <c r="G881" s="3"/>
      <c r="H881" s="6">
        <v>9.674556209E9</v>
      </c>
      <c r="I881" s="6" t="s">
        <v>1956</v>
      </c>
      <c r="J881" s="6" t="s">
        <v>16</v>
      </c>
      <c r="K881" s="6" t="s">
        <v>25</v>
      </c>
      <c r="L881" s="6" t="s">
        <v>2791</v>
      </c>
    </row>
    <row r="882" ht="22.5" customHeight="1">
      <c r="A882" s="5">
        <v>46173.845671284726</v>
      </c>
      <c r="B882" s="6" t="s">
        <v>2792</v>
      </c>
      <c r="C882" s="6" t="s">
        <v>2793</v>
      </c>
      <c r="D882" s="3" t="str">
        <f t="shared" si="1"/>
        <v>AE-0881</v>
      </c>
      <c r="E882" s="3">
        <f t="array" ref="E882">IFERROR(XLOOKUP(D882,'Astronomy 101 Week 1 Quiz (Resp'!F:F,'Astronomy 101 Week 1 Quiz (Resp'!E:E),0)</f>
        <v>0</v>
      </c>
      <c r="F882" s="3" t="s">
        <v>14</v>
      </c>
      <c r="G882" s="3"/>
      <c r="H882" s="6">
        <v>8.730039265E9</v>
      </c>
      <c r="I882" s="6" t="s">
        <v>2794</v>
      </c>
      <c r="J882" s="6" t="s">
        <v>16</v>
      </c>
      <c r="K882" s="6" t="s">
        <v>82</v>
      </c>
      <c r="L882" s="6" t="s">
        <v>2795</v>
      </c>
    </row>
    <row r="883" ht="22.5" customHeight="1">
      <c r="A883" s="5">
        <v>46173.85283278935</v>
      </c>
      <c r="B883" s="6" t="s">
        <v>2796</v>
      </c>
      <c r="C883" s="6" t="s">
        <v>2797</v>
      </c>
      <c r="D883" s="3" t="str">
        <f t="shared" si="1"/>
        <v>AE-0882</v>
      </c>
      <c r="E883" s="3">
        <f t="array" ref="E883">IFERROR(XLOOKUP(D883,'Astronomy 101 Week 1 Quiz (Resp'!F:F,'Astronomy 101 Week 1 Quiz (Resp'!E:E),0)</f>
        <v>0</v>
      </c>
      <c r="F883" s="3" t="s">
        <v>14</v>
      </c>
      <c r="G883" s="3"/>
      <c r="H883" s="6">
        <v>9.967244568E9</v>
      </c>
      <c r="I883" s="6" t="s">
        <v>2057</v>
      </c>
      <c r="J883" s="6" t="s">
        <v>16</v>
      </c>
      <c r="K883" s="6" t="s">
        <v>61</v>
      </c>
    </row>
    <row r="884" ht="22.5" customHeight="1">
      <c r="A884" s="5">
        <v>46173.85357571759</v>
      </c>
      <c r="B884" s="6" t="s">
        <v>2798</v>
      </c>
      <c r="C884" s="6" t="s">
        <v>2798</v>
      </c>
      <c r="D884" s="3" t="str">
        <f t="shared" si="1"/>
        <v>AE-0883</v>
      </c>
      <c r="E884" s="3">
        <f t="array" ref="E884">IFERROR(XLOOKUP(D884,'Astronomy 101 Week 1 Quiz (Resp'!F:F,'Astronomy 101 Week 1 Quiz (Resp'!E:E),0)</f>
        <v>0</v>
      </c>
      <c r="F884" s="3" t="s">
        <v>734</v>
      </c>
      <c r="G884" s="3" t="s">
        <v>2799</v>
      </c>
      <c r="H884" s="6">
        <v>0.0</v>
      </c>
      <c r="I884" s="6">
        <v>0.0</v>
      </c>
      <c r="J884" s="6" t="s">
        <v>16</v>
      </c>
    </row>
    <row r="885" ht="22.5" customHeight="1">
      <c r="A885" s="5">
        <v>46173.86897892361</v>
      </c>
      <c r="B885" s="6" t="s">
        <v>2800</v>
      </c>
      <c r="C885" s="6" t="s">
        <v>2801</v>
      </c>
      <c r="D885" s="3" t="str">
        <f t="shared" si="1"/>
        <v>AE-0884</v>
      </c>
      <c r="E885" s="3">
        <f t="array" ref="E885">IFERROR(XLOOKUP(D885,'Astronomy 101 Week 1 Quiz (Resp'!F:F,'Astronomy 101 Week 1 Quiz (Resp'!E:E),0)</f>
        <v>0</v>
      </c>
      <c r="F885" s="3" t="s">
        <v>14</v>
      </c>
      <c r="G885" s="3"/>
      <c r="H885" s="6">
        <v>9.820085027E9</v>
      </c>
      <c r="I885" s="6" t="s">
        <v>2802</v>
      </c>
      <c r="J885" s="6" t="s">
        <v>16</v>
      </c>
      <c r="K885" s="6" t="s">
        <v>17</v>
      </c>
      <c r="L885" s="6" t="s">
        <v>2803</v>
      </c>
    </row>
    <row r="886" ht="22.5" customHeight="1">
      <c r="A886" s="5">
        <v>46173.87543068287</v>
      </c>
      <c r="B886" s="6" t="s">
        <v>2804</v>
      </c>
      <c r="C886" s="6" t="s">
        <v>2805</v>
      </c>
      <c r="D886" s="3" t="str">
        <f t="shared" si="1"/>
        <v>AE-0885</v>
      </c>
      <c r="E886" s="3">
        <f t="array" ref="E886">IFERROR(XLOOKUP(D886,'Astronomy 101 Week 1 Quiz (Resp'!F:F,'Astronomy 101 Week 1 Quiz (Resp'!E:E),0)</f>
        <v>0</v>
      </c>
      <c r="F886" s="3" t="s">
        <v>14</v>
      </c>
      <c r="G886" s="3"/>
      <c r="H886" s="6">
        <v>7.303618662E9</v>
      </c>
      <c r="I886" s="6" t="s">
        <v>1364</v>
      </c>
      <c r="J886" s="6" t="s">
        <v>16</v>
      </c>
      <c r="K886" s="6" t="s">
        <v>17</v>
      </c>
      <c r="L886" s="6" t="s">
        <v>2806</v>
      </c>
    </row>
    <row r="887" ht="22.5" customHeight="1">
      <c r="A887" s="5">
        <v>46173.88187269676</v>
      </c>
      <c r="B887" s="6" t="s">
        <v>2807</v>
      </c>
      <c r="C887" s="6" t="s">
        <v>2808</v>
      </c>
      <c r="D887" s="3" t="str">
        <f t="shared" si="1"/>
        <v>AE-0886</v>
      </c>
      <c r="E887" s="3">
        <f t="array" ref="E887">IFERROR(XLOOKUP(D887,'Astronomy 101 Week 1 Quiz (Resp'!F:F,'Astronomy 101 Week 1 Quiz (Resp'!E:E),0)</f>
        <v>45</v>
      </c>
      <c r="F887" s="3" t="s">
        <v>14</v>
      </c>
      <c r="G887" s="3"/>
      <c r="H887" s="6">
        <v>7.507200772E9</v>
      </c>
      <c r="I887" s="6" t="s">
        <v>975</v>
      </c>
      <c r="J887" s="6" t="s">
        <v>16</v>
      </c>
      <c r="K887" s="6" t="s">
        <v>17</v>
      </c>
    </row>
    <row r="888" ht="22.5" customHeight="1">
      <c r="A888" s="5">
        <v>46173.88625210648</v>
      </c>
      <c r="B888" s="6" t="s">
        <v>2809</v>
      </c>
      <c r="C888" s="6" t="s">
        <v>2810</v>
      </c>
      <c r="D888" s="3" t="str">
        <f t="shared" si="1"/>
        <v>AE-0887</v>
      </c>
      <c r="E888" s="3">
        <f t="array" ref="E888">IFERROR(XLOOKUP(D888,'Astronomy 101 Week 1 Quiz (Resp'!F:F,'Astronomy 101 Week 1 Quiz (Resp'!E:E),0)</f>
        <v>42</v>
      </c>
      <c r="F888" s="3" t="s">
        <v>14</v>
      </c>
      <c r="G888" s="3"/>
      <c r="H888" s="6">
        <v>9.686946343E9</v>
      </c>
      <c r="I888" s="6" t="s">
        <v>975</v>
      </c>
      <c r="J888" s="6" t="s">
        <v>16</v>
      </c>
      <c r="K888" s="6" t="s">
        <v>17</v>
      </c>
    </row>
    <row r="889" ht="22.5" customHeight="1">
      <c r="A889" s="5">
        <v>46173.88707568287</v>
      </c>
      <c r="B889" s="6" t="s">
        <v>2811</v>
      </c>
      <c r="C889" s="6" t="s">
        <v>2812</v>
      </c>
      <c r="D889" s="3" t="str">
        <f t="shared" si="1"/>
        <v>AE-0888</v>
      </c>
      <c r="E889" s="3">
        <f t="array" ref="E889">IFERROR(XLOOKUP(D889,'Astronomy 101 Week 1 Quiz (Resp'!F:F,'Astronomy 101 Week 1 Quiz (Resp'!E:E),0)</f>
        <v>0</v>
      </c>
      <c r="F889" s="3" t="s">
        <v>14</v>
      </c>
      <c r="G889" s="3"/>
      <c r="H889" s="6">
        <v>7.651013457E9</v>
      </c>
      <c r="I889" s="6" t="s">
        <v>2448</v>
      </c>
      <c r="J889" s="6" t="s">
        <v>16</v>
      </c>
      <c r="K889" s="6" t="s">
        <v>17</v>
      </c>
    </row>
    <row r="890" ht="22.5" customHeight="1">
      <c r="A890" s="5">
        <v>46173.89184384259</v>
      </c>
      <c r="B890" s="6" t="s">
        <v>2813</v>
      </c>
      <c r="C890" s="6" t="s">
        <v>2814</v>
      </c>
      <c r="D890" s="3" t="str">
        <f t="shared" si="1"/>
        <v>AE-0889</v>
      </c>
      <c r="E890" s="3">
        <f t="array" ref="E890">IFERROR(XLOOKUP(D890,'Astronomy 101 Week 1 Quiz (Resp'!F:F,'Astronomy 101 Week 1 Quiz (Resp'!E:E),0)</f>
        <v>0</v>
      </c>
      <c r="F890" s="3" t="s">
        <v>14</v>
      </c>
      <c r="G890" s="3"/>
      <c r="H890" s="6">
        <v>7.067660597E9</v>
      </c>
      <c r="I890" s="6" t="s">
        <v>1307</v>
      </c>
      <c r="J890" s="6" t="s">
        <v>16</v>
      </c>
      <c r="K890" s="6" t="s">
        <v>17</v>
      </c>
      <c r="L890" s="6" t="s">
        <v>2815</v>
      </c>
    </row>
    <row r="891" ht="22.5" customHeight="1">
      <c r="A891" s="5">
        <v>46173.90422679398</v>
      </c>
      <c r="B891" s="6" t="s">
        <v>2816</v>
      </c>
      <c r="C891" s="6" t="s">
        <v>2817</v>
      </c>
      <c r="D891" s="3" t="str">
        <f t="shared" si="1"/>
        <v>AE-0890</v>
      </c>
      <c r="E891" s="3">
        <f t="array" ref="E891">IFERROR(XLOOKUP(D891,'Astronomy 101 Week 1 Quiz (Resp'!F:F,'Astronomy 101 Week 1 Quiz (Resp'!E:E),0)</f>
        <v>0</v>
      </c>
      <c r="F891" s="3" t="s">
        <v>14</v>
      </c>
      <c r="G891" s="3"/>
      <c r="H891" s="6">
        <v>8.777581128E9</v>
      </c>
      <c r="I891" s="6" t="s">
        <v>2697</v>
      </c>
      <c r="J891" s="6" t="s">
        <v>16</v>
      </c>
      <c r="K891" s="6" t="s">
        <v>21</v>
      </c>
      <c r="L891" s="6" t="s">
        <v>2818</v>
      </c>
    </row>
    <row r="892" ht="22.5" customHeight="1">
      <c r="A892" s="5">
        <v>46173.93141505787</v>
      </c>
      <c r="B892" s="6" t="s">
        <v>2819</v>
      </c>
      <c r="C892" s="6" t="s">
        <v>2820</v>
      </c>
      <c r="D892" s="3" t="str">
        <f t="shared" si="1"/>
        <v>AE-0891</v>
      </c>
      <c r="E892" s="3">
        <f t="array" ref="E892">IFERROR(XLOOKUP(D892,'Astronomy 101 Week 1 Quiz (Resp'!F:F,'Astronomy 101 Week 1 Quiz (Resp'!E:E),0)</f>
        <v>0</v>
      </c>
      <c r="F892" s="3" t="s">
        <v>14</v>
      </c>
      <c r="G892" s="3"/>
      <c r="H892" s="6">
        <v>7.004651051E9</v>
      </c>
      <c r="I892" s="6" t="s">
        <v>609</v>
      </c>
      <c r="J892" s="6" t="s">
        <v>16</v>
      </c>
      <c r="K892" s="6" t="s">
        <v>43</v>
      </c>
      <c r="L892" s="6" t="s">
        <v>2821</v>
      </c>
    </row>
    <row r="893" ht="22.5" customHeight="1">
      <c r="A893" s="5">
        <v>46173.96215614583</v>
      </c>
      <c r="B893" s="6" t="s">
        <v>2822</v>
      </c>
      <c r="C893" s="6" t="s">
        <v>2823</v>
      </c>
      <c r="D893" s="3" t="str">
        <f t="shared" si="1"/>
        <v>AE-0892</v>
      </c>
      <c r="E893" s="3">
        <f t="array" ref="E893">IFERROR(XLOOKUP(D893,'Astronomy 101 Week 1 Quiz (Resp'!F:F,'Astronomy 101 Week 1 Quiz (Resp'!E:E),0)</f>
        <v>0</v>
      </c>
      <c r="F893" s="3" t="s">
        <v>14</v>
      </c>
      <c r="G893" s="3"/>
      <c r="H893" s="6">
        <v>8.787534593E9</v>
      </c>
      <c r="I893" s="6" t="s">
        <v>2824</v>
      </c>
      <c r="J893" s="6" t="s">
        <v>16</v>
      </c>
      <c r="K893" s="6" t="s">
        <v>17</v>
      </c>
      <c r="L893" s="6" t="s">
        <v>2825</v>
      </c>
    </row>
    <row r="894" ht="22.5" customHeight="1">
      <c r="A894" s="5">
        <v>46173.968606180555</v>
      </c>
      <c r="B894" s="6" t="s">
        <v>2826</v>
      </c>
      <c r="C894" s="6" t="s">
        <v>2827</v>
      </c>
      <c r="D894" s="3" t="str">
        <f t="shared" si="1"/>
        <v>AE-0893</v>
      </c>
      <c r="E894" s="3">
        <f t="array" ref="E894">IFERROR(XLOOKUP(D894,'Astronomy 101 Week 1 Quiz (Resp'!F:F,'Astronomy 101 Week 1 Quiz (Resp'!E:E),0)</f>
        <v>38</v>
      </c>
      <c r="F894" s="3" t="s">
        <v>14</v>
      </c>
      <c r="G894" s="3"/>
      <c r="H894" s="6">
        <v>9.496463334E9</v>
      </c>
      <c r="I894" s="6" t="s">
        <v>2828</v>
      </c>
      <c r="J894" s="6" t="s">
        <v>16</v>
      </c>
      <c r="K894" s="6" t="s">
        <v>25</v>
      </c>
      <c r="L894" s="6" t="s">
        <v>2829</v>
      </c>
    </row>
    <row r="895" ht="22.5" customHeight="1">
      <c r="A895" s="5">
        <v>46173.970205150465</v>
      </c>
      <c r="B895" s="6" t="s">
        <v>2830</v>
      </c>
      <c r="C895" s="6" t="s">
        <v>2831</v>
      </c>
      <c r="D895" s="3" t="str">
        <f t="shared" si="1"/>
        <v>AE-0894</v>
      </c>
      <c r="E895" s="3">
        <f t="array" ref="E895">IFERROR(XLOOKUP(D895,'Astronomy 101 Week 1 Quiz (Resp'!F:F,'Astronomy 101 Week 1 Quiz (Resp'!E:E),0)</f>
        <v>0</v>
      </c>
      <c r="F895" s="3" t="s">
        <v>14</v>
      </c>
      <c r="G895" s="3"/>
      <c r="H895" s="6">
        <v>7.034309775E9</v>
      </c>
      <c r="I895" s="6" t="s">
        <v>2832</v>
      </c>
      <c r="J895" s="6" t="s">
        <v>16</v>
      </c>
      <c r="K895" s="6" t="s">
        <v>17</v>
      </c>
      <c r="L895" s="6" t="s">
        <v>2833</v>
      </c>
    </row>
    <row r="896" ht="22.5" customHeight="1">
      <c r="A896" s="5">
        <v>46173.98422113426</v>
      </c>
      <c r="B896" s="6" t="s">
        <v>2834</v>
      </c>
      <c r="C896" s="6" t="s">
        <v>2835</v>
      </c>
      <c r="D896" s="3" t="str">
        <f t="shared" si="1"/>
        <v>AE-0895</v>
      </c>
      <c r="E896" s="3">
        <f t="array" ref="E896">IFERROR(XLOOKUP(D896,'Astronomy 101 Week 1 Quiz (Resp'!F:F,'Astronomy 101 Week 1 Quiz (Resp'!E:E),0)</f>
        <v>44</v>
      </c>
      <c r="F896" s="3" t="s">
        <v>14</v>
      </c>
      <c r="G896" s="3"/>
      <c r="H896" s="6">
        <v>7.976054473E9</v>
      </c>
      <c r="I896" s="6" t="s">
        <v>1307</v>
      </c>
      <c r="J896" s="6" t="s">
        <v>16</v>
      </c>
      <c r="K896" s="6" t="s">
        <v>17</v>
      </c>
      <c r="L896" s="6" t="s">
        <v>2802</v>
      </c>
    </row>
    <row r="897" ht="22.5" customHeight="1">
      <c r="A897" s="5">
        <v>46174.007568113426</v>
      </c>
      <c r="B897" s="6" t="s">
        <v>2836</v>
      </c>
      <c r="C897" s="6" t="s">
        <v>2837</v>
      </c>
      <c r="D897" s="3" t="str">
        <f t="shared" si="1"/>
        <v>AE-0896</v>
      </c>
      <c r="E897" s="3">
        <f t="array" ref="E897">IFERROR(XLOOKUP(D897,'Astronomy 101 Week 1 Quiz (Resp'!F:F,'Astronomy 101 Week 1 Quiz (Resp'!E:E),0)</f>
        <v>46</v>
      </c>
      <c r="F897" s="3" t="s">
        <v>14</v>
      </c>
      <c r="G897" s="3"/>
      <c r="H897" s="6">
        <v>9.511924441E9</v>
      </c>
      <c r="I897" s="6" t="s">
        <v>2838</v>
      </c>
      <c r="J897" s="6" t="s">
        <v>16</v>
      </c>
      <c r="K897" s="6" t="s">
        <v>47</v>
      </c>
    </row>
    <row r="898" ht="22.5" customHeight="1">
      <c r="A898" s="5">
        <v>46174.01482111111</v>
      </c>
      <c r="B898" s="6" t="s">
        <v>2839</v>
      </c>
      <c r="C898" s="6" t="s">
        <v>2840</v>
      </c>
      <c r="D898" s="3" t="str">
        <f t="shared" si="1"/>
        <v>AE-0897</v>
      </c>
      <c r="E898" s="3">
        <f t="array" ref="E898">IFERROR(XLOOKUP(D898,'Astronomy 101 Week 1 Quiz (Resp'!F:F,'Astronomy 101 Week 1 Quiz (Resp'!E:E),0)</f>
        <v>41</v>
      </c>
      <c r="F898" s="3" t="s">
        <v>14</v>
      </c>
      <c r="G898" s="3"/>
      <c r="H898" s="6">
        <v>9.6209996E9</v>
      </c>
      <c r="I898" s="6" t="s">
        <v>2841</v>
      </c>
      <c r="J898" s="6" t="s">
        <v>16</v>
      </c>
      <c r="K898" s="6" t="s">
        <v>82</v>
      </c>
    </row>
    <row r="899" ht="22.5" customHeight="1">
      <c r="A899" s="5">
        <v>46174.06238325231</v>
      </c>
      <c r="B899" s="6" t="s">
        <v>2842</v>
      </c>
      <c r="C899" s="6" t="s">
        <v>2843</v>
      </c>
      <c r="D899" s="3" t="str">
        <f t="shared" si="1"/>
        <v>AE-0898</v>
      </c>
      <c r="E899" s="3">
        <f t="array" ref="E899">IFERROR(XLOOKUP(D899,'Astronomy 101 Week 1 Quiz (Resp'!F:F,'Astronomy 101 Week 1 Quiz (Resp'!E:E),0)</f>
        <v>0</v>
      </c>
      <c r="F899" s="3" t="s">
        <v>14</v>
      </c>
      <c r="G899" s="3"/>
      <c r="H899" s="6">
        <v>9.475994655E9</v>
      </c>
      <c r="I899" s="6" t="s">
        <v>1956</v>
      </c>
      <c r="J899" s="6" t="s">
        <v>16</v>
      </c>
      <c r="K899" s="6" t="s">
        <v>47</v>
      </c>
      <c r="L899" s="6" t="s">
        <v>2844</v>
      </c>
    </row>
    <row r="900" ht="22.5" customHeight="1">
      <c r="A900" s="5">
        <v>46174.28724121528</v>
      </c>
      <c r="B900" s="6" t="s">
        <v>2845</v>
      </c>
      <c r="C900" s="6" t="s">
        <v>2846</v>
      </c>
      <c r="D900" s="3" t="str">
        <f t="shared" si="1"/>
        <v>AE-0899</v>
      </c>
      <c r="E900" s="3">
        <f t="array" ref="E900">IFERROR(XLOOKUP(D900,'Astronomy 101 Week 1 Quiz (Resp'!F:F,'Astronomy 101 Week 1 Quiz (Resp'!E:E),0)</f>
        <v>0</v>
      </c>
      <c r="F900" s="3" t="s">
        <v>14</v>
      </c>
      <c r="G900" s="3"/>
      <c r="H900" s="6">
        <v>6.392659157E9</v>
      </c>
      <c r="I900" s="6" t="s">
        <v>2847</v>
      </c>
      <c r="J900" s="6" t="s">
        <v>16</v>
      </c>
      <c r="K900" s="6" t="s">
        <v>47</v>
      </c>
    </row>
    <row r="901" ht="22.5" customHeight="1">
      <c r="A901" s="5">
        <v>46174.30535871528</v>
      </c>
      <c r="B901" s="6" t="s">
        <v>2848</v>
      </c>
      <c r="C901" s="6" t="s">
        <v>2849</v>
      </c>
      <c r="D901" s="3" t="str">
        <f t="shared" si="1"/>
        <v>AE-0900</v>
      </c>
      <c r="E901" s="3">
        <f t="array" ref="E901">IFERROR(XLOOKUP(D901,'Astronomy 101 Week 1 Quiz (Resp'!F:F,'Astronomy 101 Week 1 Quiz (Resp'!E:E),0)</f>
        <v>0</v>
      </c>
      <c r="F901" s="3" t="s">
        <v>14</v>
      </c>
      <c r="G901" s="3"/>
      <c r="H901" s="6">
        <v>7.033496534E9</v>
      </c>
      <c r="I901" s="6" t="s">
        <v>429</v>
      </c>
      <c r="J901" s="6" t="s">
        <v>16</v>
      </c>
      <c r="K901" s="6" t="s">
        <v>17</v>
      </c>
    </row>
    <row r="902" ht="22.5" customHeight="1">
      <c r="A902" s="5">
        <v>46174.32541938657</v>
      </c>
      <c r="B902" s="6" t="s">
        <v>2850</v>
      </c>
      <c r="C902" s="6" t="s">
        <v>2851</v>
      </c>
      <c r="D902" s="3" t="str">
        <f t="shared" si="1"/>
        <v>AE-0901</v>
      </c>
      <c r="E902" s="3">
        <f t="array" ref="E902">IFERROR(XLOOKUP(D902,'Astronomy 101 Week 1 Quiz (Resp'!F:F,'Astronomy 101 Week 1 Quiz (Resp'!E:E),0)</f>
        <v>0</v>
      </c>
      <c r="F902" s="3" t="s">
        <v>14</v>
      </c>
      <c r="G902" s="3"/>
      <c r="H902" s="6">
        <v>7.044002242E9</v>
      </c>
      <c r="I902" s="6" t="s">
        <v>2852</v>
      </c>
      <c r="J902" s="6" t="s">
        <v>16</v>
      </c>
      <c r="K902" s="6" t="s">
        <v>17</v>
      </c>
      <c r="L902" s="6" t="s">
        <v>2853</v>
      </c>
    </row>
    <row r="903" ht="22.5" customHeight="1">
      <c r="A903" s="5">
        <v>46174.351081076384</v>
      </c>
      <c r="B903" s="6" t="s">
        <v>2854</v>
      </c>
      <c r="C903" s="6" t="s">
        <v>2855</v>
      </c>
      <c r="D903" s="3" t="str">
        <f t="shared" si="1"/>
        <v>AE-0902</v>
      </c>
      <c r="E903" s="3">
        <f t="array" ref="E903">IFERROR(XLOOKUP(D903,'Astronomy 101 Week 1 Quiz (Resp'!F:F,'Astronomy 101 Week 1 Quiz (Resp'!E:E),0)</f>
        <v>0</v>
      </c>
      <c r="F903" s="3" t="s">
        <v>14</v>
      </c>
      <c r="G903" s="3"/>
      <c r="H903" s="6">
        <v>7.04190973E9</v>
      </c>
      <c r="I903" s="6" t="s">
        <v>2856</v>
      </c>
      <c r="J903" s="6" t="s">
        <v>16</v>
      </c>
      <c r="K903" s="6" t="s">
        <v>47</v>
      </c>
      <c r="L903" s="6" t="s">
        <v>2857</v>
      </c>
    </row>
    <row r="904" ht="22.5" customHeight="1">
      <c r="A904" s="5">
        <v>46174.366167430555</v>
      </c>
      <c r="B904" s="6" t="s">
        <v>2858</v>
      </c>
      <c r="C904" s="6" t="s">
        <v>2859</v>
      </c>
      <c r="D904" s="3" t="str">
        <f t="shared" si="1"/>
        <v>AE-0903</v>
      </c>
      <c r="E904" s="3">
        <f t="array" ref="E904">IFERROR(XLOOKUP(D904,'Astronomy 101 Week 1 Quiz (Resp'!F:F,'Astronomy 101 Week 1 Quiz (Resp'!E:E),0)</f>
        <v>0</v>
      </c>
      <c r="F904" s="3" t="s">
        <v>14</v>
      </c>
      <c r="G904" s="3"/>
      <c r="H904" s="6">
        <v>9.973418039E9</v>
      </c>
      <c r="I904" s="6" t="s">
        <v>191</v>
      </c>
      <c r="J904" s="6" t="s">
        <v>16</v>
      </c>
      <c r="K904" s="6" t="s">
        <v>17</v>
      </c>
      <c r="L904" s="6" t="s">
        <v>2860</v>
      </c>
    </row>
    <row r="905" ht="22.5" customHeight="1">
      <c r="A905" s="5">
        <v>46174.38354693287</v>
      </c>
      <c r="B905" s="6" t="s">
        <v>2861</v>
      </c>
      <c r="C905" s="6" t="s">
        <v>2862</v>
      </c>
      <c r="D905" s="3" t="str">
        <f t="shared" si="1"/>
        <v>AE-0904</v>
      </c>
      <c r="E905" s="3">
        <f t="array" ref="E905">IFERROR(XLOOKUP(D905,'Astronomy 101 Week 1 Quiz (Resp'!F:F,'Astronomy 101 Week 1 Quiz (Resp'!E:E),0)</f>
        <v>0</v>
      </c>
      <c r="F905" s="3" t="s">
        <v>14</v>
      </c>
      <c r="G905" s="3"/>
      <c r="H905" s="6">
        <v>7.028148817E9</v>
      </c>
      <c r="I905" s="6" t="s">
        <v>2863</v>
      </c>
      <c r="J905" s="6" t="s">
        <v>16</v>
      </c>
      <c r="K905" s="6" t="s">
        <v>43</v>
      </c>
      <c r="L905" s="6" t="s">
        <v>2864</v>
      </c>
    </row>
    <row r="906" ht="22.5" customHeight="1">
      <c r="A906" s="5">
        <v>46174.3846987037</v>
      </c>
      <c r="B906" s="6" t="s">
        <v>2865</v>
      </c>
      <c r="C906" s="6" t="s">
        <v>2866</v>
      </c>
      <c r="D906" s="3" t="str">
        <f t="shared" si="1"/>
        <v>AE-0905</v>
      </c>
      <c r="E906" s="3">
        <f t="array" ref="E906">IFERROR(XLOOKUP(D906,'Astronomy 101 Week 1 Quiz (Resp'!F:F,'Astronomy 101 Week 1 Quiz (Resp'!E:E),0)</f>
        <v>42</v>
      </c>
      <c r="F906" s="3" t="s">
        <v>14</v>
      </c>
      <c r="G906" s="3"/>
      <c r="H906" s="6" t="s">
        <v>2867</v>
      </c>
      <c r="I906" s="6" t="s">
        <v>2868</v>
      </c>
      <c r="J906" s="6" t="s">
        <v>16</v>
      </c>
      <c r="K906" s="6" t="s">
        <v>17</v>
      </c>
      <c r="L906" s="6" t="s">
        <v>2869</v>
      </c>
    </row>
    <row r="907" ht="22.5" customHeight="1">
      <c r="A907" s="5">
        <v>46174.41463261574</v>
      </c>
      <c r="B907" s="6" t="s">
        <v>2870</v>
      </c>
      <c r="C907" s="6" t="s">
        <v>2871</v>
      </c>
      <c r="D907" s="3" t="str">
        <f t="shared" si="1"/>
        <v>AE-0906</v>
      </c>
      <c r="E907" s="3">
        <f t="array" ref="E907">IFERROR(XLOOKUP(D907,'Astronomy 101 Week 1 Quiz (Resp'!F:F,'Astronomy 101 Week 1 Quiz (Resp'!E:E),0)</f>
        <v>0</v>
      </c>
      <c r="F907" s="3" t="s">
        <v>734</v>
      </c>
      <c r="G907" s="3" t="s">
        <v>2872</v>
      </c>
      <c r="H907" s="6">
        <v>9.832484509E9</v>
      </c>
      <c r="I907" s="6" t="s">
        <v>2517</v>
      </c>
      <c r="J907" s="6" t="s">
        <v>16</v>
      </c>
      <c r="K907" s="6" t="s">
        <v>17</v>
      </c>
      <c r="L907" s="6" t="s">
        <v>2873</v>
      </c>
    </row>
    <row r="908" ht="22.5" customHeight="1">
      <c r="A908" s="5">
        <v>46174.417111319446</v>
      </c>
      <c r="B908" s="6" t="s">
        <v>2874</v>
      </c>
      <c r="C908" s="6" t="s">
        <v>2875</v>
      </c>
      <c r="D908" s="3" t="str">
        <f t="shared" si="1"/>
        <v>AE-0907</v>
      </c>
      <c r="E908" s="3">
        <f t="array" ref="E908">IFERROR(XLOOKUP(D908,'Astronomy 101 Week 1 Quiz (Resp'!F:F,'Astronomy 101 Week 1 Quiz (Resp'!E:E),0)</f>
        <v>0</v>
      </c>
      <c r="F908" s="3" t="s">
        <v>14</v>
      </c>
      <c r="G908" s="3"/>
      <c r="H908" s="7" t="s">
        <v>2876</v>
      </c>
      <c r="I908" s="6" t="s">
        <v>2877</v>
      </c>
      <c r="J908" s="6" t="s">
        <v>16</v>
      </c>
      <c r="K908" s="6" t="s">
        <v>17</v>
      </c>
    </row>
    <row r="909" ht="22.5" customHeight="1">
      <c r="A909" s="5">
        <v>46174.42423466435</v>
      </c>
      <c r="B909" s="6" t="s">
        <v>2878</v>
      </c>
      <c r="C909" s="6" t="s">
        <v>2879</v>
      </c>
      <c r="D909" s="3" t="str">
        <f t="shared" si="1"/>
        <v>AE-0908</v>
      </c>
      <c r="E909" s="3">
        <f t="array" ref="E909">IFERROR(XLOOKUP(D909,'Astronomy 101 Week 1 Quiz (Resp'!F:F,'Astronomy 101 Week 1 Quiz (Resp'!E:E),0)</f>
        <v>0</v>
      </c>
      <c r="F909" s="3" t="s">
        <v>14</v>
      </c>
      <c r="G909" s="3"/>
      <c r="H909" s="6">
        <v>8.6975291E9</v>
      </c>
      <c r="I909" s="6" t="s">
        <v>2057</v>
      </c>
      <c r="J909" s="6" t="s">
        <v>16</v>
      </c>
      <c r="K909" s="6" t="s">
        <v>61</v>
      </c>
      <c r="L909" s="6" t="s">
        <v>2880</v>
      </c>
    </row>
    <row r="910" ht="22.5" customHeight="1">
      <c r="A910" s="5">
        <v>46174.42487829861</v>
      </c>
      <c r="B910" s="6" t="s">
        <v>2881</v>
      </c>
      <c r="C910" s="6" t="s">
        <v>2673</v>
      </c>
      <c r="D910" s="3" t="str">
        <f t="shared" si="1"/>
        <v>AE-0909</v>
      </c>
      <c r="E910" s="3">
        <f t="array" ref="E910">IFERROR(XLOOKUP(D910,'Astronomy 101 Week 1 Quiz (Resp'!F:F,'Astronomy 101 Week 1 Quiz (Resp'!E:E),0)</f>
        <v>0</v>
      </c>
      <c r="F910" s="3" t="s">
        <v>14</v>
      </c>
      <c r="G910" s="3"/>
      <c r="H910" s="6">
        <v>8.288890514E9</v>
      </c>
      <c r="I910" s="6" t="s">
        <v>1307</v>
      </c>
      <c r="J910" s="6" t="s">
        <v>16</v>
      </c>
      <c r="K910" s="6" t="s">
        <v>47</v>
      </c>
    </row>
    <row r="911" ht="22.5" customHeight="1">
      <c r="A911" s="5">
        <v>46174.44453309028</v>
      </c>
      <c r="B911" s="6" t="s">
        <v>2882</v>
      </c>
      <c r="C911" s="6" t="s">
        <v>2883</v>
      </c>
      <c r="D911" s="3" t="str">
        <f t="shared" si="1"/>
        <v>AE-0910</v>
      </c>
      <c r="E911" s="3">
        <f t="array" ref="E911">IFERROR(XLOOKUP(D911,'Astronomy 101 Week 1 Quiz (Resp'!F:F,'Astronomy 101 Week 1 Quiz (Resp'!E:E),0)</f>
        <v>0</v>
      </c>
      <c r="F911" s="3" t="s">
        <v>14</v>
      </c>
      <c r="G911" s="3"/>
      <c r="H911" s="7" t="s">
        <v>2884</v>
      </c>
      <c r="I911" s="6" t="s">
        <v>665</v>
      </c>
      <c r="J911" s="6" t="s">
        <v>16</v>
      </c>
      <c r="K911" s="6" t="s">
        <v>17</v>
      </c>
    </row>
    <row r="912" ht="22.5" customHeight="1">
      <c r="A912" s="5">
        <v>46174.44811805556</v>
      </c>
      <c r="B912" s="6" t="s">
        <v>905</v>
      </c>
      <c r="C912" s="6" t="s">
        <v>2885</v>
      </c>
      <c r="D912" s="3" t="str">
        <f t="shared" si="1"/>
        <v>AE-0911</v>
      </c>
      <c r="E912" s="3">
        <f t="array" ref="E912">IFERROR(XLOOKUP(D912,'Astronomy 101 Week 1 Quiz (Resp'!F:F,'Astronomy 101 Week 1 Quiz (Resp'!E:E),0)</f>
        <v>46</v>
      </c>
      <c r="F912" s="3" t="s">
        <v>14</v>
      </c>
      <c r="G912" s="3"/>
      <c r="H912" s="6">
        <v>9.933786164E9</v>
      </c>
      <c r="I912" s="6" t="s">
        <v>64</v>
      </c>
      <c r="J912" s="6" t="s">
        <v>16</v>
      </c>
      <c r="K912" s="6" t="s">
        <v>43</v>
      </c>
    </row>
    <row r="913" ht="22.5" customHeight="1">
      <c r="A913" s="5">
        <v>46174.45140478009</v>
      </c>
      <c r="B913" s="6" t="s">
        <v>2886</v>
      </c>
      <c r="C913" s="6" t="s">
        <v>2887</v>
      </c>
      <c r="D913" s="3" t="str">
        <f t="shared" si="1"/>
        <v>AE-0912</v>
      </c>
      <c r="E913" s="3">
        <f t="array" ref="E913">IFERROR(XLOOKUP(D913,'Astronomy 101 Week 1 Quiz (Resp'!F:F,'Astronomy 101 Week 1 Quiz (Resp'!E:E),0)</f>
        <v>0</v>
      </c>
      <c r="F913" s="3" t="s">
        <v>14</v>
      </c>
      <c r="G913" s="3"/>
      <c r="H913" s="6">
        <v>8.906014711E9</v>
      </c>
      <c r="I913" s="6" t="s">
        <v>2888</v>
      </c>
      <c r="J913" s="6" t="s">
        <v>16</v>
      </c>
      <c r="K913" s="6" t="s">
        <v>61</v>
      </c>
    </row>
    <row r="914" ht="22.5" customHeight="1">
      <c r="A914" s="5">
        <v>46174.511274375</v>
      </c>
      <c r="B914" s="6" t="s">
        <v>2889</v>
      </c>
      <c r="C914" s="6" t="s">
        <v>2890</v>
      </c>
      <c r="D914" s="3" t="str">
        <f t="shared" si="1"/>
        <v>AE-0913</v>
      </c>
      <c r="E914" s="3">
        <f t="array" ref="E914">IFERROR(XLOOKUP(D914,'Astronomy 101 Week 1 Quiz (Resp'!F:F,'Astronomy 101 Week 1 Quiz (Resp'!E:E),0)</f>
        <v>43</v>
      </c>
      <c r="F914" s="3" t="s">
        <v>14</v>
      </c>
      <c r="G914" s="3"/>
      <c r="H914" s="6">
        <v>6.282704483E9</v>
      </c>
      <c r="I914" s="6" t="s">
        <v>1790</v>
      </c>
      <c r="J914" s="6" t="s">
        <v>16</v>
      </c>
      <c r="K914" s="6" t="s">
        <v>43</v>
      </c>
      <c r="L914" s="6" t="s">
        <v>2891</v>
      </c>
    </row>
    <row r="915" ht="22.5" customHeight="1">
      <c r="A915" s="5">
        <v>46174.53368541667</v>
      </c>
      <c r="B915" s="6" t="s">
        <v>1468</v>
      </c>
      <c r="C915" s="6" t="s">
        <v>2892</v>
      </c>
      <c r="D915" s="3" t="str">
        <f t="shared" si="1"/>
        <v>AE-0914</v>
      </c>
      <c r="E915" s="3">
        <f t="array" ref="E915">IFERROR(XLOOKUP(D915,'Astronomy 101 Week 1 Quiz (Resp'!F:F,'Astronomy 101 Week 1 Quiz (Resp'!E:E),0)</f>
        <v>34</v>
      </c>
      <c r="F915" s="3" t="s">
        <v>14</v>
      </c>
      <c r="G915" s="3"/>
      <c r="H915" s="6">
        <v>6.355142584E9</v>
      </c>
      <c r="I915" s="6" t="s">
        <v>1059</v>
      </c>
      <c r="J915" s="6" t="s">
        <v>16</v>
      </c>
      <c r="K915" s="6" t="s">
        <v>17</v>
      </c>
    </row>
    <row r="916" ht="22.5" customHeight="1">
      <c r="A916" s="5">
        <v>46174.559144189814</v>
      </c>
      <c r="B916" s="6" t="s">
        <v>2893</v>
      </c>
      <c r="C916" s="6" t="s">
        <v>2894</v>
      </c>
      <c r="D916" s="3" t="str">
        <f t="shared" si="1"/>
        <v>AE-0915</v>
      </c>
      <c r="E916" s="3">
        <f t="array" ref="E916">IFERROR(XLOOKUP(D916,'Astronomy 101 Week 1 Quiz (Resp'!F:F,'Astronomy 101 Week 1 Quiz (Resp'!E:E),0)</f>
        <v>0</v>
      </c>
      <c r="F916" s="3" t="s">
        <v>14</v>
      </c>
      <c r="G916" s="3"/>
      <c r="H916" s="6">
        <v>9.676300471E9</v>
      </c>
      <c r="I916" s="6" t="s">
        <v>2895</v>
      </c>
      <c r="J916" s="6" t="s">
        <v>16</v>
      </c>
      <c r="K916" s="6" t="s">
        <v>17</v>
      </c>
      <c r="L916" s="6" t="s">
        <v>2896</v>
      </c>
    </row>
    <row r="917" ht="22.5" customHeight="1">
      <c r="A917" s="5">
        <v>46174.568222546295</v>
      </c>
      <c r="B917" s="6" t="s">
        <v>2897</v>
      </c>
      <c r="C917" s="6" t="s">
        <v>2898</v>
      </c>
      <c r="D917" s="3" t="str">
        <f t="shared" si="1"/>
        <v>AE-0916</v>
      </c>
      <c r="E917" s="3">
        <f t="array" ref="E917">IFERROR(XLOOKUP(D917,'Astronomy 101 Week 1 Quiz (Resp'!F:F,'Astronomy 101 Week 1 Quiz (Resp'!E:E),0)</f>
        <v>0</v>
      </c>
      <c r="F917" s="3" t="s">
        <v>14</v>
      </c>
      <c r="G917" s="3"/>
      <c r="H917" s="6">
        <v>6.294031802E9</v>
      </c>
      <c r="I917" s="6" t="s">
        <v>1921</v>
      </c>
      <c r="J917" s="6" t="s">
        <v>16</v>
      </c>
      <c r="K917" s="6" t="s">
        <v>17</v>
      </c>
      <c r="L917" s="6" t="s">
        <v>2899</v>
      </c>
    </row>
    <row r="918" ht="22.5" customHeight="1">
      <c r="A918" s="5">
        <v>46174.5693259838</v>
      </c>
      <c r="B918" s="6" t="s">
        <v>2897</v>
      </c>
      <c r="C918" s="6" t="s">
        <v>2898</v>
      </c>
      <c r="D918" s="3" t="str">
        <f t="shared" si="1"/>
        <v>AE-0917</v>
      </c>
      <c r="E918" s="3">
        <f t="array" ref="E918">IFERROR(XLOOKUP(D918,'Astronomy 101 Week 1 Quiz (Resp'!F:F,'Astronomy 101 Week 1 Quiz (Resp'!E:E),0)</f>
        <v>0</v>
      </c>
      <c r="F918" s="3" t="s">
        <v>14</v>
      </c>
      <c r="G918" s="3"/>
      <c r="H918" s="6">
        <v>6.294031802E9</v>
      </c>
      <c r="I918" s="6" t="s">
        <v>1921</v>
      </c>
      <c r="J918" s="6" t="s">
        <v>16</v>
      </c>
      <c r="K918" s="6" t="s">
        <v>17</v>
      </c>
      <c r="L918" s="6" t="s">
        <v>2900</v>
      </c>
    </row>
    <row r="919" ht="22.5" customHeight="1">
      <c r="A919" s="5">
        <v>46174.583241099535</v>
      </c>
      <c r="B919" s="6" t="s">
        <v>2901</v>
      </c>
      <c r="C919" s="6" t="s">
        <v>2902</v>
      </c>
      <c r="D919" s="3" t="str">
        <f t="shared" si="1"/>
        <v>AE-0918</v>
      </c>
      <c r="E919" s="3">
        <f t="array" ref="E919">IFERROR(XLOOKUP(D919,'Astronomy 101 Week 1 Quiz (Resp'!F:F,'Astronomy 101 Week 1 Quiz (Resp'!E:E),0)</f>
        <v>44</v>
      </c>
      <c r="F919" s="3" t="s">
        <v>14</v>
      </c>
      <c r="G919" s="3"/>
      <c r="H919" s="6">
        <v>8.500795388E9</v>
      </c>
      <c r="I919" s="6" t="s">
        <v>665</v>
      </c>
      <c r="J919" s="6" t="s">
        <v>16</v>
      </c>
      <c r="K919" s="6" t="s">
        <v>61</v>
      </c>
    </row>
    <row r="920" ht="22.5" customHeight="1">
      <c r="A920" s="5">
        <v>46174.60131099537</v>
      </c>
      <c r="B920" s="6" t="s">
        <v>2903</v>
      </c>
      <c r="C920" s="6" t="s">
        <v>2904</v>
      </c>
      <c r="D920" s="3" t="str">
        <f t="shared" si="1"/>
        <v>AE-0919</v>
      </c>
      <c r="E920" s="3">
        <f t="array" ref="E920">IFERROR(XLOOKUP(D920,'Astronomy 101 Week 1 Quiz (Resp'!F:F,'Astronomy 101 Week 1 Quiz (Resp'!E:E),0)</f>
        <v>0</v>
      </c>
      <c r="F920" s="3" t="s">
        <v>14</v>
      </c>
      <c r="G920" s="3"/>
      <c r="H920" s="6">
        <v>8.917385115E9</v>
      </c>
      <c r="I920" s="6" t="s">
        <v>698</v>
      </c>
      <c r="J920" s="6" t="s">
        <v>16</v>
      </c>
      <c r="K920" s="6" t="s">
        <v>43</v>
      </c>
    </row>
    <row r="921" ht="22.5" customHeight="1">
      <c r="A921" s="5">
        <v>46174.61217537037</v>
      </c>
      <c r="B921" s="6" t="s">
        <v>836</v>
      </c>
      <c r="C921" s="6" t="s">
        <v>837</v>
      </c>
      <c r="D921" s="3" t="str">
        <f t="shared" si="1"/>
        <v>AE-0920</v>
      </c>
      <c r="E921" s="3">
        <f t="array" ref="E921">IFERROR(XLOOKUP(D921,'Astronomy 101 Week 1 Quiz (Resp'!F:F,'Astronomy 101 Week 1 Quiz (Resp'!E:E),0)</f>
        <v>39</v>
      </c>
      <c r="F921" s="3" t="s">
        <v>14</v>
      </c>
      <c r="G921" s="3"/>
      <c r="H921" s="6">
        <v>9.717840802E9</v>
      </c>
      <c r="I921" s="6" t="s">
        <v>29</v>
      </c>
      <c r="J921" s="6" t="s">
        <v>16</v>
      </c>
      <c r="K921" s="6" t="s">
        <v>47</v>
      </c>
    </row>
    <row r="922" ht="22.5" customHeight="1">
      <c r="A922" s="5">
        <v>46174.62710025463</v>
      </c>
      <c r="B922" s="6" t="s">
        <v>2905</v>
      </c>
      <c r="C922" s="6" t="s">
        <v>2906</v>
      </c>
      <c r="D922" s="3" t="str">
        <f t="shared" si="1"/>
        <v>AE-0921</v>
      </c>
      <c r="E922" s="3">
        <f t="array" ref="E922">IFERROR(XLOOKUP(D922,'Astronomy 101 Week 1 Quiz (Resp'!F:F,'Astronomy 101 Week 1 Quiz (Resp'!E:E),0)</f>
        <v>0</v>
      </c>
      <c r="F922" s="3" t="s">
        <v>14</v>
      </c>
      <c r="G922" s="3"/>
      <c r="H922" s="6">
        <v>9.461633004E9</v>
      </c>
      <c r="I922" s="6" t="s">
        <v>2907</v>
      </c>
      <c r="J922" s="6" t="s">
        <v>16</v>
      </c>
      <c r="K922" s="6" t="s">
        <v>17</v>
      </c>
    </row>
    <row r="923" ht="22.5" customHeight="1">
      <c r="A923" s="5">
        <v>46174.64458570602</v>
      </c>
      <c r="B923" s="6" t="s">
        <v>2908</v>
      </c>
      <c r="C923" s="6" t="s">
        <v>2909</v>
      </c>
      <c r="D923" s="3" t="str">
        <f t="shared" si="1"/>
        <v>AE-0922</v>
      </c>
      <c r="E923" s="3">
        <f t="array" ref="E923">IFERROR(XLOOKUP(D923,'Astronomy 101 Week 1 Quiz (Resp'!F:F,'Astronomy 101 Week 1 Quiz (Resp'!E:E),0)</f>
        <v>40</v>
      </c>
      <c r="F923" s="3" t="s">
        <v>14</v>
      </c>
      <c r="G923" s="3"/>
      <c r="H923" s="6">
        <v>9.398673873E9</v>
      </c>
      <c r="I923" s="6" t="s">
        <v>2910</v>
      </c>
      <c r="J923" s="6" t="s">
        <v>16</v>
      </c>
      <c r="K923" s="6" t="s">
        <v>61</v>
      </c>
      <c r="L923" s="6" t="s">
        <v>2911</v>
      </c>
    </row>
    <row r="924" ht="22.5" customHeight="1">
      <c r="A924" s="5">
        <v>46174.67610335648</v>
      </c>
      <c r="B924" s="6" t="s">
        <v>2912</v>
      </c>
      <c r="C924" s="6" t="s">
        <v>2913</v>
      </c>
      <c r="D924" s="3" t="str">
        <f t="shared" si="1"/>
        <v>AE-0923</v>
      </c>
      <c r="E924" s="3">
        <f t="array" ref="E924">IFERROR(XLOOKUP(D924,'Astronomy 101 Week 1 Quiz (Resp'!F:F,'Astronomy 101 Week 1 Quiz (Resp'!E:E),0)</f>
        <v>0</v>
      </c>
      <c r="F924" s="3" t="s">
        <v>14</v>
      </c>
      <c r="G924" s="3"/>
      <c r="H924" s="6">
        <v>8.451979163E9</v>
      </c>
      <c r="I924" s="6" t="s">
        <v>2149</v>
      </c>
      <c r="J924" s="6" t="s">
        <v>16</v>
      </c>
      <c r="K924" s="6" t="s">
        <v>17</v>
      </c>
    </row>
    <row r="925" ht="22.5" customHeight="1">
      <c r="A925" s="5">
        <v>46174.68211716435</v>
      </c>
      <c r="B925" s="6" t="s">
        <v>2914</v>
      </c>
      <c r="C925" s="6" t="s">
        <v>2915</v>
      </c>
      <c r="D925" s="3" t="str">
        <f t="shared" si="1"/>
        <v>AE-0924</v>
      </c>
      <c r="E925" s="3">
        <f t="array" ref="E925">IFERROR(XLOOKUP(D925,'Astronomy 101 Week 1 Quiz (Resp'!F:F,'Astronomy 101 Week 1 Quiz (Resp'!E:E),0)</f>
        <v>0</v>
      </c>
      <c r="F925" s="3" t="s">
        <v>14</v>
      </c>
      <c r="G925" s="3"/>
      <c r="H925" s="6">
        <v>9.867954976E9</v>
      </c>
      <c r="I925" s="6" t="s">
        <v>2916</v>
      </c>
      <c r="J925" s="6" t="s">
        <v>16</v>
      </c>
      <c r="K925" s="6" t="s">
        <v>17</v>
      </c>
    </row>
    <row r="926" ht="22.5" customHeight="1">
      <c r="A926" s="5">
        <v>46174.701041712964</v>
      </c>
      <c r="B926" s="6" t="s">
        <v>1626</v>
      </c>
      <c r="C926" s="6" t="s">
        <v>1627</v>
      </c>
      <c r="D926" s="3" t="str">
        <f t="shared" si="1"/>
        <v>AE-0925</v>
      </c>
      <c r="E926" s="3">
        <f t="array" ref="E926">IFERROR(XLOOKUP(D926,'Astronomy 101 Week 1 Quiz (Resp'!F:F,'Astronomy 101 Week 1 Quiz (Resp'!E:E),0)</f>
        <v>0</v>
      </c>
      <c r="F926" s="3" t="s">
        <v>14</v>
      </c>
      <c r="G926" s="3"/>
      <c r="H926" s="6">
        <v>7.806064457E9</v>
      </c>
      <c r="I926" s="6" t="s">
        <v>436</v>
      </c>
      <c r="J926" s="6" t="s">
        <v>16</v>
      </c>
      <c r="K926" s="6" t="s">
        <v>61</v>
      </c>
      <c r="L926" s="6" t="s">
        <v>2917</v>
      </c>
    </row>
    <row r="927" ht="22.5" customHeight="1">
      <c r="A927" s="5">
        <v>46174.707490127315</v>
      </c>
      <c r="B927" s="6" t="s">
        <v>2918</v>
      </c>
      <c r="C927" s="6" t="s">
        <v>2919</v>
      </c>
      <c r="D927" s="3" t="str">
        <f t="shared" si="1"/>
        <v>AE-0926</v>
      </c>
      <c r="E927" s="3">
        <f t="array" ref="E927">IFERROR(XLOOKUP(D927,'Astronomy 101 Week 1 Quiz (Resp'!F:F,'Astronomy 101 Week 1 Quiz (Resp'!E:E),0)</f>
        <v>0</v>
      </c>
      <c r="F927" s="3" t="s">
        <v>14</v>
      </c>
      <c r="G927" s="3"/>
      <c r="H927" s="6">
        <v>9.368038964E9</v>
      </c>
      <c r="I927" s="6" t="s">
        <v>185</v>
      </c>
      <c r="J927" s="6" t="s">
        <v>16</v>
      </c>
      <c r="K927" s="6" t="s">
        <v>17</v>
      </c>
      <c r="L927" s="6" t="s">
        <v>2920</v>
      </c>
    </row>
    <row r="928" ht="22.5" customHeight="1">
      <c r="A928" s="5">
        <v>46174.70757280092</v>
      </c>
      <c r="B928" s="6" t="s">
        <v>2921</v>
      </c>
      <c r="C928" s="6" t="s">
        <v>2604</v>
      </c>
      <c r="D928" s="3" t="str">
        <f t="shared" si="1"/>
        <v>AE-0927</v>
      </c>
      <c r="E928" s="3">
        <f t="array" ref="E928">IFERROR(XLOOKUP(D928,'Astronomy 101 Week 1 Quiz (Resp'!F:F,'Astronomy 101 Week 1 Quiz (Resp'!E:E),0)</f>
        <v>43</v>
      </c>
      <c r="F928" s="3" t="s">
        <v>14</v>
      </c>
      <c r="G928" s="3"/>
      <c r="H928" s="6">
        <v>9.785772029E9</v>
      </c>
      <c r="I928" s="6" t="s">
        <v>2922</v>
      </c>
      <c r="J928" s="6" t="s">
        <v>16</v>
      </c>
      <c r="K928" s="6" t="s">
        <v>17</v>
      </c>
    </row>
    <row r="929" ht="22.5" customHeight="1">
      <c r="A929" s="5">
        <v>46174.70837677083</v>
      </c>
      <c r="B929" s="6" t="s">
        <v>2923</v>
      </c>
      <c r="C929" s="6" t="s">
        <v>2924</v>
      </c>
      <c r="D929" s="3" t="str">
        <f t="shared" si="1"/>
        <v>AE-0928</v>
      </c>
      <c r="E929" s="3">
        <f t="array" ref="E929">IFERROR(XLOOKUP(D929,'Astronomy 101 Week 1 Quiz (Resp'!F:F,'Astronomy 101 Week 1 Quiz (Resp'!E:E),0)</f>
        <v>0</v>
      </c>
      <c r="F929" s="3" t="s">
        <v>14</v>
      </c>
      <c r="G929" s="3"/>
      <c r="H929" s="6">
        <v>8.660102106E9</v>
      </c>
      <c r="I929" s="6" t="s">
        <v>2697</v>
      </c>
      <c r="J929" s="6" t="s">
        <v>16</v>
      </c>
      <c r="K929" s="6" t="s">
        <v>17</v>
      </c>
      <c r="L929" s="6" t="s">
        <v>2925</v>
      </c>
    </row>
    <row r="930" ht="22.5" customHeight="1">
      <c r="A930" s="5">
        <v>46174.715884895835</v>
      </c>
      <c r="B930" s="6" t="s">
        <v>2167</v>
      </c>
      <c r="C930" s="6" t="s">
        <v>2168</v>
      </c>
      <c r="D930" s="3" t="str">
        <f t="shared" si="1"/>
        <v>AE-0929</v>
      </c>
      <c r="E930" s="3">
        <f t="array" ref="E930">IFERROR(XLOOKUP(D930,'Astronomy 101 Week 1 Quiz (Resp'!F:F,'Astronomy 101 Week 1 Quiz (Resp'!E:E),0)</f>
        <v>38</v>
      </c>
      <c r="F930" s="3" t="s">
        <v>14</v>
      </c>
      <c r="G930" s="3"/>
      <c r="H930" s="6">
        <v>8.948430128E9</v>
      </c>
      <c r="I930" s="6" t="s">
        <v>2926</v>
      </c>
      <c r="J930" s="6" t="s">
        <v>16</v>
      </c>
      <c r="K930" s="6" t="s">
        <v>17</v>
      </c>
    </row>
    <row r="931" ht="22.5" customHeight="1">
      <c r="A931" s="5">
        <v>46174.72394819444</v>
      </c>
      <c r="B931" s="6" t="s">
        <v>120</v>
      </c>
      <c r="C931" s="6" t="s">
        <v>2927</v>
      </c>
      <c r="D931" s="3" t="str">
        <f t="shared" si="1"/>
        <v>AE-0930</v>
      </c>
      <c r="E931" s="3">
        <f t="array" ref="E931">IFERROR(XLOOKUP(D931,'Astronomy 101 Week 1 Quiz (Resp'!F:F,'Astronomy 101 Week 1 Quiz (Resp'!E:E),0)</f>
        <v>0</v>
      </c>
      <c r="F931" s="3" t="s">
        <v>14</v>
      </c>
      <c r="G931" s="3"/>
      <c r="H931" s="6">
        <v>9.426656212E9</v>
      </c>
      <c r="I931" s="6" t="s">
        <v>2928</v>
      </c>
      <c r="J931" s="6" t="s">
        <v>16</v>
      </c>
      <c r="K931" s="6" t="s">
        <v>25</v>
      </c>
    </row>
    <row r="932" ht="22.5" customHeight="1">
      <c r="A932" s="5">
        <v>46174.72805769676</v>
      </c>
      <c r="B932" s="6" t="s">
        <v>2929</v>
      </c>
      <c r="C932" s="6" t="s">
        <v>2930</v>
      </c>
      <c r="D932" s="3" t="str">
        <f t="shared" si="1"/>
        <v>AE-0931</v>
      </c>
      <c r="E932" s="3">
        <f t="array" ref="E932">IFERROR(XLOOKUP(D932,'Astronomy 101 Week 1 Quiz (Resp'!F:F,'Astronomy 101 Week 1 Quiz (Resp'!E:E),0)</f>
        <v>31</v>
      </c>
      <c r="F932" s="3" t="s">
        <v>14</v>
      </c>
      <c r="G932" s="3"/>
      <c r="H932" s="6">
        <v>8.433909515E9</v>
      </c>
      <c r="I932" s="6" t="s">
        <v>1778</v>
      </c>
      <c r="J932" s="6" t="s">
        <v>16</v>
      </c>
      <c r="K932" s="6" t="s">
        <v>25</v>
      </c>
      <c r="L932" s="6" t="s">
        <v>2931</v>
      </c>
    </row>
    <row r="933" ht="22.5" customHeight="1">
      <c r="A933" s="5">
        <v>46174.73370552083</v>
      </c>
      <c r="B933" s="6" t="s">
        <v>2932</v>
      </c>
      <c r="C933" s="6" t="s">
        <v>2933</v>
      </c>
      <c r="D933" s="3" t="str">
        <f t="shared" si="1"/>
        <v>AE-0932</v>
      </c>
      <c r="E933" s="3">
        <f t="array" ref="E933">IFERROR(XLOOKUP(D933,'Astronomy 101 Week 1 Quiz (Resp'!F:F,'Astronomy 101 Week 1 Quiz (Resp'!E:E),0)</f>
        <v>0</v>
      </c>
      <c r="F933" s="3" t="s">
        <v>14</v>
      </c>
      <c r="G933" s="3"/>
      <c r="H933" s="6">
        <v>8.540964239E9</v>
      </c>
      <c r="I933" s="6" t="s">
        <v>2934</v>
      </c>
      <c r="J933" s="6" t="s">
        <v>16</v>
      </c>
      <c r="K933" s="6" t="s">
        <v>25</v>
      </c>
      <c r="L933" s="6" t="s">
        <v>2935</v>
      </c>
    </row>
    <row r="934" ht="22.5" customHeight="1">
      <c r="A934" s="5">
        <v>46174.73552851852</v>
      </c>
      <c r="B934" s="6" t="s">
        <v>2936</v>
      </c>
      <c r="C934" s="6" t="s">
        <v>2937</v>
      </c>
      <c r="D934" s="3" t="str">
        <f t="shared" si="1"/>
        <v>AE-0933</v>
      </c>
      <c r="E934" s="3">
        <f t="array" ref="E934">IFERROR(XLOOKUP(D934,'Astronomy 101 Week 1 Quiz (Resp'!F:F,'Astronomy 101 Week 1 Quiz (Resp'!E:E),0)</f>
        <v>41</v>
      </c>
      <c r="F934" s="3" t="s">
        <v>14</v>
      </c>
      <c r="G934" s="3"/>
      <c r="H934" s="6">
        <v>8.019491131E9</v>
      </c>
      <c r="I934" s="6" t="s">
        <v>2938</v>
      </c>
      <c r="J934" s="6" t="s">
        <v>16</v>
      </c>
      <c r="K934" s="6" t="s">
        <v>82</v>
      </c>
    </row>
    <row r="935" ht="22.5" customHeight="1">
      <c r="A935" s="5">
        <v>46174.737327766205</v>
      </c>
      <c r="B935" s="6" t="s">
        <v>2939</v>
      </c>
      <c r="C935" s="6" t="s">
        <v>2940</v>
      </c>
      <c r="D935" s="3" t="str">
        <f t="shared" si="1"/>
        <v>AE-0934</v>
      </c>
      <c r="E935" s="3">
        <f t="array" ref="E935">IFERROR(XLOOKUP(D935,'Astronomy 101 Week 1 Quiz (Resp'!F:F,'Astronomy 101 Week 1 Quiz (Resp'!E:E),0)</f>
        <v>19</v>
      </c>
      <c r="F935" s="3" t="s">
        <v>14</v>
      </c>
      <c r="G935" s="3"/>
      <c r="H935" s="6">
        <v>9.211564456E9</v>
      </c>
      <c r="I935" s="6" t="s">
        <v>2941</v>
      </c>
      <c r="J935" s="6" t="s">
        <v>16</v>
      </c>
      <c r="K935" s="6" t="s">
        <v>82</v>
      </c>
      <c r="L935" s="6" t="s">
        <v>2942</v>
      </c>
    </row>
    <row r="936" ht="22.5" customHeight="1">
      <c r="A936" s="5">
        <v>46174.75655667824</v>
      </c>
      <c r="B936" s="6" t="s">
        <v>2943</v>
      </c>
      <c r="C936" s="6" t="s">
        <v>2944</v>
      </c>
      <c r="D936" s="3" t="str">
        <f t="shared" si="1"/>
        <v>AE-0935</v>
      </c>
      <c r="E936" s="3">
        <f t="array" ref="E936">IFERROR(XLOOKUP(D936,'Astronomy 101 Week 1 Quiz (Resp'!F:F,'Astronomy 101 Week 1 Quiz (Resp'!E:E),0)</f>
        <v>0</v>
      </c>
      <c r="F936" s="3" t="s">
        <v>14</v>
      </c>
      <c r="G936" s="3"/>
      <c r="H936" s="6">
        <v>7.039735253E9</v>
      </c>
      <c r="I936" s="6" t="s">
        <v>2945</v>
      </c>
      <c r="J936" s="6" t="s">
        <v>16</v>
      </c>
      <c r="K936" s="6" t="s">
        <v>17</v>
      </c>
      <c r="L936" s="6" t="s">
        <v>2946</v>
      </c>
    </row>
    <row r="937" ht="22.5" customHeight="1">
      <c r="A937" s="5">
        <v>46174.75668640046</v>
      </c>
      <c r="B937" s="6" t="s">
        <v>2947</v>
      </c>
      <c r="C937" s="6" t="s">
        <v>2948</v>
      </c>
      <c r="D937" s="3" t="str">
        <f t="shared" si="1"/>
        <v>AE-0936</v>
      </c>
      <c r="E937" s="3">
        <f t="array" ref="E937">IFERROR(XLOOKUP(D937,'Astronomy 101 Week 1 Quiz (Resp'!F:F,'Astronomy 101 Week 1 Quiz (Resp'!E:E),0)</f>
        <v>42</v>
      </c>
      <c r="F937" s="3" t="s">
        <v>14</v>
      </c>
      <c r="G937" s="3"/>
      <c r="H937" s="6">
        <v>9.949086333E9</v>
      </c>
      <c r="I937" s="6" t="s">
        <v>2949</v>
      </c>
      <c r="J937" s="6" t="s">
        <v>16</v>
      </c>
      <c r="K937" s="6" t="s">
        <v>17</v>
      </c>
    </row>
    <row r="938" ht="22.5" customHeight="1">
      <c r="A938" s="5">
        <v>46174.78084153935</v>
      </c>
      <c r="B938" s="6" t="s">
        <v>2950</v>
      </c>
      <c r="C938" s="6" t="s">
        <v>2951</v>
      </c>
      <c r="D938" s="3" t="str">
        <f t="shared" si="1"/>
        <v>AE-0937</v>
      </c>
      <c r="E938" s="3">
        <f t="array" ref="E938">IFERROR(XLOOKUP(D938,'Astronomy 101 Week 1 Quiz (Resp'!F:F,'Astronomy 101 Week 1 Quiz (Resp'!E:E),0)</f>
        <v>42</v>
      </c>
      <c r="F938" s="3" t="s">
        <v>14</v>
      </c>
      <c r="G938" s="3"/>
      <c r="H938" s="6">
        <v>7.358666499E9</v>
      </c>
      <c r="I938" s="6" t="s">
        <v>1618</v>
      </c>
      <c r="J938" s="6" t="s">
        <v>16</v>
      </c>
      <c r="K938" s="6" t="s">
        <v>21</v>
      </c>
      <c r="L938" s="6" t="s">
        <v>2952</v>
      </c>
    </row>
    <row r="939" ht="22.5" customHeight="1">
      <c r="A939" s="5">
        <v>46174.830778125004</v>
      </c>
      <c r="B939" s="6" t="s">
        <v>2953</v>
      </c>
      <c r="C939" s="6" t="s">
        <v>2954</v>
      </c>
      <c r="D939" s="3" t="str">
        <f t="shared" si="1"/>
        <v>AE-0938</v>
      </c>
      <c r="E939" s="3">
        <f t="array" ref="E939">IFERROR(XLOOKUP(D939,'Astronomy 101 Week 1 Quiz (Resp'!F:F,'Astronomy 101 Week 1 Quiz (Resp'!E:E),0)</f>
        <v>0</v>
      </c>
      <c r="F939" s="3" t="s">
        <v>14</v>
      </c>
      <c r="G939" s="3"/>
      <c r="H939" s="6">
        <v>7.75880198E9</v>
      </c>
      <c r="I939" s="6" t="s">
        <v>2955</v>
      </c>
      <c r="J939" s="6" t="s">
        <v>16</v>
      </c>
      <c r="K939" s="6" t="s">
        <v>17</v>
      </c>
      <c r="L939" s="6" t="s">
        <v>2956</v>
      </c>
    </row>
    <row r="940" ht="22.5" customHeight="1">
      <c r="A940" s="5">
        <v>46174.87155027778</v>
      </c>
      <c r="B940" s="6" t="s">
        <v>2957</v>
      </c>
      <c r="C940" s="6" t="s">
        <v>2958</v>
      </c>
      <c r="D940" s="3" t="str">
        <f t="shared" si="1"/>
        <v>AE-0939</v>
      </c>
      <c r="E940" s="3">
        <f t="array" ref="E940">IFERROR(XLOOKUP(D940,'Astronomy 101 Week 1 Quiz (Resp'!F:F,'Astronomy 101 Week 1 Quiz (Resp'!E:E),0)</f>
        <v>0</v>
      </c>
      <c r="F940" s="3" t="s">
        <v>14</v>
      </c>
      <c r="G940" s="3"/>
      <c r="H940" s="6">
        <v>8.88402483E9</v>
      </c>
      <c r="I940" s="6" t="s">
        <v>2959</v>
      </c>
      <c r="J940" s="6" t="s">
        <v>16</v>
      </c>
      <c r="K940" s="6" t="s">
        <v>17</v>
      </c>
    </row>
    <row r="941" ht="22.5" customHeight="1">
      <c r="A941" s="5">
        <v>46174.895784374996</v>
      </c>
      <c r="B941" s="6" t="s">
        <v>2960</v>
      </c>
      <c r="C941" s="6" t="s">
        <v>2961</v>
      </c>
      <c r="D941" s="3" t="str">
        <f t="shared" si="1"/>
        <v>AE-0940</v>
      </c>
      <c r="E941" s="3">
        <f t="array" ref="E941">IFERROR(XLOOKUP(D941,'Astronomy 101 Week 1 Quiz (Resp'!F:F,'Astronomy 101 Week 1 Quiz (Resp'!E:E),0)</f>
        <v>0</v>
      </c>
      <c r="F941" s="3" t="s">
        <v>14</v>
      </c>
      <c r="G941" s="3"/>
      <c r="H941" s="6">
        <v>8.755763665E9</v>
      </c>
      <c r="I941" s="6" t="s">
        <v>325</v>
      </c>
      <c r="J941" s="6" t="s">
        <v>16</v>
      </c>
      <c r="K941" s="6" t="s">
        <v>43</v>
      </c>
    </row>
    <row r="942" ht="22.5" customHeight="1">
      <c r="A942" s="5">
        <v>46174.90714989584</v>
      </c>
      <c r="B942" s="6" t="s">
        <v>2962</v>
      </c>
      <c r="C942" s="6" t="s">
        <v>2963</v>
      </c>
      <c r="D942" s="3" t="str">
        <f t="shared" si="1"/>
        <v>AE-0941</v>
      </c>
      <c r="E942" s="3">
        <f t="array" ref="E942">IFERROR(XLOOKUP(D942,'Astronomy 101 Week 1 Quiz (Resp'!F:F,'Astronomy 101 Week 1 Quiz (Resp'!E:E),0)</f>
        <v>0</v>
      </c>
      <c r="F942" s="3" t="s">
        <v>14</v>
      </c>
      <c r="G942" s="3"/>
      <c r="H942" s="6">
        <v>7.394806546E9</v>
      </c>
      <c r="I942" s="6" t="s">
        <v>2964</v>
      </c>
      <c r="J942" s="6" t="s">
        <v>16</v>
      </c>
      <c r="K942" s="6" t="s">
        <v>47</v>
      </c>
      <c r="L942" s="6" t="s">
        <v>2965</v>
      </c>
    </row>
    <row r="943" ht="22.5" customHeight="1">
      <c r="A943" s="5">
        <v>46174.91521407408</v>
      </c>
      <c r="B943" s="6" t="s">
        <v>759</v>
      </c>
      <c r="C943" s="6" t="s">
        <v>760</v>
      </c>
      <c r="D943" s="3" t="str">
        <f t="shared" si="1"/>
        <v>AE-0942</v>
      </c>
      <c r="E943" s="3">
        <f t="array" ref="E943">IFERROR(XLOOKUP(D943,'Astronomy 101 Week 1 Quiz (Resp'!F:F,'Astronomy 101 Week 1 Quiz (Resp'!E:E),0)</f>
        <v>0</v>
      </c>
      <c r="F943" s="3" t="s">
        <v>14</v>
      </c>
      <c r="G943" s="3"/>
      <c r="H943" s="6">
        <v>7.41662813E9</v>
      </c>
      <c r="I943" s="6" t="s">
        <v>2966</v>
      </c>
      <c r="J943" s="6" t="s">
        <v>16</v>
      </c>
      <c r="K943" s="6" t="s">
        <v>47</v>
      </c>
      <c r="L943" s="6" t="s">
        <v>2967</v>
      </c>
    </row>
    <row r="944" ht="22.5" customHeight="1">
      <c r="A944" s="5">
        <v>46174.971222719905</v>
      </c>
      <c r="B944" s="6" t="s">
        <v>2968</v>
      </c>
      <c r="C944" s="6" t="s">
        <v>2969</v>
      </c>
      <c r="D944" s="3" t="str">
        <f t="shared" si="1"/>
        <v>AE-0943</v>
      </c>
      <c r="E944" s="3">
        <f t="array" ref="E944">IFERROR(XLOOKUP(D944,'Astronomy 101 Week 1 Quiz (Resp'!F:F,'Astronomy 101 Week 1 Quiz (Resp'!E:E),0)</f>
        <v>44</v>
      </c>
      <c r="F944" s="3" t="s">
        <v>14</v>
      </c>
      <c r="G944" s="3"/>
      <c r="H944" s="6">
        <v>9.062412354E9</v>
      </c>
      <c r="I944" s="6" t="s">
        <v>2970</v>
      </c>
      <c r="J944" s="6" t="s">
        <v>16</v>
      </c>
      <c r="K944" s="6" t="s">
        <v>43</v>
      </c>
    </row>
    <row r="945" ht="22.5" customHeight="1">
      <c r="A945" s="5">
        <v>46175.00881297454</v>
      </c>
      <c r="B945" s="6" t="s">
        <v>2971</v>
      </c>
      <c r="C945" s="6" t="s">
        <v>2972</v>
      </c>
      <c r="D945" s="3" t="str">
        <f t="shared" si="1"/>
        <v>AE-0944</v>
      </c>
      <c r="E945" s="3">
        <f t="array" ref="E945">IFERROR(XLOOKUP(D945,'Astronomy 101 Week 1 Quiz (Resp'!F:F,'Astronomy 101 Week 1 Quiz (Resp'!E:E),0)</f>
        <v>41</v>
      </c>
      <c r="F945" s="3" t="s">
        <v>14</v>
      </c>
      <c r="G945" s="3"/>
      <c r="H945" s="6">
        <v>9.531562329E9</v>
      </c>
      <c r="I945" s="6" t="s">
        <v>2973</v>
      </c>
      <c r="J945" s="6" t="s">
        <v>16</v>
      </c>
      <c r="K945" s="6" t="s">
        <v>61</v>
      </c>
      <c r="L945" s="6" t="s">
        <v>2974</v>
      </c>
    </row>
    <row r="946" ht="22.5" customHeight="1">
      <c r="A946" s="5">
        <v>46175.060696597226</v>
      </c>
      <c r="B946" s="6" t="s">
        <v>2975</v>
      </c>
      <c r="C946" s="6" t="s">
        <v>2976</v>
      </c>
      <c r="D946" s="3" t="str">
        <f t="shared" si="1"/>
        <v>AE-0945</v>
      </c>
      <c r="E946" s="3">
        <f t="array" ref="E946">IFERROR(XLOOKUP(D946,'Astronomy 101 Week 1 Quiz (Resp'!F:F,'Astronomy 101 Week 1 Quiz (Resp'!E:E),0)</f>
        <v>0</v>
      </c>
      <c r="F946" s="3" t="s">
        <v>14</v>
      </c>
      <c r="G946" s="3"/>
      <c r="H946" s="6">
        <v>9.981163658E9</v>
      </c>
      <c r="I946" s="6" t="s">
        <v>1790</v>
      </c>
      <c r="J946" s="6" t="s">
        <v>16</v>
      </c>
      <c r="K946" s="6" t="s">
        <v>43</v>
      </c>
    </row>
    <row r="947" ht="22.5" customHeight="1">
      <c r="A947" s="5">
        <v>46175.27618237269</v>
      </c>
      <c r="B947" s="6" t="s">
        <v>2977</v>
      </c>
      <c r="C947" s="6" t="s">
        <v>2978</v>
      </c>
      <c r="D947" s="3" t="str">
        <f t="shared" si="1"/>
        <v>AE-0946</v>
      </c>
      <c r="E947" s="3">
        <f t="array" ref="E947">IFERROR(XLOOKUP(D947,'Astronomy 101 Week 1 Quiz (Resp'!F:F,'Astronomy 101 Week 1 Quiz (Resp'!E:E),0)</f>
        <v>0</v>
      </c>
      <c r="F947" s="3" t="s">
        <v>14</v>
      </c>
      <c r="G947" s="3"/>
      <c r="H947" s="6">
        <v>9.310442023E9</v>
      </c>
      <c r="I947" s="6" t="s">
        <v>2979</v>
      </c>
      <c r="J947" s="6" t="s">
        <v>16</v>
      </c>
      <c r="K947" s="6" t="s">
        <v>61</v>
      </c>
      <c r="L947" s="6" t="s">
        <v>2980</v>
      </c>
    </row>
    <row r="948" ht="22.5" customHeight="1">
      <c r="A948" s="5">
        <v>46175.30574498842</v>
      </c>
      <c r="B948" s="6" t="s">
        <v>2981</v>
      </c>
      <c r="C948" s="6" t="s">
        <v>2982</v>
      </c>
      <c r="D948" s="3" t="str">
        <f t="shared" si="1"/>
        <v>AE-0947</v>
      </c>
      <c r="E948" s="3">
        <f t="array" ref="E948">IFERROR(XLOOKUP(D948,'Astronomy 101 Week 1 Quiz (Resp'!F:F,'Astronomy 101 Week 1 Quiz (Resp'!E:E),0)</f>
        <v>0</v>
      </c>
      <c r="F948" s="3" t="s">
        <v>14</v>
      </c>
      <c r="G948" s="3"/>
      <c r="H948" s="6">
        <v>9.296040696E9</v>
      </c>
      <c r="I948" s="6" t="s">
        <v>465</v>
      </c>
      <c r="J948" s="6" t="s">
        <v>16</v>
      </c>
      <c r="K948" s="6" t="s">
        <v>61</v>
      </c>
    </row>
    <row r="949" ht="22.5" customHeight="1">
      <c r="A949" s="5">
        <v>46175.306687777775</v>
      </c>
      <c r="B949" s="6" t="s">
        <v>139</v>
      </c>
      <c r="C949" s="6" t="s">
        <v>2983</v>
      </c>
      <c r="D949" s="3" t="str">
        <f t="shared" si="1"/>
        <v>AE-0948</v>
      </c>
      <c r="E949" s="3">
        <f t="array" ref="E949">IFERROR(XLOOKUP(D949,'Astronomy 101 Week 1 Quiz (Resp'!F:F,'Astronomy 101 Week 1 Quiz (Resp'!E:E),0)</f>
        <v>0</v>
      </c>
      <c r="F949" s="3" t="s">
        <v>14</v>
      </c>
      <c r="G949" s="3"/>
      <c r="H949" s="6">
        <v>9.239001518E9</v>
      </c>
      <c r="I949" s="6" t="s">
        <v>64</v>
      </c>
      <c r="J949" s="6" t="s">
        <v>33</v>
      </c>
      <c r="K949" s="6" t="s">
        <v>21</v>
      </c>
    </row>
    <row r="950" ht="22.5" customHeight="1">
      <c r="A950" s="5">
        <v>46175.3780540625</v>
      </c>
      <c r="B950" s="6" t="s">
        <v>2984</v>
      </c>
      <c r="C950" s="6" t="s">
        <v>2985</v>
      </c>
      <c r="D950" s="3" t="str">
        <f t="shared" si="1"/>
        <v>AE-0949</v>
      </c>
      <c r="E950" s="3">
        <f t="array" ref="E950">IFERROR(XLOOKUP(D950,'Astronomy 101 Week 1 Quiz (Resp'!F:F,'Astronomy 101 Week 1 Quiz (Resp'!E:E),0)</f>
        <v>0</v>
      </c>
      <c r="F950" s="3" t="s">
        <v>14</v>
      </c>
      <c r="G950" s="3"/>
      <c r="H950" s="6">
        <v>7.720898062E9</v>
      </c>
      <c r="I950" s="6" t="s">
        <v>2986</v>
      </c>
      <c r="J950" s="6" t="s">
        <v>16</v>
      </c>
      <c r="K950" s="6" t="s">
        <v>17</v>
      </c>
    </row>
    <row r="951" ht="22.5" customHeight="1">
      <c r="A951" s="5">
        <v>46175.38702173611</v>
      </c>
      <c r="B951" s="6" t="s">
        <v>2987</v>
      </c>
      <c r="C951" s="6" t="s">
        <v>2988</v>
      </c>
      <c r="D951" s="3" t="str">
        <f t="shared" si="1"/>
        <v>AE-0950</v>
      </c>
      <c r="E951" s="3">
        <f t="array" ref="E951">IFERROR(XLOOKUP(D951,'Astronomy 101 Week 1 Quiz (Resp'!F:F,'Astronomy 101 Week 1 Quiz (Resp'!E:E),0)</f>
        <v>0</v>
      </c>
      <c r="F951" s="3" t="s">
        <v>14</v>
      </c>
      <c r="G951" s="3"/>
      <c r="H951" s="6" t="s">
        <v>53</v>
      </c>
      <c r="I951" s="6" t="s">
        <v>2989</v>
      </c>
      <c r="J951" s="6" t="s">
        <v>16</v>
      </c>
      <c r="K951" s="6" t="s">
        <v>17</v>
      </c>
      <c r="L951" s="6" t="s">
        <v>2990</v>
      </c>
    </row>
    <row r="952" ht="22.5" customHeight="1">
      <c r="A952" s="5">
        <v>46175.41529596064</v>
      </c>
      <c r="B952" s="6" t="s">
        <v>2991</v>
      </c>
      <c r="C952" s="6" t="s">
        <v>2992</v>
      </c>
      <c r="D952" s="3" t="str">
        <f t="shared" si="1"/>
        <v>AE-0951</v>
      </c>
      <c r="E952" s="3">
        <f t="array" ref="E952">IFERROR(XLOOKUP(D952,'Astronomy 101 Week 1 Quiz (Resp'!F:F,'Astronomy 101 Week 1 Quiz (Resp'!E:E),0)</f>
        <v>0</v>
      </c>
      <c r="F952" s="3" t="s">
        <v>14</v>
      </c>
      <c r="G952" s="3"/>
      <c r="H952" s="6">
        <v>7.366957922E9</v>
      </c>
      <c r="I952" s="6" t="s">
        <v>2993</v>
      </c>
      <c r="J952" s="6" t="s">
        <v>16</v>
      </c>
      <c r="K952" s="6" t="s">
        <v>17</v>
      </c>
      <c r="L952" s="6" t="s">
        <v>2994</v>
      </c>
    </row>
    <row r="953" ht="22.5" customHeight="1">
      <c r="A953" s="5">
        <v>46175.49553673611</v>
      </c>
      <c r="B953" s="6" t="s">
        <v>2995</v>
      </c>
      <c r="C953" s="6" t="s">
        <v>2996</v>
      </c>
      <c r="D953" s="3" t="str">
        <f t="shared" si="1"/>
        <v>AE-0952</v>
      </c>
      <c r="E953" s="3">
        <f t="array" ref="E953">IFERROR(XLOOKUP(D953,'Astronomy 101 Week 1 Quiz (Resp'!F:F,'Astronomy 101 Week 1 Quiz (Resp'!E:E),0)</f>
        <v>35</v>
      </c>
      <c r="F953" s="3" t="s">
        <v>14</v>
      </c>
      <c r="G953" s="3"/>
      <c r="H953" s="6">
        <v>9.712666813E9</v>
      </c>
      <c r="I953" s="6" t="s">
        <v>2997</v>
      </c>
      <c r="J953" s="6" t="s">
        <v>16</v>
      </c>
      <c r="K953" s="6" t="s">
        <v>61</v>
      </c>
    </row>
    <row r="954" ht="22.5" customHeight="1">
      <c r="A954" s="5">
        <v>46175.54796016203</v>
      </c>
      <c r="B954" s="6" t="s">
        <v>2998</v>
      </c>
      <c r="C954" s="6" t="s">
        <v>2999</v>
      </c>
      <c r="D954" s="3" t="str">
        <f t="shared" si="1"/>
        <v>AE-0953</v>
      </c>
      <c r="E954" s="3">
        <f t="array" ref="E954">IFERROR(XLOOKUP(D954,'Astronomy 101 Week 1 Quiz (Resp'!F:F,'Astronomy 101 Week 1 Quiz (Resp'!E:E),0)</f>
        <v>0</v>
      </c>
      <c r="F954" s="3" t="s">
        <v>14</v>
      </c>
      <c r="G954" s="3"/>
      <c r="H954" s="6">
        <v>6.394336861E9</v>
      </c>
      <c r="I954" s="6" t="s">
        <v>387</v>
      </c>
      <c r="J954" s="6" t="s">
        <v>16</v>
      </c>
      <c r="K954" s="6" t="s">
        <v>17</v>
      </c>
      <c r="L954" s="6" t="s">
        <v>3000</v>
      </c>
    </row>
    <row r="955" ht="22.5" customHeight="1">
      <c r="A955" s="5">
        <v>46175.69035452546</v>
      </c>
      <c r="B955" s="6" t="s">
        <v>3001</v>
      </c>
      <c r="C955" s="6" t="s">
        <v>618</v>
      </c>
      <c r="D955" s="3" t="str">
        <f t="shared" si="1"/>
        <v>AE-0954</v>
      </c>
      <c r="E955" s="3">
        <f t="array" ref="E955">IFERROR(XLOOKUP(D955,'Astronomy 101 Week 1 Quiz (Resp'!F:F,'Astronomy 101 Week 1 Quiz (Resp'!E:E),0)</f>
        <v>0</v>
      </c>
      <c r="F955" s="3" t="s">
        <v>14</v>
      </c>
      <c r="G955" s="3"/>
      <c r="H955" s="6">
        <v>8.209323863E9</v>
      </c>
      <c r="I955" s="6" t="s">
        <v>407</v>
      </c>
      <c r="J955" s="6" t="s">
        <v>16</v>
      </c>
      <c r="K955" s="6" t="s">
        <v>43</v>
      </c>
      <c r="L955" s="6" t="s">
        <v>3002</v>
      </c>
    </row>
    <row r="956" ht="22.5" customHeight="1">
      <c r="A956" s="5">
        <v>46175.72401167824</v>
      </c>
      <c r="B956" s="6" t="s">
        <v>3003</v>
      </c>
      <c r="C956" s="6" t="s">
        <v>3004</v>
      </c>
      <c r="D956" s="3" t="str">
        <f t="shared" si="1"/>
        <v>AE-0955</v>
      </c>
      <c r="E956" s="3">
        <f t="array" ref="E956">IFERROR(XLOOKUP(D956,'Astronomy 101 Week 1 Quiz (Resp'!F:F,'Astronomy 101 Week 1 Quiz (Resp'!E:E),0)</f>
        <v>47</v>
      </c>
      <c r="F956" s="3" t="s">
        <v>14</v>
      </c>
      <c r="G956" s="3"/>
      <c r="H956" s="6">
        <v>9.219727319E9</v>
      </c>
      <c r="I956" s="6" t="s">
        <v>3005</v>
      </c>
      <c r="J956" s="6" t="s">
        <v>16</v>
      </c>
      <c r="K956" s="6" t="s">
        <v>17</v>
      </c>
      <c r="L956" s="6" t="s">
        <v>53</v>
      </c>
    </row>
    <row r="957" ht="22.5" customHeight="1">
      <c r="A957" s="5">
        <v>46175.74339300926</v>
      </c>
      <c r="B957" s="6" t="s">
        <v>459</v>
      </c>
      <c r="C957" s="6" t="s">
        <v>460</v>
      </c>
      <c r="D957" s="3" t="str">
        <f t="shared" si="1"/>
        <v>AE-0956</v>
      </c>
      <c r="E957" s="3">
        <f t="array" ref="E957">IFERROR(XLOOKUP(D957,'Astronomy 101 Week 1 Quiz (Resp'!F:F,'Astronomy 101 Week 1 Quiz (Resp'!E:E),0)</f>
        <v>0</v>
      </c>
      <c r="F957" s="3" t="s">
        <v>14</v>
      </c>
      <c r="G957" s="3"/>
      <c r="H957" s="6">
        <v>8.059073452E9</v>
      </c>
      <c r="I957" s="6" t="s">
        <v>3006</v>
      </c>
      <c r="J957" s="6" t="s">
        <v>16</v>
      </c>
      <c r="K957" s="6" t="s">
        <v>61</v>
      </c>
      <c r="L957" s="6" t="s">
        <v>3007</v>
      </c>
    </row>
    <row r="958" ht="22.5" customHeight="1">
      <c r="A958" s="5">
        <v>46175.75966079861</v>
      </c>
      <c r="B958" s="6" t="s">
        <v>2471</v>
      </c>
      <c r="C958" s="6" t="s">
        <v>2472</v>
      </c>
      <c r="D958" s="3" t="str">
        <f t="shared" si="1"/>
        <v>AE-0957</v>
      </c>
      <c r="E958" s="3">
        <f t="array" ref="E958">IFERROR(XLOOKUP(D958,'Astronomy 101 Week 1 Quiz (Resp'!F:F,'Astronomy 101 Week 1 Quiz (Resp'!E:E),0)</f>
        <v>0</v>
      </c>
      <c r="F958" s="3" t="s">
        <v>14</v>
      </c>
      <c r="G958" s="3"/>
      <c r="H958" s="6">
        <v>9.306028989E9</v>
      </c>
      <c r="I958" s="6" t="s">
        <v>360</v>
      </c>
      <c r="J958" s="6" t="s">
        <v>16</v>
      </c>
      <c r="K958" s="6" t="s">
        <v>61</v>
      </c>
      <c r="L958" s="6" t="s">
        <v>3008</v>
      </c>
    </row>
    <row r="959" ht="22.5" customHeight="1">
      <c r="A959" s="5">
        <v>46175.81479797454</v>
      </c>
      <c r="B959" s="6" t="s">
        <v>3009</v>
      </c>
      <c r="C959" s="6" t="s">
        <v>3010</v>
      </c>
      <c r="D959" s="3" t="str">
        <f t="shared" si="1"/>
        <v>AE-0958</v>
      </c>
      <c r="E959" s="3">
        <f t="array" ref="E959">IFERROR(XLOOKUP(D959,'Astronomy 101 Week 1 Quiz (Resp'!F:F,'Astronomy 101 Week 1 Quiz (Resp'!E:E),0)</f>
        <v>0</v>
      </c>
      <c r="F959" s="3" t="s">
        <v>14</v>
      </c>
      <c r="G959" s="3"/>
      <c r="H959" s="6">
        <v>9.612736728E9</v>
      </c>
      <c r="I959" s="6" t="s">
        <v>3011</v>
      </c>
      <c r="J959" s="6" t="s">
        <v>16</v>
      </c>
      <c r="K959" s="6" t="s">
        <v>17</v>
      </c>
      <c r="L959" s="6" t="s">
        <v>3012</v>
      </c>
    </row>
    <row r="960" ht="22.5" customHeight="1">
      <c r="A960" s="5">
        <v>46175.91075084491</v>
      </c>
      <c r="B960" s="6" t="s">
        <v>3013</v>
      </c>
      <c r="C960" s="6" t="s">
        <v>3014</v>
      </c>
      <c r="D960" s="3" t="str">
        <f t="shared" si="1"/>
        <v>AE-0959</v>
      </c>
      <c r="E960" s="3">
        <f t="array" ref="E960">IFERROR(XLOOKUP(D960,'Astronomy 101 Week 1 Quiz (Resp'!F:F,'Astronomy 101 Week 1 Quiz (Resp'!E:E),0)</f>
        <v>0</v>
      </c>
      <c r="F960" s="3" t="s">
        <v>14</v>
      </c>
      <c r="G960" s="3"/>
      <c r="H960" s="6">
        <v>9.080876918E9</v>
      </c>
      <c r="I960" s="6" t="s">
        <v>64</v>
      </c>
      <c r="J960" s="6" t="s">
        <v>16</v>
      </c>
      <c r="K960" s="6" t="s">
        <v>25</v>
      </c>
      <c r="L960" s="6" t="s">
        <v>3015</v>
      </c>
    </row>
    <row r="961" ht="22.5" customHeight="1">
      <c r="A961" s="5">
        <v>46175.93148185185</v>
      </c>
      <c r="B961" s="6" t="s">
        <v>3016</v>
      </c>
      <c r="C961" s="6" t="s">
        <v>3017</v>
      </c>
      <c r="D961" s="3" t="str">
        <f t="shared" si="1"/>
        <v>AE-0960</v>
      </c>
      <c r="E961" s="3">
        <f t="array" ref="E961">IFERROR(XLOOKUP(D961,'Astronomy 101 Week 1 Quiz (Resp'!F:F,'Astronomy 101 Week 1 Quiz (Resp'!E:E),0)</f>
        <v>27</v>
      </c>
      <c r="F961" s="3" t="s">
        <v>14</v>
      </c>
      <c r="G961" s="3"/>
      <c r="H961" s="6">
        <v>6.353167088E9</v>
      </c>
      <c r="I961" s="6" t="s">
        <v>3018</v>
      </c>
      <c r="J961" s="6" t="s">
        <v>16</v>
      </c>
      <c r="K961" s="6" t="s">
        <v>43</v>
      </c>
    </row>
    <row r="962" ht="22.5" customHeight="1">
      <c r="A962" s="5">
        <v>46176.28323418982</v>
      </c>
      <c r="B962" s="6" t="s">
        <v>3019</v>
      </c>
      <c r="C962" s="8" t="s">
        <v>3020</v>
      </c>
      <c r="D962" s="3" t="str">
        <f t="shared" si="1"/>
        <v>AE-0961</v>
      </c>
      <c r="E962" s="3">
        <f t="array" ref="E962">IFERROR(XLOOKUP(D962,'Astronomy 101 Week 1 Quiz (Resp'!F:F,'Astronomy 101 Week 1 Quiz (Resp'!E:E),0)</f>
        <v>0</v>
      </c>
      <c r="F962" s="3" t="s">
        <v>734</v>
      </c>
      <c r="G962" s="3" t="s">
        <v>3021</v>
      </c>
      <c r="H962" s="6">
        <v>9.193164578E9</v>
      </c>
      <c r="I962" s="6" t="s">
        <v>2597</v>
      </c>
      <c r="J962" s="6" t="s">
        <v>16</v>
      </c>
      <c r="K962" s="6" t="s">
        <v>47</v>
      </c>
    </row>
    <row r="963" ht="22.5" customHeight="1">
      <c r="A963" s="5">
        <v>46176.29676868056</v>
      </c>
      <c r="B963" s="6" t="s">
        <v>3022</v>
      </c>
      <c r="C963" s="6" t="s">
        <v>3023</v>
      </c>
      <c r="D963" s="3" t="str">
        <f t="shared" si="1"/>
        <v>AE-0962</v>
      </c>
      <c r="E963" s="3">
        <f t="array" ref="E963">IFERROR(XLOOKUP(D963,'Astronomy 101 Week 1 Quiz (Resp'!F:F,'Astronomy 101 Week 1 Quiz (Resp'!E:E),0)</f>
        <v>0</v>
      </c>
      <c r="F963" s="3" t="s">
        <v>14</v>
      </c>
      <c r="G963" s="3"/>
      <c r="H963" s="6">
        <v>8.928600751E9</v>
      </c>
      <c r="I963" s="6" t="s">
        <v>3024</v>
      </c>
      <c r="J963" s="6" t="s">
        <v>16</v>
      </c>
      <c r="K963" s="6" t="s">
        <v>21</v>
      </c>
      <c r="L963" s="6" t="s">
        <v>3025</v>
      </c>
    </row>
    <row r="964" ht="22.5" customHeight="1">
      <c r="A964" s="5">
        <v>46176.46261695602</v>
      </c>
      <c r="B964" s="6" t="s">
        <v>3026</v>
      </c>
      <c r="C964" s="6" t="s">
        <v>3027</v>
      </c>
      <c r="D964" s="3" t="str">
        <f t="shared" si="1"/>
        <v>AE-0963</v>
      </c>
      <c r="E964" s="3">
        <f t="array" ref="E964">IFERROR(XLOOKUP(D964,'Astronomy 101 Week 1 Quiz (Resp'!F:F,'Astronomy 101 Week 1 Quiz (Resp'!E:E),0)</f>
        <v>0</v>
      </c>
      <c r="F964" s="3" t="s">
        <v>14</v>
      </c>
      <c r="G964" s="3"/>
      <c r="H964" s="6">
        <v>7.33756083E9</v>
      </c>
      <c r="I964" s="6" t="s">
        <v>3028</v>
      </c>
      <c r="J964" s="6" t="s">
        <v>16</v>
      </c>
      <c r="K964" s="6" t="s">
        <v>61</v>
      </c>
    </row>
    <row r="965" ht="22.5" customHeight="1">
      <c r="A965" s="5">
        <v>46176.477717118054</v>
      </c>
      <c r="B965" s="6" t="s">
        <v>3029</v>
      </c>
      <c r="C965" s="6" t="s">
        <v>3030</v>
      </c>
      <c r="D965" s="3" t="str">
        <f t="shared" si="1"/>
        <v>AE-0964</v>
      </c>
      <c r="E965" s="3">
        <f t="array" ref="E965">IFERROR(XLOOKUP(D965,'Astronomy 101 Week 1 Quiz (Resp'!F:F,'Astronomy 101 Week 1 Quiz (Resp'!E:E),0)</f>
        <v>0</v>
      </c>
      <c r="F965" s="3" t="s">
        <v>14</v>
      </c>
      <c r="G965" s="3"/>
      <c r="H965" s="6">
        <v>9.795590244E9</v>
      </c>
      <c r="I965" s="6" t="s">
        <v>3031</v>
      </c>
      <c r="J965" s="6" t="s">
        <v>16</v>
      </c>
      <c r="K965" s="6" t="s">
        <v>21</v>
      </c>
      <c r="L965" s="6" t="s">
        <v>3032</v>
      </c>
    </row>
    <row r="966" ht="22.5" customHeight="1">
      <c r="A966" s="5">
        <v>46176.5942602662</v>
      </c>
      <c r="B966" s="6" t="s">
        <v>736</v>
      </c>
      <c r="C966" s="6" t="s">
        <v>3033</v>
      </c>
      <c r="D966" s="3" t="str">
        <f t="shared" si="1"/>
        <v>AE-0965</v>
      </c>
      <c r="E966" s="3">
        <f t="array" ref="E966">IFERROR(XLOOKUP(D966,'Astronomy 101 Week 1 Quiz (Resp'!F:F,'Astronomy 101 Week 1 Quiz (Resp'!E:E),0)</f>
        <v>0</v>
      </c>
      <c r="F966" s="3" t="s">
        <v>14</v>
      </c>
      <c r="G966" s="3"/>
      <c r="H966" s="6">
        <v>8.250386087E9</v>
      </c>
      <c r="I966" s="6" t="s">
        <v>698</v>
      </c>
      <c r="J966" s="6" t="s">
        <v>16</v>
      </c>
      <c r="K966" s="6" t="s">
        <v>47</v>
      </c>
    </row>
    <row r="967" ht="22.5" customHeight="1">
      <c r="A967" s="5">
        <v>46176.68545800926</v>
      </c>
      <c r="B967" s="6" t="s">
        <v>1981</v>
      </c>
      <c r="C967" s="6" t="s">
        <v>1982</v>
      </c>
      <c r="D967" s="3" t="str">
        <f t="shared" si="1"/>
        <v>AE-0966</v>
      </c>
      <c r="E967" s="3">
        <f t="array" ref="E967">IFERROR(XLOOKUP(D967,'Astronomy 101 Week 1 Quiz (Resp'!F:F,'Astronomy 101 Week 1 Quiz (Resp'!E:E),0)</f>
        <v>0</v>
      </c>
      <c r="F967" s="3" t="s">
        <v>14</v>
      </c>
      <c r="G967" s="3"/>
      <c r="H967" s="6">
        <v>9.980314003E9</v>
      </c>
      <c r="I967" s="6" t="s">
        <v>3034</v>
      </c>
      <c r="J967" s="6" t="s">
        <v>16</v>
      </c>
      <c r="K967" s="6" t="s">
        <v>17</v>
      </c>
    </row>
    <row r="968" ht="22.5" customHeight="1">
      <c r="A968" s="5">
        <v>46176.828912453704</v>
      </c>
      <c r="B968" s="6" t="s">
        <v>2330</v>
      </c>
      <c r="C968" s="6" t="s">
        <v>2331</v>
      </c>
      <c r="D968" s="3" t="str">
        <f t="shared" si="1"/>
        <v>AE-0967</v>
      </c>
      <c r="E968" s="3">
        <f t="array" ref="E968">IFERROR(XLOOKUP(D968,'Astronomy 101 Week 1 Quiz (Resp'!F:F,'Astronomy 101 Week 1 Quiz (Resp'!E:E),0)</f>
        <v>0</v>
      </c>
      <c r="F968" s="3" t="s">
        <v>14</v>
      </c>
      <c r="G968" s="3"/>
      <c r="H968" s="6">
        <v>8.349506673E9</v>
      </c>
      <c r="I968" s="6" t="s">
        <v>2332</v>
      </c>
      <c r="J968" s="6" t="s">
        <v>16</v>
      </c>
      <c r="K968" s="6" t="s">
        <v>17</v>
      </c>
    </row>
    <row r="969" ht="22.5" customHeight="1">
      <c r="A969" s="5">
        <v>46176.82928799768</v>
      </c>
      <c r="B969" s="6" t="s">
        <v>2027</v>
      </c>
      <c r="C969" s="6" t="s">
        <v>3035</v>
      </c>
      <c r="D969" s="3" t="str">
        <f t="shared" si="1"/>
        <v>AE-0968</v>
      </c>
      <c r="E969" s="3">
        <f t="array" ref="E969">IFERROR(XLOOKUP(D969,'Astronomy 101 Week 1 Quiz (Resp'!F:F,'Astronomy 101 Week 1 Quiz (Resp'!E:E),0)</f>
        <v>0</v>
      </c>
      <c r="F969" s="3" t="s">
        <v>14</v>
      </c>
      <c r="G969" s="3"/>
      <c r="H969" s="6">
        <v>8.822720733E9</v>
      </c>
      <c r="I969" s="6" t="s">
        <v>2029</v>
      </c>
      <c r="J969" s="6" t="s">
        <v>16</v>
      </c>
      <c r="K969" s="6" t="s">
        <v>17</v>
      </c>
    </row>
    <row r="970" ht="22.5" customHeight="1">
      <c r="A970" s="5">
        <v>46176.82942115741</v>
      </c>
      <c r="B970" s="6" t="s">
        <v>2185</v>
      </c>
      <c r="C970" s="6" t="s">
        <v>2186</v>
      </c>
      <c r="D970" s="3" t="str">
        <f t="shared" si="1"/>
        <v>AE-0969</v>
      </c>
      <c r="E970" s="3">
        <f t="array" ref="E970">IFERROR(XLOOKUP(D970,'Astronomy 101 Week 1 Quiz (Resp'!F:F,'Astronomy 101 Week 1 Quiz (Resp'!E:E),0)</f>
        <v>46</v>
      </c>
      <c r="F970" s="3" t="s">
        <v>14</v>
      </c>
      <c r="G970" s="3"/>
      <c r="H970" s="6">
        <v>8.263959892E9</v>
      </c>
      <c r="I970" s="6" t="s">
        <v>3036</v>
      </c>
      <c r="J970" s="6" t="s">
        <v>16</v>
      </c>
      <c r="K970" s="6" t="s">
        <v>17</v>
      </c>
      <c r="L970" s="6" t="s">
        <v>3037</v>
      </c>
    </row>
    <row r="971" ht="22.5" customHeight="1">
      <c r="A971" s="5">
        <v>46176.82944256945</v>
      </c>
      <c r="B971" s="6" t="s">
        <v>3038</v>
      </c>
      <c r="C971" s="6" t="s">
        <v>3039</v>
      </c>
      <c r="D971" s="3" t="str">
        <f t="shared" si="1"/>
        <v>AE-0970</v>
      </c>
      <c r="E971" s="3">
        <f t="array" ref="E971">IFERROR(XLOOKUP(D971,'Astronomy 101 Week 1 Quiz (Resp'!F:F,'Astronomy 101 Week 1 Quiz (Resp'!E:E),0)</f>
        <v>0</v>
      </c>
      <c r="F971" s="3" t="s">
        <v>14</v>
      </c>
      <c r="G971" s="3"/>
      <c r="H971" s="6">
        <v>9.146769261E9</v>
      </c>
      <c r="I971" s="6" t="s">
        <v>3040</v>
      </c>
      <c r="J971" s="6" t="s">
        <v>16</v>
      </c>
      <c r="K971" s="6" t="s">
        <v>17</v>
      </c>
    </row>
    <row r="972" ht="22.5" customHeight="1">
      <c r="A972" s="5">
        <v>46176.8295912037</v>
      </c>
      <c r="B972" s="6" t="s">
        <v>1847</v>
      </c>
      <c r="C972" s="6" t="s">
        <v>3041</v>
      </c>
      <c r="D972" s="3" t="str">
        <f t="shared" si="1"/>
        <v>AE-0971</v>
      </c>
      <c r="E972" s="3">
        <f t="array" ref="E972">IFERROR(XLOOKUP(D972,'Astronomy 101 Week 1 Quiz (Resp'!F:F,'Astronomy 101 Week 1 Quiz (Resp'!E:E),0)</f>
        <v>0</v>
      </c>
      <c r="F972" s="3" t="s">
        <v>14</v>
      </c>
      <c r="G972" s="3"/>
      <c r="H972" s="6">
        <v>7.976075455E9</v>
      </c>
      <c r="I972" s="6" t="s">
        <v>3042</v>
      </c>
      <c r="J972" s="6" t="s">
        <v>16</v>
      </c>
      <c r="K972" s="6" t="s">
        <v>61</v>
      </c>
      <c r="L972" s="6" t="s">
        <v>3043</v>
      </c>
    </row>
    <row r="973" ht="22.5" customHeight="1">
      <c r="A973" s="5">
        <v>46176.83034488426</v>
      </c>
      <c r="B973" s="6" t="s">
        <v>2599</v>
      </c>
      <c r="C973" s="6" t="s">
        <v>3044</v>
      </c>
      <c r="D973" s="3" t="str">
        <f t="shared" si="1"/>
        <v>AE-0972</v>
      </c>
      <c r="E973" s="3">
        <f t="array" ref="E973">IFERROR(XLOOKUP(D973,'Astronomy 101 Week 1 Quiz (Resp'!F:F,'Astronomy 101 Week 1 Quiz (Resp'!E:E),0)</f>
        <v>0</v>
      </c>
      <c r="F973" s="3" t="s">
        <v>14</v>
      </c>
      <c r="G973" s="3"/>
      <c r="H973" s="6">
        <v>7.675975489E9</v>
      </c>
      <c r="I973" s="6" t="s">
        <v>2601</v>
      </c>
      <c r="J973" s="6" t="s">
        <v>16</v>
      </c>
      <c r="K973" s="6" t="s">
        <v>21</v>
      </c>
      <c r="L973" s="6" t="s">
        <v>3045</v>
      </c>
    </row>
    <row r="974" ht="22.5" customHeight="1">
      <c r="A974" s="5">
        <v>46176.830503379635</v>
      </c>
      <c r="B974" s="6" t="s">
        <v>3046</v>
      </c>
      <c r="C974" s="6" t="s">
        <v>3047</v>
      </c>
      <c r="D974" s="3" t="str">
        <f t="shared" si="1"/>
        <v>AE-0973</v>
      </c>
      <c r="E974" s="3">
        <f t="array" ref="E974">IFERROR(XLOOKUP(D974,'Astronomy 101 Week 1 Quiz (Resp'!F:F,'Astronomy 101 Week 1 Quiz (Resp'!E:E),0)</f>
        <v>34</v>
      </c>
      <c r="F974" s="3" t="s">
        <v>14</v>
      </c>
      <c r="G974" s="3"/>
      <c r="H974" s="6">
        <v>9.106330332E9</v>
      </c>
      <c r="I974" s="6" t="s">
        <v>3048</v>
      </c>
      <c r="J974" s="6" t="s">
        <v>16</v>
      </c>
      <c r="K974" s="6" t="s">
        <v>47</v>
      </c>
    </row>
    <row r="975" ht="22.5" customHeight="1">
      <c r="A975" s="5">
        <v>46176.83121729166</v>
      </c>
      <c r="B975" s="6" t="s">
        <v>1685</v>
      </c>
      <c r="C975" s="6" t="s">
        <v>3049</v>
      </c>
      <c r="D975" s="3" t="str">
        <f t="shared" si="1"/>
        <v>AE-0974</v>
      </c>
      <c r="E975" s="3">
        <f t="array" ref="E975">IFERROR(XLOOKUP(D975,'Astronomy 101 Week 1 Quiz (Resp'!F:F,'Astronomy 101 Week 1 Quiz (Resp'!E:E),0)</f>
        <v>0</v>
      </c>
      <c r="F975" s="3" t="s">
        <v>14</v>
      </c>
      <c r="G975" s="3"/>
      <c r="H975" s="6" t="s">
        <v>1687</v>
      </c>
      <c r="I975" s="6" t="s">
        <v>1688</v>
      </c>
      <c r="J975" s="6" t="s">
        <v>16</v>
      </c>
      <c r="K975" s="6" t="s">
        <v>17</v>
      </c>
      <c r="L975" s="6" t="s">
        <v>3050</v>
      </c>
    </row>
    <row r="976" ht="22.5" customHeight="1">
      <c r="A976" s="5">
        <v>46176.83401327547</v>
      </c>
      <c r="B976" s="6" t="s">
        <v>3051</v>
      </c>
      <c r="C976" s="6" t="s">
        <v>3052</v>
      </c>
      <c r="D976" s="3" t="str">
        <f t="shared" si="1"/>
        <v>AE-0975</v>
      </c>
      <c r="E976" s="3">
        <f t="array" ref="E976">IFERROR(XLOOKUP(D976,'Astronomy 101 Week 1 Quiz (Resp'!F:F,'Astronomy 101 Week 1 Quiz (Resp'!E:E),0)</f>
        <v>0</v>
      </c>
      <c r="F976" s="3" t="s">
        <v>734</v>
      </c>
      <c r="G976" s="3" t="s">
        <v>3053</v>
      </c>
      <c r="H976" s="6">
        <v>8.595385734E9</v>
      </c>
      <c r="I976" s="6" t="s">
        <v>2171</v>
      </c>
      <c r="J976" s="6" t="s">
        <v>16</v>
      </c>
      <c r="K976" s="6" t="s">
        <v>17</v>
      </c>
      <c r="L976" s="6" t="s">
        <v>3054</v>
      </c>
    </row>
    <row r="977" ht="22.5" customHeight="1">
      <c r="A977" s="5">
        <v>46176.83425881944</v>
      </c>
      <c r="B977" s="6" t="s">
        <v>3055</v>
      </c>
      <c r="C977" s="6" t="s">
        <v>3056</v>
      </c>
      <c r="D977" s="3" t="str">
        <f t="shared" si="1"/>
        <v>AE-0976</v>
      </c>
      <c r="E977" s="3">
        <f t="array" ref="E977">IFERROR(XLOOKUP(D977,'Astronomy 101 Week 1 Quiz (Resp'!F:F,'Astronomy 101 Week 1 Quiz (Resp'!E:E),0)</f>
        <v>44</v>
      </c>
      <c r="F977" s="3" t="s">
        <v>14</v>
      </c>
      <c r="G977" s="3"/>
      <c r="H977" s="6">
        <v>7.394841804E9</v>
      </c>
      <c r="I977" s="6" t="s">
        <v>3057</v>
      </c>
      <c r="J977" s="6" t="s">
        <v>16</v>
      </c>
      <c r="K977" s="6" t="s">
        <v>17</v>
      </c>
      <c r="L977" s="6" t="s">
        <v>3058</v>
      </c>
    </row>
    <row r="978" ht="22.5" customHeight="1">
      <c r="A978" s="5">
        <v>46176.83477739584</v>
      </c>
      <c r="B978" s="6" t="s">
        <v>3059</v>
      </c>
      <c r="C978" s="6" t="s">
        <v>3060</v>
      </c>
      <c r="D978" s="3" t="str">
        <f t="shared" si="1"/>
        <v>AE-0977</v>
      </c>
      <c r="E978" s="3">
        <f t="array" ref="E978">IFERROR(XLOOKUP(D978,'Astronomy 101 Week 1 Quiz (Resp'!F:F,'Astronomy 101 Week 1 Quiz (Resp'!E:E),0)</f>
        <v>0</v>
      </c>
      <c r="F978" s="3" t="s">
        <v>14</v>
      </c>
      <c r="G978" s="3"/>
      <c r="H978" s="6">
        <v>7.339156194E9</v>
      </c>
      <c r="I978" s="6" t="s">
        <v>3061</v>
      </c>
      <c r="J978" s="6" t="s">
        <v>16</v>
      </c>
      <c r="K978" s="6" t="s">
        <v>61</v>
      </c>
      <c r="L978" s="6" t="s">
        <v>3062</v>
      </c>
    </row>
    <row r="979" ht="22.5" customHeight="1">
      <c r="A979" s="5">
        <v>46176.835005914356</v>
      </c>
      <c r="B979" s="6" t="s">
        <v>3063</v>
      </c>
      <c r="C979" s="6" t="s">
        <v>3064</v>
      </c>
      <c r="D979" s="3" t="str">
        <f t="shared" si="1"/>
        <v>AE-0978</v>
      </c>
      <c r="E979" s="3">
        <f t="array" ref="E979">IFERROR(XLOOKUP(D979,'Astronomy 101 Week 1 Quiz (Resp'!F:F,'Astronomy 101 Week 1 Quiz (Resp'!E:E),0)</f>
        <v>0</v>
      </c>
      <c r="F979" s="3" t="s">
        <v>14</v>
      </c>
      <c r="G979" s="3"/>
      <c r="H979" s="6">
        <v>9.55508014E9</v>
      </c>
      <c r="I979" s="6" t="s">
        <v>3065</v>
      </c>
      <c r="J979" s="6" t="s">
        <v>16</v>
      </c>
      <c r="K979" s="6" t="s">
        <v>82</v>
      </c>
      <c r="L979" s="6" t="s">
        <v>3066</v>
      </c>
    </row>
    <row r="980" ht="22.5" customHeight="1">
      <c r="A980" s="5">
        <v>46176.83522689815</v>
      </c>
      <c r="B980" s="6" t="s">
        <v>3067</v>
      </c>
      <c r="C980" s="6" t="s">
        <v>3068</v>
      </c>
      <c r="D980" s="3" t="str">
        <f t="shared" si="1"/>
        <v>AE-0979</v>
      </c>
      <c r="E980" s="3">
        <f t="array" ref="E980">IFERROR(XLOOKUP(D980,'Astronomy 101 Week 1 Quiz (Resp'!F:F,'Astronomy 101 Week 1 Quiz (Resp'!E:E),0)</f>
        <v>0</v>
      </c>
      <c r="F980" s="3" t="s">
        <v>14</v>
      </c>
      <c r="G980" s="3"/>
      <c r="H980" s="6">
        <v>9.446611758E9</v>
      </c>
      <c r="I980" s="6" t="s">
        <v>3069</v>
      </c>
      <c r="J980" s="6" t="s">
        <v>16</v>
      </c>
      <c r="K980" s="6" t="s">
        <v>17</v>
      </c>
      <c r="L980" s="6" t="s">
        <v>3070</v>
      </c>
    </row>
    <row r="981" ht="22.5" customHeight="1">
      <c r="A981" s="5">
        <v>46176.83528476852</v>
      </c>
      <c r="B981" s="6" t="s">
        <v>3071</v>
      </c>
      <c r="C981" s="6" t="s">
        <v>3072</v>
      </c>
      <c r="D981" s="3" t="str">
        <f t="shared" si="1"/>
        <v>AE-0980</v>
      </c>
      <c r="E981" s="3">
        <f t="array" ref="E981">IFERROR(XLOOKUP(D981,'Astronomy 101 Week 1 Quiz (Resp'!F:F,'Astronomy 101 Week 1 Quiz (Resp'!E:E),0)</f>
        <v>0</v>
      </c>
      <c r="F981" s="3" t="s">
        <v>14</v>
      </c>
      <c r="G981" s="3"/>
      <c r="H981" s="6">
        <v>7.01579333E9</v>
      </c>
      <c r="I981" s="6" t="s">
        <v>3073</v>
      </c>
      <c r="J981" s="6" t="s">
        <v>16</v>
      </c>
      <c r="K981" s="6" t="s">
        <v>17</v>
      </c>
    </row>
    <row r="982" ht="22.5" customHeight="1">
      <c r="A982" s="5">
        <v>46176.83633288194</v>
      </c>
      <c r="B982" s="6" t="s">
        <v>725</v>
      </c>
      <c r="C982" s="6" t="s">
        <v>726</v>
      </c>
      <c r="D982" s="3" t="str">
        <f t="shared" si="1"/>
        <v>AE-0981</v>
      </c>
      <c r="E982" s="3">
        <f t="array" ref="E982">IFERROR(XLOOKUP(D982,'Astronomy 101 Week 1 Quiz (Resp'!F:F,'Astronomy 101 Week 1 Quiz (Resp'!E:E),0)</f>
        <v>0</v>
      </c>
      <c r="F982" s="3" t="s">
        <v>14</v>
      </c>
      <c r="G982" s="3"/>
      <c r="H982" s="6">
        <v>7.974229445E9</v>
      </c>
      <c r="I982" s="6" t="s">
        <v>727</v>
      </c>
      <c r="J982" s="6" t="s">
        <v>16</v>
      </c>
      <c r="K982" s="6" t="s">
        <v>21</v>
      </c>
    </row>
    <row r="983" ht="22.5" customHeight="1">
      <c r="A983" s="5">
        <v>46176.83848947917</v>
      </c>
      <c r="B983" s="6" t="s">
        <v>3074</v>
      </c>
      <c r="C983" s="6" t="s">
        <v>3075</v>
      </c>
      <c r="D983" s="3" t="str">
        <f t="shared" si="1"/>
        <v>AE-0982</v>
      </c>
      <c r="E983" s="3">
        <f t="array" ref="E983">IFERROR(XLOOKUP(D983,'Astronomy 101 Week 1 Quiz (Resp'!F:F,'Astronomy 101 Week 1 Quiz (Resp'!E:E),0)</f>
        <v>36</v>
      </c>
      <c r="F983" s="3" t="s">
        <v>14</v>
      </c>
      <c r="G983" s="3"/>
      <c r="H983" s="6">
        <v>9.56773735E9</v>
      </c>
      <c r="I983" s="6" t="s">
        <v>3076</v>
      </c>
      <c r="J983" s="6" t="s">
        <v>16</v>
      </c>
      <c r="K983" s="6" t="s">
        <v>25</v>
      </c>
      <c r="L983" s="6" t="s">
        <v>3077</v>
      </c>
    </row>
    <row r="984" ht="22.5" customHeight="1">
      <c r="A984" s="5">
        <v>46176.838821365745</v>
      </c>
      <c r="B984" s="6" t="s">
        <v>3078</v>
      </c>
      <c r="C984" s="6" t="s">
        <v>3079</v>
      </c>
      <c r="D984" s="3" t="str">
        <f t="shared" si="1"/>
        <v>AE-0983</v>
      </c>
      <c r="E984" s="3">
        <f t="array" ref="E984">IFERROR(XLOOKUP(D984,'Astronomy 101 Week 1 Quiz (Resp'!F:F,'Astronomy 101 Week 1 Quiz (Resp'!E:E),0)</f>
        <v>0</v>
      </c>
      <c r="F984" s="3" t="s">
        <v>14</v>
      </c>
      <c r="G984" s="3"/>
      <c r="H984" s="7" t="s">
        <v>3080</v>
      </c>
      <c r="I984" s="6" t="s">
        <v>3081</v>
      </c>
      <c r="J984" s="6" t="s">
        <v>16</v>
      </c>
      <c r="K984" s="6" t="s">
        <v>17</v>
      </c>
    </row>
    <row r="985" ht="22.5" customHeight="1">
      <c r="A985" s="5">
        <v>46176.83940496528</v>
      </c>
      <c r="B985" s="6" t="s">
        <v>3082</v>
      </c>
      <c r="C985" s="6" t="s">
        <v>3083</v>
      </c>
      <c r="D985" s="3" t="str">
        <f t="shared" si="1"/>
        <v>AE-0984</v>
      </c>
      <c r="E985" s="3">
        <f t="array" ref="E985">IFERROR(XLOOKUP(D985,'Astronomy 101 Week 1 Quiz (Resp'!F:F,'Astronomy 101 Week 1 Quiz (Resp'!E:E),0)</f>
        <v>44</v>
      </c>
      <c r="F985" s="3" t="s">
        <v>14</v>
      </c>
      <c r="G985" s="3"/>
      <c r="H985" s="6">
        <v>9.56701536E9</v>
      </c>
      <c r="I985" s="6" t="s">
        <v>3084</v>
      </c>
      <c r="J985" s="6" t="s">
        <v>16</v>
      </c>
      <c r="K985" s="6" t="s">
        <v>17</v>
      </c>
      <c r="L985" s="6" t="s">
        <v>3085</v>
      </c>
    </row>
    <row r="986" ht="22.5" customHeight="1">
      <c r="A986" s="5">
        <v>46176.83978678241</v>
      </c>
      <c r="B986" s="6" t="s">
        <v>3086</v>
      </c>
      <c r="C986" s="6" t="s">
        <v>3087</v>
      </c>
      <c r="D986" s="3" t="str">
        <f t="shared" si="1"/>
        <v>AE-0985</v>
      </c>
      <c r="E986" s="3">
        <f t="array" ref="E986">IFERROR(XLOOKUP(D986,'Astronomy 101 Week 1 Quiz (Resp'!F:F,'Astronomy 101 Week 1 Quiz (Resp'!E:E),0)</f>
        <v>25</v>
      </c>
      <c r="F986" s="3" t="s">
        <v>14</v>
      </c>
      <c r="G986" s="3"/>
      <c r="H986" s="6">
        <v>8.122217371E9</v>
      </c>
      <c r="I986" s="6" t="s">
        <v>3088</v>
      </c>
      <c r="J986" s="6" t="s">
        <v>16</v>
      </c>
      <c r="K986" s="6" t="s">
        <v>82</v>
      </c>
      <c r="L986" s="6" t="s">
        <v>3089</v>
      </c>
    </row>
    <row r="987" ht="22.5" customHeight="1">
      <c r="A987" s="5">
        <v>46176.84283898148</v>
      </c>
      <c r="B987" s="6" t="s">
        <v>3090</v>
      </c>
      <c r="C987" s="6" t="s">
        <v>3091</v>
      </c>
      <c r="D987" s="3" t="str">
        <f t="shared" si="1"/>
        <v>AE-0986</v>
      </c>
      <c r="E987" s="3">
        <f t="array" ref="E987">IFERROR(XLOOKUP(D987,'Astronomy 101 Week 1 Quiz (Resp'!F:F,'Astronomy 101 Week 1 Quiz (Resp'!E:E),0)</f>
        <v>0</v>
      </c>
      <c r="F987" s="3" t="s">
        <v>14</v>
      </c>
      <c r="G987" s="3"/>
      <c r="H987" s="6">
        <v>9.18878711E9</v>
      </c>
      <c r="I987" s="6" t="s">
        <v>3092</v>
      </c>
      <c r="J987" s="6" t="s">
        <v>16</v>
      </c>
      <c r="K987" s="6" t="s">
        <v>82</v>
      </c>
      <c r="L987" s="6" t="s">
        <v>3093</v>
      </c>
    </row>
    <row r="988" ht="22.5" customHeight="1">
      <c r="A988" s="5">
        <v>46176.84321841435</v>
      </c>
      <c r="B988" s="6" t="s">
        <v>3094</v>
      </c>
      <c r="C988" s="6" t="s">
        <v>3095</v>
      </c>
      <c r="D988" s="3" t="str">
        <f t="shared" si="1"/>
        <v>AE-0987</v>
      </c>
      <c r="E988" s="3">
        <f t="array" ref="E988">IFERROR(XLOOKUP(D988,'Astronomy 101 Week 1 Quiz (Resp'!F:F,'Astronomy 101 Week 1 Quiz (Resp'!E:E),0)</f>
        <v>42</v>
      </c>
      <c r="F988" s="3" t="s">
        <v>14</v>
      </c>
      <c r="G988" s="3"/>
      <c r="H988" s="6">
        <v>6.398623932E9</v>
      </c>
      <c r="I988" s="6" t="s">
        <v>3096</v>
      </c>
      <c r="J988" s="6" t="s">
        <v>16</v>
      </c>
      <c r="K988" s="6" t="s">
        <v>25</v>
      </c>
      <c r="L988" s="6" t="s">
        <v>3097</v>
      </c>
    </row>
    <row r="989" ht="22.5" customHeight="1">
      <c r="A989" s="5">
        <v>46176.84426583334</v>
      </c>
      <c r="B989" s="6" t="s">
        <v>3098</v>
      </c>
      <c r="C989" s="6" t="s">
        <v>3099</v>
      </c>
      <c r="D989" s="3" t="str">
        <f t="shared" si="1"/>
        <v>AE-0988</v>
      </c>
      <c r="E989" s="3">
        <f t="array" ref="E989">IFERROR(XLOOKUP(D989,'Astronomy 101 Week 1 Quiz (Resp'!F:F,'Astronomy 101 Week 1 Quiz (Resp'!E:E),0)</f>
        <v>0</v>
      </c>
      <c r="F989" s="3" t="s">
        <v>14</v>
      </c>
      <c r="G989" s="3"/>
      <c r="H989" s="6">
        <v>9.207091378E9</v>
      </c>
      <c r="I989" s="6" t="s">
        <v>3069</v>
      </c>
      <c r="J989" s="6" t="s">
        <v>16</v>
      </c>
      <c r="K989" s="6" t="s">
        <v>82</v>
      </c>
      <c r="L989" s="6" t="s">
        <v>3100</v>
      </c>
    </row>
    <row r="990" ht="22.5" customHeight="1">
      <c r="A990" s="5">
        <v>46176.844334837966</v>
      </c>
      <c r="B990" s="6" t="s">
        <v>372</v>
      </c>
      <c r="C990" s="6" t="s">
        <v>3101</v>
      </c>
      <c r="D990" s="3" t="str">
        <f t="shared" si="1"/>
        <v>AE-0989</v>
      </c>
      <c r="E990" s="3">
        <f t="array" ref="E990">IFERROR(XLOOKUP(D990,'Astronomy 101 Week 1 Quiz (Resp'!F:F,'Astronomy 101 Week 1 Quiz (Resp'!E:E),0)</f>
        <v>0</v>
      </c>
      <c r="F990" s="3" t="s">
        <v>14</v>
      </c>
      <c r="G990" s="3"/>
      <c r="H990" s="6">
        <v>6.302571492E9</v>
      </c>
      <c r="I990" s="6" t="s">
        <v>374</v>
      </c>
      <c r="J990" s="6" t="s">
        <v>16</v>
      </c>
      <c r="K990" s="6" t="s">
        <v>61</v>
      </c>
      <c r="L990" s="6" t="s">
        <v>375</v>
      </c>
    </row>
    <row r="991" ht="22.5" customHeight="1">
      <c r="A991" s="5">
        <v>46176.84449929398</v>
      </c>
      <c r="B991" s="6" t="s">
        <v>3102</v>
      </c>
      <c r="C991" s="6" t="s">
        <v>3103</v>
      </c>
      <c r="D991" s="3" t="str">
        <f t="shared" si="1"/>
        <v>AE-0990</v>
      </c>
      <c r="E991" s="3">
        <f t="array" ref="E991">IFERROR(XLOOKUP(D991,'Astronomy 101 Week 1 Quiz (Resp'!F:F,'Astronomy 101 Week 1 Quiz (Resp'!E:E),0)</f>
        <v>0</v>
      </c>
      <c r="F991" s="3" t="s">
        <v>14</v>
      </c>
      <c r="G991" s="3"/>
      <c r="H991" s="6">
        <v>8.075046357E9</v>
      </c>
      <c r="I991" s="6" t="s">
        <v>3104</v>
      </c>
      <c r="J991" s="6" t="s">
        <v>16</v>
      </c>
      <c r="K991" s="6" t="s">
        <v>17</v>
      </c>
      <c r="L991" s="6" t="s">
        <v>3105</v>
      </c>
    </row>
    <row r="992" ht="22.5" customHeight="1">
      <c r="A992" s="5">
        <v>46176.84502702546</v>
      </c>
      <c r="B992" s="6" t="s">
        <v>3106</v>
      </c>
      <c r="C992" s="6" t="s">
        <v>3107</v>
      </c>
      <c r="D992" s="3" t="str">
        <f t="shared" si="1"/>
        <v>AE-0991</v>
      </c>
      <c r="E992" s="3">
        <f t="array" ref="E992">IFERROR(XLOOKUP(D992,'Astronomy 101 Week 1 Quiz (Resp'!F:F,'Astronomy 101 Week 1 Quiz (Resp'!E:E),0)</f>
        <v>0</v>
      </c>
      <c r="F992" s="3" t="s">
        <v>14</v>
      </c>
      <c r="G992" s="3"/>
      <c r="H992" s="6">
        <v>8.921245382E9</v>
      </c>
      <c r="I992" s="6" t="s">
        <v>3108</v>
      </c>
      <c r="J992" s="6" t="s">
        <v>16</v>
      </c>
      <c r="K992" s="6" t="s">
        <v>17</v>
      </c>
      <c r="L992" s="6" t="s">
        <v>3109</v>
      </c>
    </row>
    <row r="993" ht="22.5" customHeight="1">
      <c r="A993" s="5">
        <v>46176.845060625</v>
      </c>
      <c r="B993" s="6" t="s">
        <v>3110</v>
      </c>
      <c r="C993" s="6" t="s">
        <v>3111</v>
      </c>
      <c r="D993" s="3" t="str">
        <f t="shared" si="1"/>
        <v>AE-0992</v>
      </c>
      <c r="E993" s="3">
        <f t="array" ref="E993">IFERROR(XLOOKUP(D993,'Astronomy 101 Week 1 Quiz (Resp'!F:F,'Astronomy 101 Week 1 Quiz (Resp'!E:E),0)</f>
        <v>44</v>
      </c>
      <c r="F993" s="3" t="s">
        <v>14</v>
      </c>
      <c r="G993" s="3"/>
      <c r="H993" s="6">
        <v>6.204420339E9</v>
      </c>
      <c r="I993" s="6" t="s">
        <v>3112</v>
      </c>
      <c r="J993" s="6" t="s">
        <v>16</v>
      </c>
      <c r="K993" s="6" t="s">
        <v>25</v>
      </c>
      <c r="L993" s="6" t="s">
        <v>3113</v>
      </c>
    </row>
    <row r="994" ht="22.5" customHeight="1">
      <c r="A994" s="5">
        <v>46176.84535429398</v>
      </c>
      <c r="B994" s="6" t="s">
        <v>3114</v>
      </c>
      <c r="C994" s="6" t="s">
        <v>3115</v>
      </c>
      <c r="D994" s="3" t="str">
        <f t="shared" si="1"/>
        <v>AE-0993</v>
      </c>
      <c r="E994" s="3">
        <f t="array" ref="E994">IFERROR(XLOOKUP(D994,'Astronomy 101 Week 1 Quiz (Resp'!F:F,'Astronomy 101 Week 1 Quiz (Resp'!E:E),0)</f>
        <v>0</v>
      </c>
      <c r="F994" s="3" t="s">
        <v>14</v>
      </c>
      <c r="G994" s="3"/>
      <c r="H994" s="6">
        <v>8.016129501E9</v>
      </c>
      <c r="I994" s="6" t="s">
        <v>3116</v>
      </c>
      <c r="J994" s="6" t="s">
        <v>16</v>
      </c>
      <c r="K994" s="6" t="s">
        <v>47</v>
      </c>
      <c r="L994" s="6" t="s">
        <v>3117</v>
      </c>
    </row>
    <row r="995" ht="22.5" customHeight="1">
      <c r="A995" s="5">
        <v>46176.84632515046</v>
      </c>
      <c r="B995" s="6" t="s">
        <v>2665</v>
      </c>
      <c r="C995" s="6" t="s">
        <v>2666</v>
      </c>
      <c r="D995" s="3" t="str">
        <f t="shared" si="1"/>
        <v>AE-0994</v>
      </c>
      <c r="E995" s="3">
        <f t="array" ref="E995">IFERROR(XLOOKUP(D995,'Astronomy 101 Week 1 Quiz (Resp'!F:F,'Astronomy 101 Week 1 Quiz (Resp'!E:E),0)</f>
        <v>0</v>
      </c>
      <c r="F995" s="3" t="s">
        <v>14</v>
      </c>
      <c r="G995" s="3"/>
      <c r="H995" s="6">
        <v>9.149845625E9</v>
      </c>
      <c r="I995" s="6" t="s">
        <v>2335</v>
      </c>
      <c r="J995" s="6" t="s">
        <v>16</v>
      </c>
      <c r="K995" s="6" t="s">
        <v>43</v>
      </c>
    </row>
    <row r="996" ht="22.5" customHeight="1">
      <c r="A996" s="5">
        <v>46176.84641699074</v>
      </c>
      <c r="B996" s="6" t="s">
        <v>3118</v>
      </c>
      <c r="C996" s="6" t="s">
        <v>3119</v>
      </c>
      <c r="D996" s="3" t="str">
        <f t="shared" si="1"/>
        <v>AE-0995</v>
      </c>
      <c r="E996" s="3">
        <f t="array" ref="E996">IFERROR(XLOOKUP(D996,'Astronomy 101 Week 1 Quiz (Resp'!F:F,'Astronomy 101 Week 1 Quiz (Resp'!E:E),0)</f>
        <v>40</v>
      </c>
      <c r="F996" s="3" t="s">
        <v>14</v>
      </c>
      <c r="G996" s="3"/>
      <c r="H996" s="6">
        <v>6.383404983E9</v>
      </c>
      <c r="I996" s="6" t="s">
        <v>3120</v>
      </c>
      <c r="J996" s="6" t="s">
        <v>16</v>
      </c>
      <c r="K996" s="6" t="s">
        <v>17</v>
      </c>
      <c r="L996" s="6" t="s">
        <v>3121</v>
      </c>
    </row>
    <row r="997" ht="22.5" customHeight="1">
      <c r="A997" s="5">
        <v>46176.846673252316</v>
      </c>
      <c r="B997" s="6" t="s">
        <v>2089</v>
      </c>
      <c r="C997" s="6" t="s">
        <v>2090</v>
      </c>
      <c r="D997" s="3" t="str">
        <f t="shared" si="1"/>
        <v>AE-0996</v>
      </c>
      <c r="E997" s="3">
        <f t="array" ref="E997">IFERROR(XLOOKUP(D997,'Astronomy 101 Week 1 Quiz (Resp'!F:F,'Astronomy 101 Week 1 Quiz (Resp'!E:E),0)</f>
        <v>47</v>
      </c>
      <c r="F997" s="3" t="s">
        <v>14</v>
      </c>
      <c r="G997" s="3"/>
      <c r="H997" s="6">
        <v>7.417939743E9</v>
      </c>
      <c r="I997" s="6" t="s">
        <v>1129</v>
      </c>
      <c r="J997" s="6" t="s">
        <v>16</v>
      </c>
      <c r="K997" s="6" t="s">
        <v>17</v>
      </c>
      <c r="L997" s="6" t="s">
        <v>3122</v>
      </c>
    </row>
    <row r="998" ht="22.5" customHeight="1">
      <c r="A998" s="5">
        <v>46176.84719344907</v>
      </c>
      <c r="B998" s="6" t="s">
        <v>3123</v>
      </c>
      <c r="C998" s="6" t="s">
        <v>3124</v>
      </c>
      <c r="D998" s="3" t="str">
        <f t="shared" si="1"/>
        <v>AE-0997</v>
      </c>
      <c r="E998" s="3">
        <f t="array" ref="E998">IFERROR(XLOOKUP(D998,'Astronomy 101 Week 1 Quiz (Resp'!F:F,'Astronomy 101 Week 1 Quiz (Resp'!E:E),0)</f>
        <v>0</v>
      </c>
      <c r="F998" s="3" t="s">
        <v>14</v>
      </c>
      <c r="G998" s="3"/>
      <c r="H998" s="6">
        <v>6.23510868E9</v>
      </c>
      <c r="I998" s="6" t="s">
        <v>3125</v>
      </c>
      <c r="J998" s="6" t="s">
        <v>16</v>
      </c>
      <c r="K998" s="6" t="s">
        <v>17</v>
      </c>
      <c r="L998" s="6" t="s">
        <v>3126</v>
      </c>
    </row>
    <row r="999" ht="22.5" customHeight="1">
      <c r="A999" s="5">
        <v>46176.84844644676</v>
      </c>
      <c r="B999" s="6" t="s">
        <v>3127</v>
      </c>
      <c r="C999" s="6" t="s">
        <v>3128</v>
      </c>
      <c r="D999" s="3" t="str">
        <f t="shared" si="1"/>
        <v>AE-0998</v>
      </c>
      <c r="E999" s="3">
        <f t="array" ref="E999">IFERROR(XLOOKUP(D999,'Astronomy 101 Week 1 Quiz (Resp'!F:F,'Astronomy 101 Week 1 Quiz (Resp'!E:E),0)</f>
        <v>0</v>
      </c>
      <c r="F999" s="3" t="s">
        <v>14</v>
      </c>
      <c r="G999" s="3"/>
      <c r="H999" s="6">
        <v>8.754342836E9</v>
      </c>
      <c r="I999" s="6" t="s">
        <v>3129</v>
      </c>
      <c r="J999" s="6" t="s">
        <v>16</v>
      </c>
      <c r="K999" s="6" t="s">
        <v>61</v>
      </c>
      <c r="L999" s="6" t="s">
        <v>3130</v>
      </c>
    </row>
    <row r="1000" ht="22.5" customHeight="1">
      <c r="A1000" s="5">
        <v>46176.849202337966</v>
      </c>
      <c r="B1000" s="6" t="s">
        <v>3131</v>
      </c>
      <c r="C1000" s="6" t="s">
        <v>3132</v>
      </c>
      <c r="D1000" s="3" t="str">
        <f t="shared" si="1"/>
        <v>AE-0999</v>
      </c>
      <c r="E1000" s="3">
        <f t="array" ref="E1000">IFERROR(XLOOKUP(D1000,'Astronomy 101 Week 1 Quiz (Resp'!F:F,'Astronomy 101 Week 1 Quiz (Resp'!E:E),0)</f>
        <v>39</v>
      </c>
      <c r="F1000" s="3" t="s">
        <v>14</v>
      </c>
      <c r="G1000" s="3"/>
      <c r="H1000" s="6">
        <v>9.400881978E9</v>
      </c>
      <c r="I1000" s="6" t="s">
        <v>3133</v>
      </c>
      <c r="J1000" s="6" t="s">
        <v>16</v>
      </c>
      <c r="K1000" s="6" t="s">
        <v>17</v>
      </c>
      <c r="L1000" s="6" t="s">
        <v>3134</v>
      </c>
    </row>
    <row r="1001" ht="22.5" customHeight="1">
      <c r="A1001" s="5">
        <v>46176.85160034722</v>
      </c>
      <c r="B1001" s="6" t="s">
        <v>1405</v>
      </c>
      <c r="C1001" s="6" t="s">
        <v>1406</v>
      </c>
      <c r="D1001" s="3" t="str">
        <f t="shared" si="1"/>
        <v>AE-1000</v>
      </c>
      <c r="E1001" s="3">
        <f t="array" ref="E1001">IFERROR(XLOOKUP(D1001,'Astronomy 101 Week 1 Quiz (Resp'!F:F,'Astronomy 101 Week 1 Quiz (Resp'!E:E),0)</f>
        <v>44</v>
      </c>
      <c r="F1001" s="3" t="s">
        <v>14</v>
      </c>
      <c r="G1001" s="3"/>
      <c r="H1001" s="6">
        <v>8.968537398E9</v>
      </c>
      <c r="I1001" s="6" t="s">
        <v>1910</v>
      </c>
      <c r="J1001" s="6" t="s">
        <v>16</v>
      </c>
      <c r="K1001" s="6" t="s">
        <v>61</v>
      </c>
      <c r="L1001" s="6" t="s">
        <v>3135</v>
      </c>
    </row>
    <row r="1002" ht="22.5" customHeight="1">
      <c r="A1002" s="5">
        <v>46176.851791354165</v>
      </c>
      <c r="B1002" s="6" t="s">
        <v>3136</v>
      </c>
      <c r="C1002" s="6" t="s">
        <v>3137</v>
      </c>
      <c r="D1002" s="3" t="str">
        <f t="shared" si="1"/>
        <v>AE-1001</v>
      </c>
      <c r="E1002" s="3">
        <f t="array" ref="E1002">IFERROR(XLOOKUP(D1002,'Astronomy 101 Week 1 Quiz (Resp'!F:F,'Astronomy 101 Week 1 Quiz (Resp'!E:E),0)</f>
        <v>0</v>
      </c>
      <c r="F1002" s="3" t="s">
        <v>14</v>
      </c>
      <c r="G1002" s="3"/>
      <c r="H1002" s="6">
        <v>8.637555718E9</v>
      </c>
      <c r="I1002" s="6" t="s">
        <v>387</v>
      </c>
      <c r="J1002" s="6" t="s">
        <v>16</v>
      </c>
      <c r="K1002" s="6" t="s">
        <v>17</v>
      </c>
    </row>
    <row r="1003" ht="22.5" customHeight="1">
      <c r="A1003" s="5">
        <v>46176.85306862269</v>
      </c>
      <c r="B1003" s="6" t="s">
        <v>2962</v>
      </c>
      <c r="C1003" s="6" t="s">
        <v>3138</v>
      </c>
      <c r="D1003" s="3" t="str">
        <f t="shared" si="1"/>
        <v>AE-1002</v>
      </c>
      <c r="E1003" s="3">
        <f t="array" ref="E1003">IFERROR(XLOOKUP(D1003,'Astronomy 101 Week 1 Quiz (Resp'!F:F,'Astronomy 101 Week 1 Quiz (Resp'!E:E),0)</f>
        <v>0</v>
      </c>
      <c r="F1003" s="3" t="s">
        <v>14</v>
      </c>
      <c r="G1003" s="3"/>
      <c r="H1003" s="6">
        <v>7.394806546E9</v>
      </c>
      <c r="I1003" s="6" t="s">
        <v>3139</v>
      </c>
      <c r="J1003" s="6" t="s">
        <v>16</v>
      </c>
      <c r="K1003" s="6" t="s">
        <v>47</v>
      </c>
      <c r="L1003" s="6" t="s">
        <v>2965</v>
      </c>
    </row>
    <row r="1004" ht="22.5" customHeight="1">
      <c r="A1004" s="5">
        <v>46176.85330798611</v>
      </c>
      <c r="B1004" s="6" t="s">
        <v>3140</v>
      </c>
      <c r="C1004" s="6" t="s">
        <v>3141</v>
      </c>
      <c r="D1004" s="3" t="str">
        <f t="shared" si="1"/>
        <v>AE-1003</v>
      </c>
      <c r="E1004" s="3">
        <f t="array" ref="E1004">IFERROR(XLOOKUP(D1004,'Astronomy 101 Week 1 Quiz (Resp'!F:F,'Astronomy 101 Week 1 Quiz (Resp'!E:E),0)</f>
        <v>0</v>
      </c>
      <c r="F1004" s="3" t="s">
        <v>14</v>
      </c>
      <c r="G1004" s="3"/>
      <c r="H1004" s="6">
        <v>9.2740916888E10</v>
      </c>
      <c r="I1004" s="6" t="s">
        <v>3142</v>
      </c>
      <c r="J1004" s="6" t="s">
        <v>16</v>
      </c>
      <c r="K1004" s="6" t="s">
        <v>47</v>
      </c>
      <c r="L1004" s="6" t="s">
        <v>3143</v>
      </c>
    </row>
    <row r="1005" ht="22.5" customHeight="1">
      <c r="A1005" s="5">
        <v>46176.85357020833</v>
      </c>
      <c r="B1005" s="6" t="s">
        <v>1619</v>
      </c>
      <c r="C1005" s="6" t="s">
        <v>3144</v>
      </c>
      <c r="D1005" s="3" t="str">
        <f t="shared" si="1"/>
        <v>AE-1004</v>
      </c>
      <c r="E1005" s="3">
        <f t="array" ref="E1005">IFERROR(XLOOKUP(D1005,'Astronomy 101 Week 1 Quiz (Resp'!F:F,'Astronomy 101 Week 1 Quiz (Resp'!E:E),0)</f>
        <v>0</v>
      </c>
      <c r="F1005" s="3" t="s">
        <v>14</v>
      </c>
      <c r="G1005" s="3"/>
      <c r="H1005" s="6">
        <v>9.175890506E9</v>
      </c>
      <c r="I1005" s="6" t="s">
        <v>742</v>
      </c>
      <c r="J1005" s="6" t="s">
        <v>16</v>
      </c>
      <c r="K1005" s="6" t="s">
        <v>17</v>
      </c>
    </row>
    <row r="1006" ht="22.5" customHeight="1">
      <c r="A1006" s="5">
        <v>46176.854479629634</v>
      </c>
      <c r="B1006" s="6" t="s">
        <v>3123</v>
      </c>
      <c r="C1006" s="6" t="s">
        <v>3124</v>
      </c>
      <c r="D1006" s="3" t="str">
        <f t="shared" si="1"/>
        <v>AE-1005</v>
      </c>
      <c r="E1006" s="3">
        <f t="array" ref="E1006">IFERROR(XLOOKUP(D1006,'Astronomy 101 Week 1 Quiz (Resp'!F:F,'Astronomy 101 Week 1 Quiz (Resp'!E:E),0)</f>
        <v>45</v>
      </c>
      <c r="F1006" s="3" t="s">
        <v>14</v>
      </c>
      <c r="G1006" s="3"/>
      <c r="H1006" s="6">
        <v>6.23510868E9</v>
      </c>
      <c r="I1006" s="6" t="s">
        <v>3125</v>
      </c>
      <c r="J1006" s="6" t="s">
        <v>16</v>
      </c>
      <c r="K1006" s="6" t="s">
        <v>17</v>
      </c>
      <c r="L1006" s="6" t="s">
        <v>3145</v>
      </c>
    </row>
    <row r="1007" ht="22.5" customHeight="1">
      <c r="A1007" s="5">
        <v>46176.85576128472</v>
      </c>
      <c r="B1007" s="6" t="s">
        <v>3146</v>
      </c>
      <c r="C1007" s="6" t="s">
        <v>3147</v>
      </c>
      <c r="D1007" s="3" t="str">
        <f t="shared" si="1"/>
        <v>AE-1006</v>
      </c>
      <c r="E1007" s="3">
        <f t="array" ref="E1007">IFERROR(XLOOKUP(D1007,'Astronomy 101 Week 1 Quiz (Resp'!F:F,'Astronomy 101 Week 1 Quiz (Resp'!E:E),0)</f>
        <v>37</v>
      </c>
      <c r="F1007" s="3" t="s">
        <v>14</v>
      </c>
      <c r="G1007" s="3"/>
      <c r="H1007" s="6">
        <v>7.972332916E9</v>
      </c>
      <c r="I1007" s="6" t="s">
        <v>3148</v>
      </c>
      <c r="J1007" s="6" t="s">
        <v>33</v>
      </c>
      <c r="K1007" s="6" t="s">
        <v>25</v>
      </c>
      <c r="L1007" s="6" t="s">
        <v>3149</v>
      </c>
    </row>
    <row r="1008" ht="22.5" customHeight="1">
      <c r="A1008" s="5">
        <v>46176.855942476854</v>
      </c>
      <c r="B1008" s="6" t="s">
        <v>3150</v>
      </c>
      <c r="C1008" s="6" t="s">
        <v>3151</v>
      </c>
      <c r="D1008" s="3" t="str">
        <f t="shared" si="1"/>
        <v>AE-1007</v>
      </c>
      <c r="E1008" s="3">
        <f t="array" ref="E1008">IFERROR(XLOOKUP(D1008,'Astronomy 101 Week 1 Quiz (Resp'!F:F,'Astronomy 101 Week 1 Quiz (Resp'!E:E),0)</f>
        <v>0</v>
      </c>
      <c r="F1008" s="3" t="s">
        <v>14</v>
      </c>
      <c r="G1008" s="3"/>
      <c r="H1008" s="6">
        <v>9.354147763E9</v>
      </c>
      <c r="I1008" s="6" t="s">
        <v>1399</v>
      </c>
      <c r="J1008" s="6" t="s">
        <v>16</v>
      </c>
      <c r="K1008" s="6" t="s">
        <v>47</v>
      </c>
    </row>
    <row r="1009" ht="22.5" customHeight="1">
      <c r="A1009" s="5">
        <v>46176.86129760416</v>
      </c>
      <c r="B1009" s="6" t="s">
        <v>3152</v>
      </c>
      <c r="C1009" s="6" t="s">
        <v>3153</v>
      </c>
      <c r="D1009" s="3" t="str">
        <f t="shared" si="1"/>
        <v>AE-1008</v>
      </c>
      <c r="E1009" s="3">
        <f t="array" ref="E1009">IFERROR(XLOOKUP(D1009,'Astronomy 101 Week 1 Quiz (Resp'!F:F,'Astronomy 101 Week 1 Quiz (Resp'!E:E),0)</f>
        <v>0</v>
      </c>
      <c r="F1009" s="3" t="s">
        <v>14</v>
      </c>
      <c r="G1009" s="3"/>
      <c r="H1009" s="6">
        <v>7.815065412E9</v>
      </c>
      <c r="I1009" s="6" t="s">
        <v>3154</v>
      </c>
      <c r="J1009" s="6" t="s">
        <v>16</v>
      </c>
      <c r="K1009" s="6" t="s">
        <v>25</v>
      </c>
      <c r="L1009" s="6" t="s">
        <v>3155</v>
      </c>
    </row>
    <row r="1010" ht="22.5" customHeight="1">
      <c r="A1010" s="5">
        <v>46176.86244033565</v>
      </c>
      <c r="B1010" s="6" t="s">
        <v>1213</v>
      </c>
      <c r="C1010" s="6" t="s">
        <v>1214</v>
      </c>
      <c r="D1010" s="3" t="str">
        <f t="shared" si="1"/>
        <v>AE-1009</v>
      </c>
      <c r="E1010" s="3">
        <f t="array" ref="E1010">IFERROR(XLOOKUP(D1010,'Astronomy 101 Week 1 Quiz (Resp'!F:F,'Astronomy 101 Week 1 Quiz (Resp'!E:E),0)</f>
        <v>0</v>
      </c>
      <c r="F1010" s="3" t="s">
        <v>14</v>
      </c>
      <c r="G1010" s="3"/>
      <c r="H1010" s="6">
        <v>8.669212061E9</v>
      </c>
      <c r="I1010" s="6" t="s">
        <v>3156</v>
      </c>
      <c r="J1010" s="6" t="s">
        <v>16</v>
      </c>
      <c r="K1010" s="6" t="s">
        <v>25</v>
      </c>
    </row>
    <row r="1011" ht="22.5" customHeight="1">
      <c r="A1011" s="5">
        <v>46176.86294584491</v>
      </c>
      <c r="B1011" s="6" t="s">
        <v>3157</v>
      </c>
      <c r="C1011" s="6" t="s">
        <v>3158</v>
      </c>
      <c r="D1011" s="3" t="str">
        <f t="shared" si="1"/>
        <v>AE-1010</v>
      </c>
      <c r="E1011" s="3">
        <f t="array" ref="E1011">IFERROR(XLOOKUP(D1011,'Astronomy 101 Week 1 Quiz (Resp'!F:F,'Astronomy 101 Week 1 Quiz (Resp'!E:E),0)</f>
        <v>0</v>
      </c>
      <c r="F1011" s="3" t="s">
        <v>14</v>
      </c>
      <c r="G1011" s="3"/>
      <c r="H1011" s="6">
        <v>8.547499422E9</v>
      </c>
      <c r="I1011" s="6" t="s">
        <v>3159</v>
      </c>
      <c r="J1011" s="6" t="s">
        <v>16</v>
      </c>
      <c r="K1011" s="6" t="s">
        <v>47</v>
      </c>
    </row>
    <row r="1012" ht="22.5" customHeight="1">
      <c r="A1012" s="5">
        <v>46176.86491222223</v>
      </c>
      <c r="B1012" s="6" t="s">
        <v>3160</v>
      </c>
      <c r="C1012" s="6" t="s">
        <v>3161</v>
      </c>
      <c r="D1012" s="3" t="str">
        <f t="shared" si="1"/>
        <v>AE-1011</v>
      </c>
      <c r="E1012" s="3">
        <f t="array" ref="E1012">IFERROR(XLOOKUP(D1012,'Astronomy 101 Week 1 Quiz (Resp'!F:F,'Astronomy 101 Week 1 Quiz (Resp'!E:E),0)</f>
        <v>0</v>
      </c>
      <c r="F1012" s="3" t="s">
        <v>14</v>
      </c>
      <c r="G1012" s="3"/>
      <c r="H1012" s="6">
        <v>8.368278084E9</v>
      </c>
      <c r="I1012" s="6" t="s">
        <v>3162</v>
      </c>
      <c r="J1012" s="6" t="s">
        <v>16</v>
      </c>
      <c r="K1012" s="6" t="s">
        <v>25</v>
      </c>
      <c r="L1012" s="6" t="s">
        <v>3163</v>
      </c>
    </row>
    <row r="1013" ht="22.5" customHeight="1">
      <c r="A1013" s="5">
        <v>46176.865089687504</v>
      </c>
      <c r="B1013" s="6" t="s">
        <v>3164</v>
      </c>
      <c r="C1013" s="6" t="s">
        <v>3165</v>
      </c>
      <c r="D1013" s="3" t="str">
        <f t="shared" si="1"/>
        <v>AE-1012</v>
      </c>
      <c r="E1013" s="3">
        <f t="array" ref="E1013">IFERROR(XLOOKUP(D1013,'Astronomy 101 Week 1 Quiz (Resp'!F:F,'Astronomy 101 Week 1 Quiz (Resp'!E:E),0)</f>
        <v>0</v>
      </c>
      <c r="F1013" s="3" t="s">
        <v>14</v>
      </c>
      <c r="G1013" s="3"/>
      <c r="H1013" s="6">
        <v>7.602793373E9</v>
      </c>
      <c r="I1013" s="6" t="s">
        <v>3166</v>
      </c>
      <c r="J1013" s="6" t="s">
        <v>16</v>
      </c>
      <c r="K1013" s="6" t="s">
        <v>17</v>
      </c>
      <c r="L1013" s="6" t="s">
        <v>3167</v>
      </c>
    </row>
    <row r="1014" ht="22.5" customHeight="1">
      <c r="A1014" s="5">
        <v>46176.86587863426</v>
      </c>
      <c r="B1014" s="6" t="s">
        <v>3168</v>
      </c>
      <c r="C1014" s="6" t="s">
        <v>3169</v>
      </c>
      <c r="D1014" s="3" t="str">
        <f t="shared" si="1"/>
        <v>AE-1013</v>
      </c>
      <c r="E1014" s="3">
        <f t="array" ref="E1014">IFERROR(XLOOKUP(D1014,'Astronomy 101 Week 1 Quiz (Resp'!F:F,'Astronomy 101 Week 1 Quiz (Resp'!E:E),0)</f>
        <v>23</v>
      </c>
      <c r="F1014" s="3" t="s">
        <v>14</v>
      </c>
      <c r="G1014" s="3"/>
      <c r="H1014" s="6">
        <v>7.003289459E9</v>
      </c>
      <c r="I1014" s="6" t="s">
        <v>3170</v>
      </c>
      <c r="J1014" s="6" t="s">
        <v>16</v>
      </c>
      <c r="K1014" s="6" t="s">
        <v>17</v>
      </c>
      <c r="L1014" s="6" t="s">
        <v>3171</v>
      </c>
    </row>
    <row r="1015" ht="22.5" customHeight="1">
      <c r="A1015" s="5">
        <v>46176.86623130787</v>
      </c>
      <c r="B1015" s="6" t="s">
        <v>3172</v>
      </c>
      <c r="C1015" s="6" t="s">
        <v>3173</v>
      </c>
      <c r="D1015" s="3" t="str">
        <f t="shared" si="1"/>
        <v>AE-1014</v>
      </c>
      <c r="E1015" s="3">
        <f t="array" ref="E1015">IFERROR(XLOOKUP(D1015,'Astronomy 101 Week 1 Quiz (Resp'!F:F,'Astronomy 101 Week 1 Quiz (Resp'!E:E),0)</f>
        <v>0</v>
      </c>
      <c r="F1015" s="3" t="s">
        <v>14</v>
      </c>
      <c r="G1015" s="3"/>
      <c r="H1015" s="6">
        <v>8.302203168E9</v>
      </c>
      <c r="I1015" s="6" t="s">
        <v>3174</v>
      </c>
      <c r="J1015" s="6" t="s">
        <v>16</v>
      </c>
      <c r="K1015" s="6" t="s">
        <v>17</v>
      </c>
    </row>
    <row r="1016" ht="22.5" customHeight="1">
      <c r="A1016" s="5">
        <v>46176.86835744213</v>
      </c>
      <c r="B1016" s="6" t="s">
        <v>3175</v>
      </c>
      <c r="C1016" s="6" t="s">
        <v>3176</v>
      </c>
      <c r="D1016" s="3" t="str">
        <f t="shared" si="1"/>
        <v>AE-1015</v>
      </c>
      <c r="E1016" s="3">
        <f t="array" ref="E1016">IFERROR(XLOOKUP(D1016,'Astronomy 101 Week 1 Quiz (Resp'!F:F,'Astronomy 101 Week 1 Quiz (Resp'!E:E),0)</f>
        <v>0</v>
      </c>
      <c r="F1016" s="3" t="s">
        <v>14</v>
      </c>
      <c r="G1016" s="3"/>
      <c r="H1016" s="6">
        <v>8.894923902E9</v>
      </c>
      <c r="I1016" s="6" t="s">
        <v>3177</v>
      </c>
      <c r="J1016" s="6" t="s">
        <v>16</v>
      </c>
      <c r="K1016" s="6" t="s">
        <v>82</v>
      </c>
    </row>
    <row r="1017" ht="22.5" customHeight="1">
      <c r="A1017" s="5">
        <v>46176.87066237269</v>
      </c>
      <c r="B1017" s="6" t="s">
        <v>3178</v>
      </c>
      <c r="C1017" s="6" t="s">
        <v>3179</v>
      </c>
      <c r="D1017" s="3" t="str">
        <f t="shared" si="1"/>
        <v>AE-1016</v>
      </c>
      <c r="E1017" s="3">
        <f t="array" ref="E1017">IFERROR(XLOOKUP(D1017,'Astronomy 101 Week 1 Quiz (Resp'!F:F,'Astronomy 101 Week 1 Quiz (Resp'!E:E),0)</f>
        <v>0</v>
      </c>
      <c r="F1017" s="3" t="s">
        <v>14</v>
      </c>
      <c r="G1017" s="3"/>
      <c r="H1017" s="6">
        <v>8.289981862E9</v>
      </c>
      <c r="I1017" s="6" t="s">
        <v>3180</v>
      </c>
      <c r="J1017" s="6" t="s">
        <v>16</v>
      </c>
      <c r="K1017" s="6" t="s">
        <v>47</v>
      </c>
    </row>
    <row r="1018" ht="22.5" customHeight="1">
      <c r="A1018" s="5">
        <v>46176.87143694445</v>
      </c>
      <c r="B1018" s="6" t="s">
        <v>3181</v>
      </c>
      <c r="C1018" s="6" t="s">
        <v>3182</v>
      </c>
      <c r="D1018" s="3" t="str">
        <f t="shared" si="1"/>
        <v>AE-1017</v>
      </c>
      <c r="E1018" s="3">
        <f t="array" ref="E1018">IFERROR(XLOOKUP(D1018,'Astronomy 101 Week 1 Quiz (Resp'!F:F,'Astronomy 101 Week 1 Quiz (Resp'!E:E),0)</f>
        <v>0</v>
      </c>
      <c r="F1018" s="3" t="s">
        <v>14</v>
      </c>
      <c r="G1018" s="3"/>
      <c r="H1018" s="6">
        <v>9.517007431E9</v>
      </c>
      <c r="I1018" s="6" t="s">
        <v>3183</v>
      </c>
      <c r="J1018" s="6" t="s">
        <v>16</v>
      </c>
      <c r="K1018" s="6" t="s">
        <v>25</v>
      </c>
      <c r="L1018" s="6" t="s">
        <v>3184</v>
      </c>
    </row>
    <row r="1019" ht="22.5" customHeight="1">
      <c r="A1019" s="5">
        <v>46176.87292633102</v>
      </c>
      <c r="B1019" s="6" t="s">
        <v>3185</v>
      </c>
      <c r="C1019" s="6" t="s">
        <v>3186</v>
      </c>
      <c r="D1019" s="3" t="str">
        <f t="shared" si="1"/>
        <v>AE-1018</v>
      </c>
      <c r="E1019" s="3">
        <f t="array" ref="E1019">IFERROR(XLOOKUP(D1019,'Astronomy 101 Week 1 Quiz (Resp'!F:F,'Astronomy 101 Week 1 Quiz (Resp'!E:E),0)</f>
        <v>0</v>
      </c>
      <c r="F1019" s="3" t="s">
        <v>14</v>
      </c>
      <c r="G1019" s="3"/>
      <c r="H1019" s="6">
        <v>9.891993212E9</v>
      </c>
      <c r="I1019" s="6" t="s">
        <v>3187</v>
      </c>
      <c r="J1019" s="6" t="s">
        <v>16</v>
      </c>
      <c r="K1019" s="6" t="s">
        <v>47</v>
      </c>
      <c r="L1019" s="6" t="s">
        <v>3188</v>
      </c>
    </row>
    <row r="1020" ht="22.5" customHeight="1">
      <c r="A1020" s="5">
        <v>46176.87381189815</v>
      </c>
      <c r="B1020" s="6" t="s">
        <v>393</v>
      </c>
      <c r="C1020" s="6" t="s">
        <v>394</v>
      </c>
      <c r="D1020" s="3" t="str">
        <f t="shared" si="1"/>
        <v>AE-1019</v>
      </c>
      <c r="E1020" s="3">
        <f t="array" ref="E1020">IFERROR(XLOOKUP(D1020,'Astronomy 101 Week 1 Quiz (Resp'!F:F,'Astronomy 101 Week 1 Quiz (Resp'!E:E),0)</f>
        <v>0</v>
      </c>
      <c r="F1020" s="3" t="s">
        <v>14</v>
      </c>
      <c r="G1020" s="3"/>
      <c r="H1020" s="6">
        <v>8.01038184E9</v>
      </c>
      <c r="I1020" s="6" t="s">
        <v>461</v>
      </c>
      <c r="J1020" s="6" t="s">
        <v>16</v>
      </c>
      <c r="K1020" s="6" t="s">
        <v>47</v>
      </c>
      <c r="L1020" s="6" t="s">
        <v>3189</v>
      </c>
    </row>
    <row r="1021" ht="22.5" customHeight="1">
      <c r="A1021" s="5">
        <v>46176.873827476855</v>
      </c>
      <c r="B1021" s="6" t="s">
        <v>2785</v>
      </c>
      <c r="C1021" s="6" t="s">
        <v>2786</v>
      </c>
      <c r="D1021" s="3" t="str">
        <f t="shared" si="1"/>
        <v>AE-1020</v>
      </c>
      <c r="E1021" s="3">
        <f t="array" ref="E1021">IFERROR(XLOOKUP(D1021,'Astronomy 101 Week 1 Quiz (Resp'!F:F,'Astronomy 101 Week 1 Quiz (Resp'!E:E),0)</f>
        <v>0</v>
      </c>
      <c r="F1021" s="3" t="s">
        <v>14</v>
      </c>
      <c r="G1021" s="3"/>
      <c r="H1021" s="6">
        <v>7.099003398E9</v>
      </c>
      <c r="I1021" s="6" t="s">
        <v>3190</v>
      </c>
      <c r="J1021" s="6" t="s">
        <v>16</v>
      </c>
      <c r="K1021" s="6" t="s">
        <v>17</v>
      </c>
    </row>
    <row r="1022" ht="22.5" customHeight="1">
      <c r="A1022" s="5">
        <v>46176.875717118055</v>
      </c>
      <c r="B1022" s="6" t="s">
        <v>3191</v>
      </c>
      <c r="C1022" s="6" t="s">
        <v>3192</v>
      </c>
      <c r="D1022" s="3" t="str">
        <f t="shared" si="1"/>
        <v>AE-1021</v>
      </c>
      <c r="E1022" s="3">
        <f t="array" ref="E1022">IFERROR(XLOOKUP(D1022,'Astronomy 101 Week 1 Quiz (Resp'!F:F,'Astronomy 101 Week 1 Quiz (Resp'!E:E),0)</f>
        <v>41</v>
      </c>
      <c r="F1022" s="3" t="s">
        <v>14</v>
      </c>
      <c r="G1022" s="3"/>
      <c r="H1022" s="6">
        <v>8.111836998E9</v>
      </c>
      <c r="I1022" s="6" t="s">
        <v>3193</v>
      </c>
      <c r="J1022" s="6" t="s">
        <v>16</v>
      </c>
      <c r="K1022" s="6" t="s">
        <v>17</v>
      </c>
      <c r="L1022" s="6" t="s">
        <v>3194</v>
      </c>
    </row>
    <row r="1023" ht="22.5" customHeight="1">
      <c r="A1023" s="5">
        <v>46176.87900512731</v>
      </c>
      <c r="B1023" s="6" t="s">
        <v>3195</v>
      </c>
      <c r="C1023" s="6" t="s">
        <v>3196</v>
      </c>
      <c r="D1023" s="3" t="str">
        <f t="shared" si="1"/>
        <v>AE-1022</v>
      </c>
      <c r="E1023" s="3">
        <f t="array" ref="E1023">IFERROR(XLOOKUP(D1023,'Astronomy 101 Week 1 Quiz (Resp'!F:F,'Astronomy 101 Week 1 Quiz (Resp'!E:E),0)</f>
        <v>33</v>
      </c>
      <c r="F1023" s="3" t="s">
        <v>14</v>
      </c>
      <c r="G1023" s="3"/>
      <c r="H1023" s="6">
        <v>9.345795478E9</v>
      </c>
      <c r="I1023" s="6" t="s">
        <v>3197</v>
      </c>
      <c r="J1023" s="6" t="s">
        <v>16</v>
      </c>
      <c r="K1023" s="6" t="s">
        <v>17</v>
      </c>
      <c r="L1023" s="6" t="s">
        <v>3198</v>
      </c>
    </row>
    <row r="1024" ht="22.5" customHeight="1">
      <c r="A1024" s="5">
        <v>46176.88030547454</v>
      </c>
      <c r="B1024" s="6" t="s">
        <v>3199</v>
      </c>
      <c r="C1024" s="6" t="s">
        <v>3200</v>
      </c>
      <c r="D1024" s="3" t="str">
        <f t="shared" si="1"/>
        <v>AE-1023</v>
      </c>
      <c r="E1024" s="3">
        <f t="array" ref="E1024">IFERROR(XLOOKUP(D1024,'Astronomy 101 Week 1 Quiz (Resp'!F:F,'Astronomy 101 Week 1 Quiz (Resp'!E:E),0)</f>
        <v>35</v>
      </c>
      <c r="F1024" s="3" t="s">
        <v>14</v>
      </c>
      <c r="G1024" s="3"/>
      <c r="H1024" s="6">
        <v>7.529899126E9</v>
      </c>
      <c r="I1024" s="6" t="s">
        <v>3201</v>
      </c>
      <c r="J1024" s="6" t="s">
        <v>16</v>
      </c>
      <c r="K1024" s="6" t="s">
        <v>61</v>
      </c>
    </row>
    <row r="1025" ht="22.5" customHeight="1">
      <c r="A1025" s="5">
        <v>46176.880584375</v>
      </c>
      <c r="B1025" s="6" t="s">
        <v>3202</v>
      </c>
      <c r="C1025" s="6" t="s">
        <v>3203</v>
      </c>
      <c r="D1025" s="3" t="str">
        <f t="shared" si="1"/>
        <v>AE-1024</v>
      </c>
      <c r="E1025" s="3">
        <f t="array" ref="E1025">IFERROR(XLOOKUP(D1025,'Astronomy 101 Week 1 Quiz (Resp'!F:F,'Astronomy 101 Week 1 Quiz (Resp'!E:E),0)</f>
        <v>0</v>
      </c>
      <c r="F1025" s="3" t="s">
        <v>14</v>
      </c>
      <c r="G1025" s="3"/>
      <c r="H1025" s="6">
        <v>8.310484955E9</v>
      </c>
      <c r="I1025" s="6" t="s">
        <v>3204</v>
      </c>
      <c r="J1025" s="6" t="s">
        <v>16</v>
      </c>
      <c r="K1025" s="6" t="s">
        <v>17</v>
      </c>
    </row>
    <row r="1026" ht="22.5" customHeight="1">
      <c r="A1026" s="5">
        <v>46176.88105457176</v>
      </c>
      <c r="B1026" s="6" t="s">
        <v>393</v>
      </c>
      <c r="C1026" s="6" t="s">
        <v>394</v>
      </c>
      <c r="D1026" s="3" t="str">
        <f t="shared" si="1"/>
        <v>AE-1025</v>
      </c>
      <c r="E1026" s="3">
        <f t="array" ref="E1026">IFERROR(XLOOKUP(D1026,'Astronomy 101 Week 1 Quiz (Resp'!F:F,'Astronomy 101 Week 1 Quiz (Resp'!E:E),0)</f>
        <v>0</v>
      </c>
      <c r="F1026" s="3" t="s">
        <v>14</v>
      </c>
      <c r="G1026" s="3"/>
      <c r="H1026" s="6">
        <v>8.01038184E9</v>
      </c>
      <c r="I1026" s="6" t="s">
        <v>395</v>
      </c>
      <c r="J1026" s="6" t="s">
        <v>16</v>
      </c>
      <c r="K1026" s="6" t="s">
        <v>82</v>
      </c>
      <c r="L1026" s="6" t="s">
        <v>962</v>
      </c>
    </row>
    <row r="1027" ht="22.5" customHeight="1">
      <c r="A1027" s="5">
        <v>46176.882302997685</v>
      </c>
      <c r="B1027" s="6" t="s">
        <v>3205</v>
      </c>
      <c r="C1027" s="6" t="s">
        <v>3206</v>
      </c>
      <c r="D1027" s="3" t="str">
        <f t="shared" si="1"/>
        <v>AE-1026</v>
      </c>
      <c r="E1027" s="3">
        <f t="array" ref="E1027">IFERROR(XLOOKUP(D1027,'Astronomy 101 Week 1 Quiz (Resp'!F:F,'Astronomy 101 Week 1 Quiz (Resp'!E:E),0)</f>
        <v>0</v>
      </c>
      <c r="F1027" s="3" t="s">
        <v>14</v>
      </c>
      <c r="G1027" s="3"/>
      <c r="H1027" s="6" t="s">
        <v>3207</v>
      </c>
      <c r="I1027" s="6" t="s">
        <v>3208</v>
      </c>
      <c r="J1027" s="6" t="s">
        <v>16</v>
      </c>
      <c r="K1027" s="6" t="s">
        <v>17</v>
      </c>
    </row>
    <row r="1028" ht="22.5" customHeight="1">
      <c r="A1028" s="5">
        <v>46176.88680421296</v>
      </c>
      <c r="B1028" s="6" t="s">
        <v>3209</v>
      </c>
      <c r="C1028" s="6" t="s">
        <v>3210</v>
      </c>
      <c r="D1028" s="3" t="str">
        <f t="shared" si="1"/>
        <v>AE-1027</v>
      </c>
      <c r="E1028" s="3">
        <f t="array" ref="E1028">IFERROR(XLOOKUP(D1028,'Astronomy 101 Week 1 Quiz (Resp'!F:F,'Astronomy 101 Week 1 Quiz (Resp'!E:E),0)</f>
        <v>9</v>
      </c>
      <c r="F1028" s="3" t="s">
        <v>14</v>
      </c>
      <c r="G1028" s="3"/>
      <c r="H1028" s="6">
        <v>7.827479361E9</v>
      </c>
      <c r="I1028" s="6" t="s">
        <v>3211</v>
      </c>
      <c r="J1028" s="6" t="s">
        <v>16</v>
      </c>
      <c r="K1028" s="6" t="s">
        <v>61</v>
      </c>
      <c r="L1028" s="6" t="s">
        <v>3212</v>
      </c>
    </row>
    <row r="1029" ht="22.5" customHeight="1">
      <c r="A1029" s="5">
        <v>46176.89044880787</v>
      </c>
      <c r="B1029" s="6" t="s">
        <v>3213</v>
      </c>
      <c r="C1029" s="6" t="s">
        <v>3214</v>
      </c>
      <c r="D1029" s="3" t="str">
        <f t="shared" si="1"/>
        <v>AE-1028</v>
      </c>
      <c r="E1029" s="3">
        <f t="array" ref="E1029">IFERROR(XLOOKUP(D1029,'Astronomy 101 Week 1 Quiz (Resp'!F:F,'Astronomy 101 Week 1 Quiz (Resp'!E:E),0)</f>
        <v>0</v>
      </c>
      <c r="F1029" s="3" t="s">
        <v>14</v>
      </c>
      <c r="G1029" s="3"/>
      <c r="H1029" s="6">
        <v>9.156437519E9</v>
      </c>
      <c r="I1029" s="6" t="s">
        <v>3215</v>
      </c>
      <c r="J1029" s="6" t="s">
        <v>16</v>
      </c>
      <c r="K1029" s="6" t="s">
        <v>47</v>
      </c>
    </row>
    <row r="1030" ht="22.5" customHeight="1">
      <c r="A1030" s="5">
        <v>46176.89607322917</v>
      </c>
      <c r="B1030" s="6" t="s">
        <v>3216</v>
      </c>
      <c r="C1030" s="6" t="s">
        <v>3217</v>
      </c>
      <c r="D1030" s="3" t="str">
        <f t="shared" si="1"/>
        <v>AE-1029</v>
      </c>
      <c r="E1030" s="3">
        <f t="array" ref="E1030">IFERROR(XLOOKUP(D1030,'Astronomy 101 Week 1 Quiz (Resp'!F:F,'Astronomy 101 Week 1 Quiz (Resp'!E:E),0)</f>
        <v>31</v>
      </c>
      <c r="F1030" s="3" t="s">
        <v>14</v>
      </c>
      <c r="G1030" s="3"/>
      <c r="H1030" s="6">
        <v>9.498314311E9</v>
      </c>
      <c r="I1030" s="6" t="s">
        <v>3218</v>
      </c>
      <c r="J1030" s="6" t="s">
        <v>16</v>
      </c>
      <c r="K1030" s="6" t="s">
        <v>17</v>
      </c>
    </row>
    <row r="1031" ht="22.5" customHeight="1">
      <c r="A1031" s="5">
        <v>46176.90150247685</v>
      </c>
      <c r="B1031" s="6" t="s">
        <v>1728</v>
      </c>
      <c r="C1031" s="6" t="s">
        <v>1729</v>
      </c>
      <c r="D1031" s="3" t="str">
        <f t="shared" si="1"/>
        <v>AE-1030</v>
      </c>
      <c r="E1031" s="3">
        <f t="array" ref="E1031">IFERROR(XLOOKUP(D1031,'Astronomy 101 Week 1 Quiz (Resp'!F:F,'Astronomy 101 Week 1 Quiz (Resp'!E:E),0)</f>
        <v>0</v>
      </c>
      <c r="F1031" s="3" t="s">
        <v>14</v>
      </c>
      <c r="G1031" s="3"/>
      <c r="H1031" s="6">
        <v>8.31002056E9</v>
      </c>
      <c r="I1031" s="6" t="s">
        <v>3219</v>
      </c>
      <c r="J1031" s="6" t="s">
        <v>33</v>
      </c>
      <c r="K1031" s="6" t="s">
        <v>21</v>
      </c>
    </row>
    <row r="1032" ht="22.5" customHeight="1">
      <c r="A1032" s="5">
        <v>46176.90760342593</v>
      </c>
      <c r="B1032" s="6" t="s">
        <v>3220</v>
      </c>
      <c r="C1032" s="6" t="s">
        <v>3221</v>
      </c>
      <c r="D1032" s="3" t="str">
        <f t="shared" si="1"/>
        <v>AE-1031</v>
      </c>
      <c r="E1032" s="3">
        <f t="array" ref="E1032">IFERROR(XLOOKUP(D1032,'Astronomy 101 Week 1 Quiz (Resp'!F:F,'Astronomy 101 Week 1 Quiz (Resp'!E:E),0)</f>
        <v>0</v>
      </c>
      <c r="F1032" s="3" t="s">
        <v>14</v>
      </c>
      <c r="G1032" s="3"/>
      <c r="H1032" s="6">
        <v>8.008814409E9</v>
      </c>
      <c r="I1032" s="6" t="s">
        <v>3222</v>
      </c>
      <c r="J1032" s="6" t="s">
        <v>16</v>
      </c>
      <c r="K1032" s="6" t="s">
        <v>17</v>
      </c>
      <c r="L1032" s="6" t="s">
        <v>3223</v>
      </c>
    </row>
    <row r="1033" ht="22.5" customHeight="1">
      <c r="A1033" s="5">
        <v>46176.91137381944</v>
      </c>
      <c r="B1033" s="6" t="s">
        <v>3224</v>
      </c>
      <c r="C1033" s="6" t="s">
        <v>3225</v>
      </c>
      <c r="D1033" s="3" t="str">
        <f t="shared" si="1"/>
        <v>AE-1032</v>
      </c>
      <c r="E1033" s="3">
        <f t="array" ref="E1033">IFERROR(XLOOKUP(D1033,'Astronomy 101 Week 1 Quiz (Resp'!F:F,'Astronomy 101 Week 1 Quiz (Resp'!E:E),0)</f>
        <v>0</v>
      </c>
      <c r="F1033" s="3" t="s">
        <v>14</v>
      </c>
      <c r="G1033" s="3"/>
      <c r="H1033" s="6">
        <v>6.36917007E9</v>
      </c>
      <c r="I1033" s="6" t="s">
        <v>3226</v>
      </c>
      <c r="J1033" s="6" t="s">
        <v>16</v>
      </c>
      <c r="K1033" s="6" t="s">
        <v>17</v>
      </c>
      <c r="L1033" s="6" t="s">
        <v>3227</v>
      </c>
    </row>
    <row r="1034" ht="22.5" customHeight="1">
      <c r="A1034" s="5">
        <v>46176.91186490741</v>
      </c>
      <c r="B1034" s="6" t="s">
        <v>1908</v>
      </c>
      <c r="C1034" s="6" t="s">
        <v>1909</v>
      </c>
      <c r="D1034" s="3" t="str">
        <f t="shared" si="1"/>
        <v>AE-1033</v>
      </c>
      <c r="E1034" s="3">
        <f t="array" ref="E1034">IFERROR(XLOOKUP(D1034,'Astronomy 101 Week 1 Quiz (Resp'!F:F,'Astronomy 101 Week 1 Quiz (Resp'!E:E),0)</f>
        <v>0</v>
      </c>
      <c r="F1034" s="3" t="s">
        <v>14</v>
      </c>
      <c r="G1034" s="3"/>
      <c r="H1034" s="6">
        <v>8.767103739E9</v>
      </c>
      <c r="I1034" s="6" t="s">
        <v>1721</v>
      </c>
      <c r="J1034" s="6" t="s">
        <v>16</v>
      </c>
      <c r="K1034" s="6" t="s">
        <v>17</v>
      </c>
    </row>
    <row r="1035" ht="22.5" customHeight="1">
      <c r="A1035" s="5">
        <v>46176.911929027774</v>
      </c>
      <c r="B1035" s="6" t="s">
        <v>3228</v>
      </c>
      <c r="C1035" s="6" t="s">
        <v>3229</v>
      </c>
      <c r="D1035" s="3" t="str">
        <f t="shared" si="1"/>
        <v>AE-1034</v>
      </c>
      <c r="E1035" s="3">
        <f t="array" ref="E1035">IFERROR(XLOOKUP(D1035,'Astronomy 101 Week 1 Quiz (Resp'!F:F,'Astronomy 101 Week 1 Quiz (Resp'!E:E),0)</f>
        <v>26</v>
      </c>
      <c r="F1035" s="3" t="s">
        <v>14</v>
      </c>
      <c r="G1035" s="3"/>
      <c r="H1035" s="6">
        <v>7.902805653E9</v>
      </c>
      <c r="I1035" s="6" t="s">
        <v>3230</v>
      </c>
      <c r="J1035" s="6" t="s">
        <v>16</v>
      </c>
      <c r="K1035" s="6" t="s">
        <v>17</v>
      </c>
      <c r="L1035" s="6" t="s">
        <v>3231</v>
      </c>
    </row>
    <row r="1036" ht="22.5" customHeight="1">
      <c r="A1036" s="5">
        <v>46176.91784905092</v>
      </c>
      <c r="B1036" s="6" t="s">
        <v>3232</v>
      </c>
      <c r="C1036" s="6" t="s">
        <v>3233</v>
      </c>
      <c r="D1036" s="3" t="str">
        <f t="shared" si="1"/>
        <v>AE-1035</v>
      </c>
      <c r="E1036" s="3">
        <f t="array" ref="E1036">IFERROR(XLOOKUP(D1036,'Astronomy 101 Week 1 Quiz (Resp'!F:F,'Astronomy 101 Week 1 Quiz (Resp'!E:E),0)</f>
        <v>0</v>
      </c>
      <c r="F1036" s="3" t="s">
        <v>14</v>
      </c>
      <c r="G1036" s="3"/>
      <c r="H1036" s="6">
        <v>8.287348313E9</v>
      </c>
      <c r="I1036" s="6" t="s">
        <v>3234</v>
      </c>
      <c r="J1036" s="6" t="s">
        <v>16</v>
      </c>
      <c r="K1036" s="6" t="s">
        <v>82</v>
      </c>
      <c r="L1036" s="6" t="s">
        <v>3235</v>
      </c>
    </row>
    <row r="1037" ht="22.5" customHeight="1">
      <c r="A1037" s="5">
        <v>46176.92092842593</v>
      </c>
      <c r="B1037" s="6" t="s">
        <v>3236</v>
      </c>
      <c r="C1037" s="6" t="s">
        <v>3237</v>
      </c>
      <c r="D1037" s="3" t="str">
        <f t="shared" si="1"/>
        <v>AE-1036</v>
      </c>
      <c r="E1037" s="3">
        <f t="array" ref="E1037">IFERROR(XLOOKUP(D1037,'Astronomy 101 Week 1 Quiz (Resp'!F:F,'Astronomy 101 Week 1 Quiz (Resp'!E:E),0)</f>
        <v>40</v>
      </c>
      <c r="F1037" s="3" t="s">
        <v>14</v>
      </c>
      <c r="G1037" s="3"/>
      <c r="H1037" s="6">
        <v>8.981305529E9</v>
      </c>
      <c r="I1037" s="6" t="s">
        <v>683</v>
      </c>
      <c r="J1037" s="6" t="s">
        <v>16</v>
      </c>
      <c r="K1037" s="6" t="s">
        <v>17</v>
      </c>
    </row>
    <row r="1038" ht="22.5" customHeight="1">
      <c r="A1038" s="5">
        <v>46176.92140519676</v>
      </c>
      <c r="B1038" s="6" t="s">
        <v>3238</v>
      </c>
      <c r="C1038" s="6" t="s">
        <v>3239</v>
      </c>
      <c r="D1038" s="3" t="str">
        <f t="shared" si="1"/>
        <v>AE-1037</v>
      </c>
      <c r="E1038" s="3">
        <f t="array" ref="E1038">IFERROR(XLOOKUP(D1038,'Astronomy 101 Week 1 Quiz (Resp'!F:F,'Astronomy 101 Week 1 Quiz (Resp'!E:E),0)</f>
        <v>0</v>
      </c>
      <c r="F1038" s="3" t="s">
        <v>14</v>
      </c>
      <c r="G1038" s="3"/>
      <c r="H1038" s="6">
        <v>7.012855464E9</v>
      </c>
      <c r="I1038" s="6" t="s">
        <v>3104</v>
      </c>
      <c r="J1038" s="6" t="s">
        <v>16</v>
      </c>
      <c r="K1038" s="6" t="s">
        <v>47</v>
      </c>
      <c r="L1038" s="6" t="s">
        <v>3240</v>
      </c>
    </row>
    <row r="1039" ht="22.5" customHeight="1">
      <c r="A1039" s="5">
        <v>46176.92192076389</v>
      </c>
      <c r="B1039" s="6" t="s">
        <v>3241</v>
      </c>
      <c r="C1039" s="6" t="s">
        <v>3242</v>
      </c>
      <c r="D1039" s="3" t="str">
        <f t="shared" si="1"/>
        <v>AE-1038</v>
      </c>
      <c r="E1039" s="3">
        <f t="array" ref="E1039">IFERROR(XLOOKUP(D1039,'Astronomy 101 Week 1 Quiz (Resp'!F:F,'Astronomy 101 Week 1 Quiz (Resp'!E:E),0)</f>
        <v>0</v>
      </c>
      <c r="F1039" s="3" t="s">
        <v>14</v>
      </c>
      <c r="G1039" s="3"/>
      <c r="H1039" s="6">
        <v>9.306300018E9</v>
      </c>
      <c r="I1039" s="6" t="s">
        <v>3243</v>
      </c>
      <c r="J1039" s="6" t="s">
        <v>16</v>
      </c>
      <c r="K1039" s="6" t="s">
        <v>17</v>
      </c>
      <c r="L1039" s="6" t="s">
        <v>944</v>
      </c>
    </row>
    <row r="1040" ht="22.5" customHeight="1">
      <c r="A1040" s="5">
        <v>46176.92751625</v>
      </c>
      <c r="B1040" s="6" t="s">
        <v>3244</v>
      </c>
      <c r="C1040" s="6" t="s">
        <v>3245</v>
      </c>
      <c r="D1040" s="3" t="str">
        <f t="shared" si="1"/>
        <v>AE-1039</v>
      </c>
      <c r="E1040" s="3">
        <f t="array" ref="E1040">IFERROR(XLOOKUP(D1040,'Astronomy 101 Week 1 Quiz (Resp'!F:F,'Astronomy 101 Week 1 Quiz (Resp'!E:E),0)</f>
        <v>0</v>
      </c>
      <c r="F1040" s="3" t="s">
        <v>14</v>
      </c>
      <c r="G1040" s="3"/>
      <c r="H1040" s="6">
        <v>6.374247797E9</v>
      </c>
      <c r="I1040" s="6" t="s">
        <v>3246</v>
      </c>
      <c r="J1040" s="6" t="s">
        <v>16</v>
      </c>
      <c r="K1040" s="6" t="s">
        <v>21</v>
      </c>
      <c r="L1040" s="6" t="s">
        <v>3247</v>
      </c>
    </row>
    <row r="1041" ht="22.5" customHeight="1">
      <c r="A1041" s="5">
        <v>46176.93103627315</v>
      </c>
      <c r="B1041" s="6" t="s">
        <v>3248</v>
      </c>
      <c r="C1041" s="6" t="s">
        <v>3249</v>
      </c>
      <c r="D1041" s="3" t="str">
        <f t="shared" si="1"/>
        <v>AE-1040</v>
      </c>
      <c r="E1041" s="3">
        <f t="array" ref="E1041">IFERROR(XLOOKUP(D1041,'Astronomy 101 Week 1 Quiz (Resp'!F:F,'Astronomy 101 Week 1 Quiz (Resp'!E:E),0)</f>
        <v>0</v>
      </c>
      <c r="F1041" s="3" t="s">
        <v>14</v>
      </c>
      <c r="G1041" s="3"/>
      <c r="H1041" s="6">
        <v>8.668757597E9</v>
      </c>
      <c r="I1041" s="6" t="s">
        <v>1113</v>
      </c>
      <c r="J1041" s="6" t="s">
        <v>16</v>
      </c>
      <c r="K1041" s="6" t="s">
        <v>43</v>
      </c>
    </row>
    <row r="1042" ht="22.5" customHeight="1">
      <c r="A1042" s="5">
        <v>46176.94162474537</v>
      </c>
      <c r="B1042" s="6" t="s">
        <v>3250</v>
      </c>
      <c r="C1042" s="6" t="s">
        <v>3251</v>
      </c>
      <c r="D1042" s="3" t="str">
        <f t="shared" si="1"/>
        <v>AE-1041</v>
      </c>
      <c r="E1042" s="3">
        <f t="array" ref="E1042">IFERROR(XLOOKUP(D1042,'Astronomy 101 Week 1 Quiz (Resp'!F:F,'Astronomy 101 Week 1 Quiz (Resp'!E:E),0)</f>
        <v>0</v>
      </c>
      <c r="F1042" s="3" t="s">
        <v>14</v>
      </c>
      <c r="G1042" s="3"/>
      <c r="H1042" s="6">
        <v>9.87575761E9</v>
      </c>
      <c r="I1042" s="6" t="s">
        <v>3234</v>
      </c>
      <c r="J1042" s="6" t="s">
        <v>16</v>
      </c>
      <c r="K1042" s="6" t="s">
        <v>17</v>
      </c>
    </row>
    <row r="1043" ht="22.5" customHeight="1">
      <c r="A1043" s="5">
        <v>46176.95320793982</v>
      </c>
      <c r="B1043" s="6" t="s">
        <v>3252</v>
      </c>
      <c r="C1043" s="6" t="s">
        <v>3253</v>
      </c>
      <c r="D1043" s="3" t="str">
        <f t="shared" si="1"/>
        <v>AE-1042</v>
      </c>
      <c r="E1043" s="3">
        <f t="array" ref="E1043">IFERROR(XLOOKUP(D1043,'Astronomy 101 Week 1 Quiz (Resp'!F:F,'Astronomy 101 Week 1 Quiz (Resp'!E:E),0)</f>
        <v>0</v>
      </c>
      <c r="F1043" s="3" t="s">
        <v>14</v>
      </c>
      <c r="G1043" s="3"/>
      <c r="H1043" s="6">
        <v>9.810589687E9</v>
      </c>
      <c r="I1043" s="6" t="s">
        <v>3254</v>
      </c>
      <c r="J1043" s="6" t="s">
        <v>16</v>
      </c>
      <c r="K1043" s="6" t="s">
        <v>47</v>
      </c>
    </row>
    <row r="1044" ht="22.5" customHeight="1">
      <c r="A1044" s="5">
        <v>46176.95825765046</v>
      </c>
      <c r="B1044" s="6" t="s">
        <v>3255</v>
      </c>
      <c r="C1044" s="6" t="s">
        <v>3256</v>
      </c>
      <c r="D1044" s="3" t="str">
        <f t="shared" si="1"/>
        <v>AE-1043</v>
      </c>
      <c r="E1044" s="3">
        <f t="array" ref="E1044">IFERROR(XLOOKUP(D1044,'Astronomy 101 Week 1 Quiz (Resp'!F:F,'Astronomy 101 Week 1 Quiz (Resp'!E:E),0)</f>
        <v>0</v>
      </c>
      <c r="F1044" s="3" t="s">
        <v>14</v>
      </c>
      <c r="G1044" s="3"/>
      <c r="H1044" s="6">
        <v>8.376939049E9</v>
      </c>
      <c r="I1044" s="6" t="s">
        <v>3257</v>
      </c>
      <c r="J1044" s="6" t="s">
        <v>16</v>
      </c>
      <c r="K1044" s="6" t="s">
        <v>82</v>
      </c>
      <c r="L1044" s="6" t="s">
        <v>3258</v>
      </c>
    </row>
    <row r="1045" ht="22.5" customHeight="1">
      <c r="A1045" s="5">
        <v>46176.959844074074</v>
      </c>
      <c r="B1045" s="6" t="s">
        <v>3259</v>
      </c>
      <c r="C1045" s="6" t="s">
        <v>3260</v>
      </c>
      <c r="D1045" s="3" t="str">
        <f t="shared" si="1"/>
        <v>AE-1044</v>
      </c>
      <c r="E1045" s="3">
        <f t="array" ref="E1045">IFERROR(XLOOKUP(D1045,'Astronomy 101 Week 1 Quiz (Resp'!F:F,'Astronomy 101 Week 1 Quiz (Resp'!E:E),0)</f>
        <v>0</v>
      </c>
      <c r="F1045" s="3" t="s">
        <v>14</v>
      </c>
      <c r="G1045" s="3"/>
      <c r="H1045" s="6">
        <v>9.9401607E9</v>
      </c>
      <c r="I1045" s="6" t="s">
        <v>3088</v>
      </c>
      <c r="J1045" s="6" t="s">
        <v>16</v>
      </c>
      <c r="K1045" s="6" t="s">
        <v>25</v>
      </c>
      <c r="L1045" s="6" t="s">
        <v>3261</v>
      </c>
    </row>
    <row r="1046" ht="22.5" customHeight="1">
      <c r="A1046" s="5">
        <v>46176.9737134375</v>
      </c>
      <c r="B1046" s="6" t="s">
        <v>3262</v>
      </c>
      <c r="C1046" s="6" t="s">
        <v>3263</v>
      </c>
      <c r="D1046" s="3" t="str">
        <f t="shared" si="1"/>
        <v>AE-1045</v>
      </c>
      <c r="E1046" s="3">
        <f t="array" ref="E1046">IFERROR(XLOOKUP(D1046,'Astronomy 101 Week 1 Quiz (Resp'!F:F,'Astronomy 101 Week 1 Quiz (Resp'!E:E),0)</f>
        <v>0</v>
      </c>
      <c r="F1046" s="3" t="s">
        <v>14</v>
      </c>
      <c r="G1046" s="3"/>
      <c r="H1046" s="6">
        <v>7.994182339E9</v>
      </c>
      <c r="I1046" s="6" t="s">
        <v>3264</v>
      </c>
      <c r="J1046" s="6" t="s">
        <v>16</v>
      </c>
      <c r="K1046" s="6" t="s">
        <v>25</v>
      </c>
    </row>
    <row r="1047" ht="22.5" customHeight="1">
      <c r="A1047" s="5">
        <v>46176.97598137731</v>
      </c>
      <c r="B1047" s="6" t="s">
        <v>3265</v>
      </c>
      <c r="C1047" s="6" t="s">
        <v>3266</v>
      </c>
      <c r="D1047" s="3" t="str">
        <f t="shared" si="1"/>
        <v>AE-1046</v>
      </c>
      <c r="E1047" s="3">
        <f t="array" ref="E1047">IFERROR(XLOOKUP(D1047,'Astronomy 101 Week 1 Quiz (Resp'!F:F,'Astronomy 101 Week 1 Quiz (Resp'!E:E),0)</f>
        <v>0</v>
      </c>
      <c r="F1047" s="3" t="s">
        <v>14</v>
      </c>
      <c r="G1047" s="3"/>
      <c r="H1047" s="6">
        <v>9.650170168E9</v>
      </c>
      <c r="I1047" s="6" t="s">
        <v>3187</v>
      </c>
      <c r="J1047" s="6" t="s">
        <v>16</v>
      </c>
      <c r="K1047" s="6" t="s">
        <v>25</v>
      </c>
      <c r="L1047" s="6" t="s">
        <v>3267</v>
      </c>
    </row>
    <row r="1048" ht="22.5" customHeight="1">
      <c r="A1048" s="5">
        <v>46176.97635606481</v>
      </c>
      <c r="B1048" s="6" t="s">
        <v>1421</v>
      </c>
      <c r="C1048" s="6" t="s">
        <v>1422</v>
      </c>
      <c r="D1048" s="3" t="str">
        <f t="shared" si="1"/>
        <v>AE-1047</v>
      </c>
      <c r="E1048" s="3">
        <f t="array" ref="E1048">IFERROR(XLOOKUP(D1048,'Astronomy 101 Week 1 Quiz (Resp'!F:F,'Astronomy 101 Week 1 Quiz (Resp'!E:E),0)</f>
        <v>27</v>
      </c>
      <c r="F1048" s="3" t="s">
        <v>14</v>
      </c>
      <c r="G1048" s="3"/>
      <c r="H1048" s="6">
        <v>8.281120744E9</v>
      </c>
      <c r="I1048" s="6" t="s">
        <v>662</v>
      </c>
      <c r="J1048" s="6" t="s">
        <v>16</v>
      </c>
      <c r="K1048" s="6" t="s">
        <v>21</v>
      </c>
      <c r="L1048" s="6" t="s">
        <v>3268</v>
      </c>
    </row>
    <row r="1049" ht="22.5" customHeight="1">
      <c r="A1049" s="5">
        <v>46176.97725416667</v>
      </c>
      <c r="B1049" s="6" t="s">
        <v>2048</v>
      </c>
      <c r="C1049" s="6" t="s">
        <v>3269</v>
      </c>
      <c r="D1049" s="3" t="str">
        <f t="shared" si="1"/>
        <v>AE-1048</v>
      </c>
      <c r="E1049" s="3">
        <f t="array" ref="E1049">IFERROR(XLOOKUP(D1049,'Astronomy 101 Week 1 Quiz (Resp'!F:F,'Astronomy 101 Week 1 Quiz (Resp'!E:E),0)</f>
        <v>0</v>
      </c>
      <c r="F1049" s="3" t="s">
        <v>14</v>
      </c>
      <c r="G1049" s="3"/>
      <c r="H1049" s="6">
        <v>9.336049348E9</v>
      </c>
      <c r="I1049" s="6" t="s">
        <v>3270</v>
      </c>
      <c r="J1049" s="6" t="s">
        <v>16</v>
      </c>
      <c r="K1049" s="6" t="s">
        <v>17</v>
      </c>
      <c r="L1049" s="6" t="s">
        <v>3271</v>
      </c>
    </row>
    <row r="1050" ht="22.5" customHeight="1">
      <c r="A1050" s="5">
        <v>46176.98122046296</v>
      </c>
      <c r="B1050" s="6" t="s">
        <v>3272</v>
      </c>
      <c r="C1050" s="6" t="s">
        <v>3273</v>
      </c>
      <c r="D1050" s="3" t="str">
        <f t="shared" si="1"/>
        <v>AE-1049</v>
      </c>
      <c r="E1050" s="3">
        <f t="array" ref="E1050">IFERROR(XLOOKUP(D1050,'Astronomy 101 Week 1 Quiz (Resp'!F:F,'Astronomy 101 Week 1 Quiz (Resp'!E:E),0)</f>
        <v>0</v>
      </c>
      <c r="F1050" s="3" t="s">
        <v>14</v>
      </c>
      <c r="G1050" s="3"/>
      <c r="H1050" s="6">
        <v>8.075533412E9</v>
      </c>
      <c r="I1050" s="6" t="s">
        <v>3274</v>
      </c>
      <c r="J1050" s="6" t="s">
        <v>16</v>
      </c>
      <c r="K1050" s="6" t="s">
        <v>61</v>
      </c>
      <c r="L1050" s="6" t="s">
        <v>3275</v>
      </c>
    </row>
    <row r="1051" ht="22.5" customHeight="1">
      <c r="A1051" s="5">
        <v>46176.982297615745</v>
      </c>
      <c r="B1051" s="6" t="s">
        <v>3276</v>
      </c>
      <c r="C1051" s="6" t="s">
        <v>3277</v>
      </c>
      <c r="D1051" s="3" t="str">
        <f t="shared" si="1"/>
        <v>AE-1050</v>
      </c>
      <c r="E1051" s="3">
        <f t="array" ref="E1051">IFERROR(XLOOKUP(D1051,'Astronomy 101 Week 1 Quiz (Resp'!F:F,'Astronomy 101 Week 1 Quiz (Resp'!E:E),0)</f>
        <v>0</v>
      </c>
      <c r="F1051" s="3" t="s">
        <v>14</v>
      </c>
      <c r="G1051" s="3"/>
      <c r="H1051" s="6">
        <v>7.306121859E9</v>
      </c>
      <c r="I1051" s="6" t="s">
        <v>3278</v>
      </c>
      <c r="J1051" s="6" t="s">
        <v>16</v>
      </c>
      <c r="K1051" s="6" t="s">
        <v>47</v>
      </c>
      <c r="L1051" s="6" t="s">
        <v>3279</v>
      </c>
    </row>
    <row r="1052" ht="22.5" customHeight="1">
      <c r="A1052" s="5">
        <v>46176.98304666667</v>
      </c>
      <c r="B1052" s="6" t="s">
        <v>740</v>
      </c>
      <c r="C1052" s="6" t="s">
        <v>741</v>
      </c>
      <c r="D1052" s="3" t="str">
        <f t="shared" si="1"/>
        <v>AE-1051</v>
      </c>
      <c r="E1052" s="3">
        <f t="array" ref="E1052">IFERROR(XLOOKUP(D1052,'Astronomy 101 Week 1 Quiz (Resp'!F:F,'Astronomy 101 Week 1 Quiz (Resp'!E:E),0)</f>
        <v>0</v>
      </c>
      <c r="F1052" s="3" t="s">
        <v>14</v>
      </c>
      <c r="G1052" s="3"/>
      <c r="H1052" s="6">
        <v>9.474153514E9</v>
      </c>
      <c r="I1052" s="6" t="s">
        <v>3280</v>
      </c>
      <c r="J1052" s="6" t="s">
        <v>16</v>
      </c>
      <c r="K1052" s="6" t="s">
        <v>17</v>
      </c>
      <c r="L1052" s="6" t="s">
        <v>3281</v>
      </c>
    </row>
    <row r="1053" ht="22.5" customHeight="1">
      <c r="A1053" s="5">
        <v>46176.98416894676</v>
      </c>
      <c r="B1053" s="6" t="s">
        <v>3282</v>
      </c>
      <c r="C1053" s="6" t="s">
        <v>3283</v>
      </c>
      <c r="D1053" s="3" t="str">
        <f t="shared" si="1"/>
        <v>AE-1052</v>
      </c>
      <c r="E1053" s="3">
        <f t="array" ref="E1053">IFERROR(XLOOKUP(D1053,'Astronomy 101 Week 1 Quiz (Resp'!F:F,'Astronomy 101 Week 1 Quiz (Resp'!E:E),0)</f>
        <v>0</v>
      </c>
      <c r="F1053" s="3" t="s">
        <v>14</v>
      </c>
      <c r="G1053" s="3"/>
      <c r="H1053" s="6">
        <v>7.217755795E9</v>
      </c>
      <c r="I1053" s="6" t="s">
        <v>3284</v>
      </c>
      <c r="J1053" s="6" t="s">
        <v>16</v>
      </c>
      <c r="K1053" s="6" t="s">
        <v>17</v>
      </c>
    </row>
    <row r="1054" ht="22.5" customHeight="1">
      <c r="A1054" s="5">
        <v>46176.98542880787</v>
      </c>
      <c r="B1054" s="6" t="s">
        <v>3285</v>
      </c>
      <c r="C1054" s="6" t="s">
        <v>3286</v>
      </c>
      <c r="D1054" s="3" t="str">
        <f t="shared" si="1"/>
        <v>AE-1053</v>
      </c>
      <c r="E1054" s="3">
        <f t="array" ref="E1054">IFERROR(XLOOKUP(D1054,'Astronomy 101 Week 1 Quiz (Resp'!F:F,'Astronomy 101 Week 1 Quiz (Resp'!E:E),0)</f>
        <v>0</v>
      </c>
      <c r="F1054" s="3" t="s">
        <v>14</v>
      </c>
      <c r="G1054" s="3"/>
      <c r="H1054" s="6">
        <v>9.745143745E9</v>
      </c>
      <c r="I1054" s="6" t="s">
        <v>3287</v>
      </c>
      <c r="J1054" s="6" t="s">
        <v>16</v>
      </c>
      <c r="K1054" s="6" t="s">
        <v>82</v>
      </c>
    </row>
    <row r="1055" ht="22.5" customHeight="1">
      <c r="A1055" s="5">
        <v>46176.98851553241</v>
      </c>
      <c r="B1055" s="6" t="s">
        <v>3288</v>
      </c>
      <c r="C1055" s="6" t="s">
        <v>3289</v>
      </c>
      <c r="D1055" s="3" t="str">
        <f t="shared" si="1"/>
        <v>AE-1054</v>
      </c>
      <c r="E1055" s="3">
        <f t="array" ref="E1055">IFERROR(XLOOKUP(D1055,'Astronomy 101 Week 1 Quiz (Resp'!F:F,'Astronomy 101 Week 1 Quiz (Resp'!E:E),0)</f>
        <v>0</v>
      </c>
      <c r="F1055" s="3" t="s">
        <v>14</v>
      </c>
      <c r="G1055" s="3"/>
      <c r="H1055" s="6">
        <v>6.238987247E9</v>
      </c>
      <c r="I1055" s="6" t="s">
        <v>3069</v>
      </c>
      <c r="J1055" s="6" t="s">
        <v>16</v>
      </c>
      <c r="K1055" s="6" t="s">
        <v>47</v>
      </c>
      <c r="L1055" s="6" t="s">
        <v>3290</v>
      </c>
    </row>
    <row r="1056" ht="22.5" customHeight="1">
      <c r="A1056" s="5">
        <v>46176.98874539352</v>
      </c>
      <c r="B1056" s="6" t="s">
        <v>3291</v>
      </c>
      <c r="C1056" s="6" t="s">
        <v>3292</v>
      </c>
      <c r="D1056" s="3" t="str">
        <f t="shared" si="1"/>
        <v>AE-1055</v>
      </c>
      <c r="E1056" s="3">
        <f t="array" ref="E1056">IFERROR(XLOOKUP(D1056,'Astronomy 101 Week 1 Quiz (Resp'!F:F,'Astronomy 101 Week 1 Quiz (Resp'!E:E),0)</f>
        <v>0</v>
      </c>
      <c r="F1056" s="3" t="s">
        <v>14</v>
      </c>
      <c r="G1056" s="3"/>
      <c r="H1056" s="6">
        <v>8.848018156E9</v>
      </c>
      <c r="I1056" s="6" t="s">
        <v>3108</v>
      </c>
      <c r="J1056" s="6" t="s">
        <v>16</v>
      </c>
      <c r="K1056" s="6" t="s">
        <v>47</v>
      </c>
      <c r="L1056" s="6" t="s">
        <v>3293</v>
      </c>
    </row>
    <row r="1057" ht="22.5" customHeight="1">
      <c r="A1057" s="5">
        <v>46176.99378104167</v>
      </c>
      <c r="B1057" s="6" t="s">
        <v>3294</v>
      </c>
      <c r="C1057" s="6" t="s">
        <v>3295</v>
      </c>
      <c r="D1057" s="3" t="str">
        <f t="shared" si="1"/>
        <v>AE-1056</v>
      </c>
      <c r="E1057" s="3">
        <f t="array" ref="E1057">IFERROR(XLOOKUP(D1057,'Astronomy 101 Week 1 Quiz (Resp'!F:F,'Astronomy 101 Week 1 Quiz (Resp'!E:E),0)</f>
        <v>0</v>
      </c>
      <c r="F1057" s="3" t="s">
        <v>14</v>
      </c>
      <c r="G1057" s="3"/>
      <c r="H1057" s="6">
        <v>8.700574563E9</v>
      </c>
      <c r="I1057" s="6" t="s">
        <v>3187</v>
      </c>
      <c r="J1057" s="6" t="s">
        <v>16</v>
      </c>
      <c r="K1057" s="6" t="s">
        <v>82</v>
      </c>
      <c r="L1057" s="6" t="s">
        <v>3296</v>
      </c>
    </row>
    <row r="1058" ht="22.5" customHeight="1">
      <c r="A1058" s="5">
        <v>46177.017644259264</v>
      </c>
      <c r="B1058" s="6" t="s">
        <v>3297</v>
      </c>
      <c r="C1058" s="6" t="s">
        <v>3298</v>
      </c>
      <c r="D1058" s="3" t="str">
        <f t="shared" si="1"/>
        <v>AE-1057</v>
      </c>
      <c r="E1058" s="3">
        <f t="array" ref="E1058">IFERROR(XLOOKUP(D1058,'Astronomy 101 Week 1 Quiz (Resp'!F:F,'Astronomy 101 Week 1 Quiz (Resp'!E:E),0)</f>
        <v>0</v>
      </c>
      <c r="F1058" s="3" t="s">
        <v>14</v>
      </c>
      <c r="G1058" s="3"/>
      <c r="H1058" s="6">
        <v>8.921626799E9</v>
      </c>
      <c r="I1058" s="6" t="s">
        <v>3108</v>
      </c>
      <c r="J1058" s="6" t="s">
        <v>16</v>
      </c>
      <c r="K1058" s="6" t="s">
        <v>61</v>
      </c>
      <c r="L1058" s="6" t="s">
        <v>3299</v>
      </c>
    </row>
    <row r="1059" ht="22.5" customHeight="1">
      <c r="A1059" s="5">
        <v>46177.0178474537</v>
      </c>
      <c r="B1059" s="6" t="s">
        <v>3300</v>
      </c>
      <c r="C1059" s="6" t="s">
        <v>3301</v>
      </c>
      <c r="D1059" s="3" t="str">
        <f t="shared" si="1"/>
        <v>AE-1058</v>
      </c>
      <c r="E1059" s="3">
        <f t="array" ref="E1059">IFERROR(XLOOKUP(D1059,'Astronomy 101 Week 1 Quiz (Resp'!F:F,'Astronomy 101 Week 1 Quiz (Resp'!E:E),0)</f>
        <v>0</v>
      </c>
      <c r="F1059" s="3" t="s">
        <v>734</v>
      </c>
      <c r="G1059" s="3" t="s">
        <v>3302</v>
      </c>
      <c r="H1059" s="6" t="s">
        <v>3303</v>
      </c>
      <c r="I1059" s="6" t="s">
        <v>3304</v>
      </c>
      <c r="J1059" s="6" t="s">
        <v>16</v>
      </c>
      <c r="K1059" s="6" t="s">
        <v>17</v>
      </c>
    </row>
    <row r="1060" ht="22.5" customHeight="1">
      <c r="A1060" s="5">
        <v>46177.04409865741</v>
      </c>
      <c r="B1060" s="6" t="s">
        <v>3305</v>
      </c>
      <c r="C1060" s="6" t="s">
        <v>3306</v>
      </c>
      <c r="D1060" s="3" t="str">
        <f t="shared" si="1"/>
        <v>AE-1059</v>
      </c>
      <c r="E1060" s="3">
        <f t="array" ref="E1060">IFERROR(XLOOKUP(D1060,'Astronomy 101 Week 1 Quiz (Resp'!F:F,'Astronomy 101 Week 1 Quiz (Resp'!E:E),0)</f>
        <v>0</v>
      </c>
      <c r="F1060" s="3" t="s">
        <v>14</v>
      </c>
      <c r="G1060" s="3"/>
      <c r="H1060" s="6">
        <v>9.846413362E9</v>
      </c>
      <c r="I1060" s="6" t="s">
        <v>3307</v>
      </c>
      <c r="J1060" s="6" t="s">
        <v>16</v>
      </c>
      <c r="K1060" s="6" t="s">
        <v>61</v>
      </c>
      <c r="L1060" s="6" t="s">
        <v>3308</v>
      </c>
    </row>
    <row r="1061" ht="22.5" customHeight="1">
      <c r="A1061" s="5">
        <v>46177.063593391205</v>
      </c>
      <c r="B1061" s="6" t="s">
        <v>3309</v>
      </c>
      <c r="C1061" s="6" t="s">
        <v>3310</v>
      </c>
      <c r="D1061" s="3" t="str">
        <f t="shared" si="1"/>
        <v>AE-1060</v>
      </c>
      <c r="E1061" s="3">
        <f t="array" ref="E1061">IFERROR(XLOOKUP(D1061,'Astronomy 101 Week 1 Quiz (Resp'!F:F,'Astronomy 101 Week 1 Quiz (Resp'!E:E),0)</f>
        <v>0</v>
      </c>
      <c r="F1061" s="3" t="s">
        <v>14</v>
      </c>
      <c r="G1061" s="3"/>
      <c r="H1061" s="6">
        <v>9.629296324E9</v>
      </c>
      <c r="I1061" s="6" t="s">
        <v>3311</v>
      </c>
      <c r="J1061" s="6" t="s">
        <v>16</v>
      </c>
      <c r="K1061" s="6" t="s">
        <v>82</v>
      </c>
      <c r="L1061" s="6" t="s">
        <v>3312</v>
      </c>
    </row>
    <row r="1062" ht="22.5" customHeight="1">
      <c r="A1062" s="5">
        <v>46177.064911388894</v>
      </c>
      <c r="B1062" s="6" t="s">
        <v>3313</v>
      </c>
      <c r="C1062" s="6" t="s">
        <v>3314</v>
      </c>
      <c r="D1062" s="3" t="str">
        <f t="shared" si="1"/>
        <v>AE-1061</v>
      </c>
      <c r="E1062" s="3">
        <f t="array" ref="E1062">IFERROR(XLOOKUP(D1062,'Astronomy 101 Week 1 Quiz (Resp'!F:F,'Astronomy 101 Week 1 Quiz (Resp'!E:E),0)</f>
        <v>0</v>
      </c>
      <c r="F1062" s="3" t="s">
        <v>14</v>
      </c>
      <c r="G1062" s="3"/>
      <c r="H1062" s="6">
        <v>8.79197887E9</v>
      </c>
      <c r="I1062" s="6" t="s">
        <v>3315</v>
      </c>
      <c r="J1062" s="6" t="s">
        <v>16</v>
      </c>
      <c r="K1062" s="6" t="s">
        <v>82</v>
      </c>
    </row>
    <row r="1063" ht="22.5" customHeight="1">
      <c r="A1063" s="5">
        <v>46177.06952113426</v>
      </c>
      <c r="B1063" s="6" t="s">
        <v>3316</v>
      </c>
      <c r="C1063" s="6" t="s">
        <v>3317</v>
      </c>
      <c r="D1063" s="3" t="str">
        <f t="shared" si="1"/>
        <v>AE-1062</v>
      </c>
      <c r="E1063" s="3">
        <f t="array" ref="E1063">IFERROR(XLOOKUP(D1063,'Astronomy 101 Week 1 Quiz (Resp'!F:F,'Astronomy 101 Week 1 Quiz (Resp'!E:E),0)</f>
        <v>0</v>
      </c>
      <c r="F1063" s="3" t="s">
        <v>14</v>
      </c>
      <c r="G1063" s="3"/>
      <c r="H1063" s="6">
        <v>8.553745678E9</v>
      </c>
      <c r="I1063" s="6" t="s">
        <v>3318</v>
      </c>
      <c r="J1063" s="6" t="s">
        <v>16</v>
      </c>
      <c r="K1063" s="6" t="s">
        <v>17</v>
      </c>
    </row>
    <row r="1064" ht="22.5" customHeight="1">
      <c r="A1064" s="5">
        <v>46177.09454114584</v>
      </c>
      <c r="B1064" s="6" t="s">
        <v>3319</v>
      </c>
      <c r="C1064" s="6" t="s">
        <v>3320</v>
      </c>
      <c r="D1064" s="3" t="str">
        <f t="shared" si="1"/>
        <v>AE-1063</v>
      </c>
      <c r="E1064" s="3">
        <f t="array" ref="E1064">IFERROR(XLOOKUP(D1064,'Astronomy 101 Week 1 Quiz (Resp'!F:F,'Astronomy 101 Week 1 Quiz (Resp'!E:E),0)</f>
        <v>0</v>
      </c>
      <c r="F1064" s="3" t="s">
        <v>14</v>
      </c>
      <c r="G1064" s="3"/>
      <c r="H1064" s="6">
        <v>9.932058783E9</v>
      </c>
      <c r="I1064" s="6" t="s">
        <v>1956</v>
      </c>
      <c r="J1064" s="6" t="s">
        <v>16</v>
      </c>
      <c r="K1064" s="6" t="s">
        <v>43</v>
      </c>
    </row>
    <row r="1065" ht="22.5" customHeight="1">
      <c r="A1065" s="5">
        <v>46177.13027887732</v>
      </c>
      <c r="B1065" s="6" t="s">
        <v>3321</v>
      </c>
      <c r="C1065" s="6" t="s">
        <v>3322</v>
      </c>
      <c r="D1065" s="3" t="str">
        <f t="shared" si="1"/>
        <v>AE-1064</v>
      </c>
      <c r="E1065" s="3">
        <f t="array" ref="E1065">IFERROR(XLOOKUP(D1065,'Astronomy 101 Week 1 Quiz (Resp'!F:F,'Astronomy 101 Week 1 Quiz (Resp'!E:E),0)</f>
        <v>37</v>
      </c>
      <c r="F1065" s="3" t="s">
        <v>14</v>
      </c>
      <c r="G1065" s="3"/>
      <c r="H1065" s="6" t="s">
        <v>3323</v>
      </c>
      <c r="I1065" s="6" t="s">
        <v>3324</v>
      </c>
      <c r="J1065" s="6" t="s">
        <v>16</v>
      </c>
      <c r="K1065" s="6" t="s">
        <v>25</v>
      </c>
      <c r="L1065" s="6" t="s">
        <v>3325</v>
      </c>
    </row>
    <row r="1066" ht="22.5" customHeight="1">
      <c r="A1066" s="5">
        <v>46177.13058615741</v>
      </c>
      <c r="B1066" s="6" t="s">
        <v>3326</v>
      </c>
      <c r="C1066" s="6" t="s">
        <v>3327</v>
      </c>
      <c r="D1066" s="3" t="str">
        <f t="shared" si="1"/>
        <v>AE-1065</v>
      </c>
      <c r="E1066" s="3">
        <f t="array" ref="E1066">IFERROR(XLOOKUP(D1066,'Astronomy 101 Week 1 Quiz (Resp'!F:F,'Astronomy 101 Week 1 Quiz (Resp'!E:E),0)</f>
        <v>0</v>
      </c>
      <c r="F1066" s="3" t="s">
        <v>14</v>
      </c>
      <c r="G1066" s="3"/>
      <c r="H1066" s="6">
        <v>9.87554515E9</v>
      </c>
      <c r="I1066" s="6" t="s">
        <v>3328</v>
      </c>
      <c r="J1066" s="6" t="s">
        <v>16</v>
      </c>
      <c r="K1066" s="6" t="s">
        <v>17</v>
      </c>
      <c r="L1066" s="6" t="s">
        <v>3329</v>
      </c>
    </row>
    <row r="1067" ht="22.5" customHeight="1">
      <c r="A1067" s="5">
        <v>46177.25569670139</v>
      </c>
      <c r="B1067" s="6" t="s">
        <v>3330</v>
      </c>
      <c r="C1067" s="6" t="s">
        <v>3331</v>
      </c>
      <c r="D1067" s="3" t="str">
        <f t="shared" si="1"/>
        <v>AE-1066</v>
      </c>
      <c r="E1067" s="3">
        <f t="array" ref="E1067">IFERROR(XLOOKUP(D1067,'Astronomy 101 Week 1 Quiz (Resp'!F:F,'Astronomy 101 Week 1 Quiz (Resp'!E:E),0)</f>
        <v>0</v>
      </c>
      <c r="F1067" s="3" t="s">
        <v>14</v>
      </c>
      <c r="G1067" s="3"/>
      <c r="H1067" s="6">
        <v>8.248680845E9</v>
      </c>
      <c r="I1067" s="6" t="s">
        <v>3332</v>
      </c>
      <c r="J1067" s="6" t="s">
        <v>16</v>
      </c>
      <c r="K1067" s="6" t="s">
        <v>47</v>
      </c>
    </row>
    <row r="1068" ht="22.5" customHeight="1">
      <c r="A1068" s="5">
        <v>46177.303631793984</v>
      </c>
      <c r="B1068" s="6" t="s">
        <v>3333</v>
      </c>
      <c r="C1068" s="6" t="s">
        <v>3334</v>
      </c>
      <c r="D1068" s="3" t="str">
        <f t="shared" si="1"/>
        <v>AE-1067</v>
      </c>
      <c r="E1068" s="3">
        <f t="array" ref="E1068">IFERROR(XLOOKUP(D1068,'Astronomy 101 Week 1 Quiz (Resp'!F:F,'Astronomy 101 Week 1 Quiz (Resp'!E:E),0)</f>
        <v>39</v>
      </c>
      <c r="F1068" s="3" t="s">
        <v>14</v>
      </c>
      <c r="G1068" s="3"/>
      <c r="H1068" s="6">
        <v>9.20786441E9</v>
      </c>
      <c r="I1068" s="6" t="s">
        <v>3335</v>
      </c>
      <c r="J1068" s="6" t="s">
        <v>16</v>
      </c>
      <c r="K1068" s="6" t="s">
        <v>25</v>
      </c>
    </row>
    <row r="1069" ht="22.5" customHeight="1">
      <c r="A1069" s="5">
        <v>46177.317362534726</v>
      </c>
      <c r="B1069" s="6" t="s">
        <v>3336</v>
      </c>
      <c r="C1069" s="6" t="s">
        <v>3337</v>
      </c>
      <c r="D1069" s="3" t="str">
        <f t="shared" si="1"/>
        <v>AE-1068</v>
      </c>
      <c r="E1069" s="3">
        <f t="array" ref="E1069">IFERROR(XLOOKUP(D1069,'Astronomy 101 Week 1 Quiz (Resp'!F:F,'Astronomy 101 Week 1 Quiz (Resp'!E:E),0)</f>
        <v>0</v>
      </c>
      <c r="F1069" s="3" t="s">
        <v>14</v>
      </c>
      <c r="G1069" s="3"/>
      <c r="H1069" s="6">
        <v>7.034170623E9</v>
      </c>
      <c r="I1069" s="6" t="s">
        <v>3338</v>
      </c>
      <c r="J1069" s="6" t="s">
        <v>16</v>
      </c>
      <c r="K1069" s="6" t="s">
        <v>61</v>
      </c>
      <c r="L1069" s="6" t="s">
        <v>3339</v>
      </c>
    </row>
    <row r="1070" ht="22.5" customHeight="1">
      <c r="A1070" s="5">
        <v>46177.33944008102</v>
      </c>
      <c r="B1070" s="6" t="s">
        <v>3340</v>
      </c>
      <c r="C1070" s="6" t="s">
        <v>3341</v>
      </c>
      <c r="D1070" s="3" t="str">
        <f t="shared" si="1"/>
        <v>AE-1069</v>
      </c>
      <c r="E1070" s="3">
        <f t="array" ref="E1070">IFERROR(XLOOKUP(D1070,'Astronomy 101 Week 1 Quiz (Resp'!F:F,'Astronomy 101 Week 1 Quiz (Resp'!E:E),0)</f>
        <v>0</v>
      </c>
      <c r="F1070" s="3" t="s">
        <v>14</v>
      </c>
      <c r="G1070" s="3"/>
      <c r="H1070" s="6">
        <v>9.369384587E9</v>
      </c>
      <c r="I1070" s="6" t="s">
        <v>3342</v>
      </c>
      <c r="J1070" s="6" t="s">
        <v>16</v>
      </c>
      <c r="K1070" s="6" t="s">
        <v>61</v>
      </c>
      <c r="L1070" s="6" t="s">
        <v>3343</v>
      </c>
    </row>
    <row r="1071" ht="22.5" customHeight="1">
      <c r="A1071" s="5">
        <v>46177.811488217594</v>
      </c>
      <c r="B1071" s="6" t="s">
        <v>3344</v>
      </c>
      <c r="C1071" s="6" t="s">
        <v>2315</v>
      </c>
      <c r="D1071" s="3" t="str">
        <f t="shared" si="1"/>
        <v>AE-1070</v>
      </c>
      <c r="E1071" s="3">
        <f t="array" ref="E1071">IFERROR(XLOOKUP(D1071,'Astronomy 101 Week 1 Quiz (Resp'!F:F,'Astronomy 101 Week 1 Quiz (Resp'!E:E),0)</f>
        <v>0</v>
      </c>
      <c r="F1071" s="3" t="s">
        <v>14</v>
      </c>
      <c r="G1071" s="3"/>
      <c r="H1071" s="6">
        <v>6.204371419E9</v>
      </c>
      <c r="I1071" s="6" t="s">
        <v>2316</v>
      </c>
      <c r="J1071" s="6" t="s">
        <v>16</v>
      </c>
      <c r="K1071" s="6" t="s">
        <v>17</v>
      </c>
    </row>
    <row r="1072" ht="22.5" customHeight="1">
      <c r="A1072" s="5">
        <v>46177.81158206018</v>
      </c>
      <c r="B1072" s="6" t="s">
        <v>3345</v>
      </c>
      <c r="C1072" s="6" t="s">
        <v>3346</v>
      </c>
      <c r="D1072" s="3" t="str">
        <f t="shared" si="1"/>
        <v>AE-1071</v>
      </c>
      <c r="E1072" s="3">
        <f t="array" ref="E1072">IFERROR(XLOOKUP(D1072,'Astronomy 101 Week 1 Quiz (Resp'!F:F,'Astronomy 101 Week 1 Quiz (Resp'!E:E),0)</f>
        <v>0</v>
      </c>
      <c r="F1072" s="3" t="s">
        <v>14</v>
      </c>
      <c r="G1072" s="3"/>
      <c r="H1072" s="6">
        <v>9.89913967E9</v>
      </c>
      <c r="I1072" s="6" t="s">
        <v>3347</v>
      </c>
      <c r="J1072" s="6" t="s">
        <v>16</v>
      </c>
      <c r="K1072" s="6" t="s">
        <v>21</v>
      </c>
      <c r="L1072" s="6" t="s">
        <v>3348</v>
      </c>
    </row>
    <row r="1073" ht="22.5" customHeight="1">
      <c r="A1073" s="5">
        <v>46177.81163673611</v>
      </c>
      <c r="B1073" s="6" t="s">
        <v>1477</v>
      </c>
      <c r="C1073" s="6" t="s">
        <v>1478</v>
      </c>
      <c r="D1073" s="3" t="str">
        <f t="shared" si="1"/>
        <v>AE-1072</v>
      </c>
      <c r="E1073" s="3">
        <f t="array" ref="E1073">IFERROR(XLOOKUP(D1073,'Astronomy 101 Week 1 Quiz (Resp'!F:F,'Astronomy 101 Week 1 Quiz (Resp'!E:E),0)</f>
        <v>0</v>
      </c>
      <c r="F1073" s="3" t="s">
        <v>14</v>
      </c>
      <c r="G1073" s="3"/>
      <c r="H1073" s="6">
        <v>6.289954702E9</v>
      </c>
      <c r="I1073" s="6" t="s">
        <v>1609</v>
      </c>
      <c r="J1073" s="6" t="s">
        <v>16</v>
      </c>
      <c r="K1073" s="6" t="s">
        <v>17</v>
      </c>
      <c r="L1073" s="6" t="s">
        <v>3349</v>
      </c>
    </row>
    <row r="1074" ht="22.5" customHeight="1">
      <c r="A1074" s="5">
        <v>46177.812222256944</v>
      </c>
      <c r="B1074" s="6" t="s">
        <v>3350</v>
      </c>
      <c r="C1074" s="6" t="s">
        <v>3351</v>
      </c>
      <c r="D1074" s="3" t="str">
        <f t="shared" si="1"/>
        <v>AE-1073</v>
      </c>
      <c r="E1074" s="3">
        <f t="array" ref="E1074">IFERROR(XLOOKUP(D1074,'Astronomy 101 Week 1 Quiz (Resp'!F:F,'Astronomy 101 Week 1 Quiz (Resp'!E:E),0)</f>
        <v>23</v>
      </c>
      <c r="F1074" s="3" t="s">
        <v>14</v>
      </c>
      <c r="G1074" s="3"/>
      <c r="H1074" s="6">
        <v>7.696904849E9</v>
      </c>
      <c r="I1074" s="6" t="s">
        <v>3352</v>
      </c>
      <c r="J1074" s="6" t="s">
        <v>16</v>
      </c>
      <c r="K1074" s="6" t="s">
        <v>47</v>
      </c>
    </row>
    <row r="1075" ht="22.5" customHeight="1">
      <c r="A1075" s="5">
        <v>46177.812924467595</v>
      </c>
      <c r="B1075" s="6" t="s">
        <v>3353</v>
      </c>
      <c r="C1075" s="6" t="s">
        <v>3354</v>
      </c>
      <c r="D1075" s="3" t="str">
        <f t="shared" si="1"/>
        <v>AE-1074</v>
      </c>
      <c r="E1075" s="3">
        <f t="array" ref="E1075">IFERROR(XLOOKUP(D1075,'Astronomy 101 Week 1 Quiz (Resp'!F:F,'Astronomy 101 Week 1 Quiz (Resp'!E:E),0)</f>
        <v>0</v>
      </c>
      <c r="F1075" s="3" t="s">
        <v>14</v>
      </c>
      <c r="G1075" s="3"/>
      <c r="H1075" s="6">
        <v>9.711936896E9</v>
      </c>
      <c r="I1075" s="6" t="s">
        <v>3355</v>
      </c>
      <c r="J1075" s="6" t="s">
        <v>16</v>
      </c>
      <c r="K1075" s="6" t="s">
        <v>47</v>
      </c>
      <c r="L1075" s="6" t="s">
        <v>3356</v>
      </c>
    </row>
    <row r="1076" ht="22.5" customHeight="1">
      <c r="A1076" s="5">
        <v>46177.81373792824</v>
      </c>
      <c r="B1076" s="6" t="s">
        <v>3357</v>
      </c>
      <c r="C1076" s="6" t="s">
        <v>3358</v>
      </c>
      <c r="D1076" s="3" t="str">
        <f t="shared" si="1"/>
        <v>AE-1075</v>
      </c>
      <c r="E1076" s="3">
        <f t="array" ref="E1076">IFERROR(XLOOKUP(D1076,'Astronomy 101 Week 1 Quiz (Resp'!F:F,'Astronomy 101 Week 1 Quiz (Resp'!E:E),0)</f>
        <v>0</v>
      </c>
      <c r="F1076" s="3" t="s">
        <v>14</v>
      </c>
      <c r="G1076" s="3"/>
      <c r="H1076" s="6">
        <v>9.361764989E9</v>
      </c>
      <c r="I1076" s="6" t="s">
        <v>3088</v>
      </c>
      <c r="J1076" s="6" t="s">
        <v>16</v>
      </c>
      <c r="K1076" s="6" t="s">
        <v>21</v>
      </c>
      <c r="L1076" s="6" t="s">
        <v>3359</v>
      </c>
    </row>
    <row r="1077" ht="22.5" customHeight="1">
      <c r="A1077" s="5">
        <v>46177.81374912037</v>
      </c>
      <c r="B1077" s="6" t="s">
        <v>2121</v>
      </c>
      <c r="C1077" s="6" t="s">
        <v>2122</v>
      </c>
      <c r="D1077" s="3" t="str">
        <f t="shared" si="1"/>
        <v>AE-1076</v>
      </c>
      <c r="E1077" s="3">
        <f t="array" ref="E1077">IFERROR(XLOOKUP(D1077,'Astronomy 101 Week 1 Quiz (Resp'!F:F,'Astronomy 101 Week 1 Quiz (Resp'!E:E),0)</f>
        <v>0</v>
      </c>
      <c r="F1077" s="3" t="s">
        <v>14</v>
      </c>
      <c r="G1077" s="3"/>
      <c r="H1077" s="6">
        <v>6.371776313E9</v>
      </c>
      <c r="I1077" s="6" t="s">
        <v>662</v>
      </c>
      <c r="J1077" s="6" t="s">
        <v>16</v>
      </c>
      <c r="K1077" s="6" t="s">
        <v>61</v>
      </c>
      <c r="L1077" s="6" t="s">
        <v>3360</v>
      </c>
    </row>
    <row r="1078" ht="22.5" customHeight="1">
      <c r="A1078" s="5">
        <v>46177.81426039352</v>
      </c>
      <c r="B1078" s="6" t="s">
        <v>393</v>
      </c>
      <c r="C1078" s="6" t="s">
        <v>394</v>
      </c>
      <c r="D1078" s="3" t="str">
        <f t="shared" si="1"/>
        <v>AE-1077</v>
      </c>
      <c r="E1078" s="3">
        <f t="array" ref="E1078">IFERROR(XLOOKUP(D1078,'Astronomy 101 Week 1 Quiz (Resp'!F:F,'Astronomy 101 Week 1 Quiz (Resp'!E:E),0)</f>
        <v>0</v>
      </c>
      <c r="F1078" s="3" t="s">
        <v>14</v>
      </c>
      <c r="G1078" s="3"/>
      <c r="H1078" s="6">
        <v>8.01038184E9</v>
      </c>
      <c r="I1078" s="6" t="s">
        <v>387</v>
      </c>
      <c r="J1078" s="6" t="s">
        <v>16</v>
      </c>
      <c r="K1078" s="6" t="s">
        <v>61</v>
      </c>
      <c r="L1078" s="6" t="s">
        <v>962</v>
      </c>
    </row>
    <row r="1079" ht="22.5" customHeight="1">
      <c r="A1079" s="5">
        <v>46177.814712569445</v>
      </c>
      <c r="B1079" s="6" t="s">
        <v>3361</v>
      </c>
      <c r="C1079" s="6" t="s">
        <v>3362</v>
      </c>
      <c r="D1079" s="3" t="str">
        <f t="shared" si="1"/>
        <v>AE-1078</v>
      </c>
      <c r="E1079" s="3">
        <f t="array" ref="E1079">IFERROR(XLOOKUP(D1079,'Astronomy 101 Week 1 Quiz (Resp'!F:F,'Astronomy 101 Week 1 Quiz (Resp'!E:E),0)</f>
        <v>0</v>
      </c>
      <c r="F1079" s="3" t="s">
        <v>14</v>
      </c>
      <c r="G1079" s="3"/>
      <c r="H1079" s="6">
        <v>8.015600508E9</v>
      </c>
      <c r="I1079" s="6" t="s">
        <v>3088</v>
      </c>
      <c r="J1079" s="6" t="s">
        <v>16</v>
      </c>
      <c r="K1079" s="6" t="s">
        <v>47</v>
      </c>
      <c r="L1079" s="6" t="s">
        <v>3363</v>
      </c>
    </row>
    <row r="1080" ht="22.5" customHeight="1">
      <c r="A1080" s="5">
        <v>46177.81657923611</v>
      </c>
      <c r="B1080" s="6" t="s">
        <v>3364</v>
      </c>
      <c r="C1080" s="6" t="s">
        <v>3365</v>
      </c>
      <c r="D1080" s="3" t="str">
        <f t="shared" si="1"/>
        <v>AE-1079</v>
      </c>
      <c r="E1080" s="3">
        <f t="array" ref="E1080">IFERROR(XLOOKUP(D1080,'Astronomy 101 Week 1 Quiz (Resp'!F:F,'Astronomy 101 Week 1 Quiz (Resp'!E:E),0)</f>
        <v>0</v>
      </c>
      <c r="F1080" s="3" t="s">
        <v>14</v>
      </c>
      <c r="G1080" s="3"/>
      <c r="H1080" s="6">
        <v>9.344209477E9</v>
      </c>
      <c r="I1080" s="6" t="s">
        <v>3222</v>
      </c>
      <c r="J1080" s="6" t="s">
        <v>16</v>
      </c>
      <c r="K1080" s="6" t="s">
        <v>82</v>
      </c>
      <c r="L1080" s="6" t="s">
        <v>3366</v>
      </c>
    </row>
    <row r="1081" ht="22.5" customHeight="1">
      <c r="A1081" s="5">
        <v>46177.81915019676</v>
      </c>
      <c r="B1081" s="6" t="s">
        <v>342</v>
      </c>
      <c r="C1081" s="6" t="s">
        <v>343</v>
      </c>
      <c r="D1081" s="3" t="str">
        <f t="shared" si="1"/>
        <v>AE-1080</v>
      </c>
      <c r="E1081" s="3">
        <f t="array" ref="E1081">IFERROR(XLOOKUP(D1081,'Astronomy 101 Week 1 Quiz (Resp'!F:F,'Astronomy 101 Week 1 Quiz (Resp'!E:E),0)</f>
        <v>0</v>
      </c>
      <c r="F1081" s="3" t="s">
        <v>14</v>
      </c>
      <c r="G1081" s="3"/>
      <c r="H1081" s="6">
        <v>8.606865067E9</v>
      </c>
      <c r="I1081" s="6" t="s">
        <v>344</v>
      </c>
      <c r="J1081" s="6" t="s">
        <v>16</v>
      </c>
      <c r="K1081" s="6" t="s">
        <v>43</v>
      </c>
      <c r="L1081" s="6" t="s">
        <v>3367</v>
      </c>
    </row>
    <row r="1082" ht="22.5" customHeight="1">
      <c r="A1082" s="5">
        <v>46177.82035045139</v>
      </c>
      <c r="B1082" s="6" t="s">
        <v>3368</v>
      </c>
      <c r="C1082" s="6" t="s">
        <v>2909</v>
      </c>
      <c r="D1082" s="3" t="str">
        <f t="shared" si="1"/>
        <v>AE-1081</v>
      </c>
      <c r="E1082" s="3">
        <f t="array" ref="E1082">IFERROR(XLOOKUP(D1082,'Astronomy 101 Week 1 Quiz (Resp'!F:F,'Astronomy 101 Week 1 Quiz (Resp'!E:E),0)</f>
        <v>0</v>
      </c>
      <c r="F1082" s="3" t="s">
        <v>14</v>
      </c>
      <c r="G1082" s="3"/>
      <c r="H1082" s="6">
        <v>9.398673873E9</v>
      </c>
      <c r="I1082" s="6" t="s">
        <v>2910</v>
      </c>
      <c r="J1082" s="6" t="s">
        <v>16</v>
      </c>
      <c r="K1082" s="6" t="s">
        <v>61</v>
      </c>
      <c r="L1082" s="6" t="s">
        <v>3369</v>
      </c>
    </row>
    <row r="1083" ht="22.5" customHeight="1">
      <c r="A1083" s="5">
        <v>46177.83009751157</v>
      </c>
      <c r="B1083" s="6" t="s">
        <v>1483</v>
      </c>
      <c r="C1083" s="6" t="s">
        <v>3370</v>
      </c>
      <c r="D1083" s="3" t="str">
        <f t="shared" si="1"/>
        <v>AE-1082</v>
      </c>
      <c r="E1083" s="3">
        <f t="array" ref="E1083">IFERROR(XLOOKUP(D1083,'Astronomy 101 Week 1 Quiz (Resp'!F:F,'Astronomy 101 Week 1 Quiz (Resp'!E:E),0)</f>
        <v>0</v>
      </c>
      <c r="F1083" s="3" t="s">
        <v>14</v>
      </c>
      <c r="G1083" s="3"/>
      <c r="H1083" s="6">
        <v>9.423570216E9</v>
      </c>
      <c r="I1083" s="6" t="s">
        <v>3371</v>
      </c>
      <c r="J1083" s="6" t="s">
        <v>16</v>
      </c>
      <c r="K1083" s="6" t="s">
        <v>25</v>
      </c>
      <c r="L1083" s="6" t="s">
        <v>3372</v>
      </c>
    </row>
    <row r="1084" ht="22.5" customHeight="1">
      <c r="A1084" s="5">
        <v>46177.8321491088</v>
      </c>
      <c r="B1084" s="6" t="s">
        <v>3373</v>
      </c>
      <c r="C1084" s="6" t="s">
        <v>3374</v>
      </c>
      <c r="D1084" s="3" t="str">
        <f t="shared" si="1"/>
        <v>AE-1083</v>
      </c>
      <c r="E1084" s="3">
        <f t="array" ref="E1084">IFERROR(XLOOKUP(D1084,'Astronomy 101 Week 1 Quiz (Resp'!F:F,'Astronomy 101 Week 1 Quiz (Resp'!E:E),0)</f>
        <v>0</v>
      </c>
      <c r="F1084" s="3" t="s">
        <v>14</v>
      </c>
      <c r="G1084" s="3"/>
      <c r="H1084" s="6">
        <v>7.980061251E9</v>
      </c>
      <c r="I1084" s="6" t="s">
        <v>1921</v>
      </c>
      <c r="J1084" s="6" t="s">
        <v>16</v>
      </c>
      <c r="K1084" s="6" t="s">
        <v>82</v>
      </c>
      <c r="L1084" s="6" t="s">
        <v>3375</v>
      </c>
    </row>
    <row r="1085" ht="22.5" customHeight="1">
      <c r="A1085" s="5">
        <v>46177.83218293982</v>
      </c>
      <c r="B1085" s="6" t="s">
        <v>3376</v>
      </c>
      <c r="C1085" s="6" t="s">
        <v>3377</v>
      </c>
      <c r="D1085" s="3" t="str">
        <f t="shared" si="1"/>
        <v>AE-1084</v>
      </c>
      <c r="E1085" s="3">
        <f t="array" ref="E1085">IFERROR(XLOOKUP(D1085,'Astronomy 101 Week 1 Quiz (Resp'!F:F,'Astronomy 101 Week 1 Quiz (Resp'!E:E),0)</f>
        <v>30</v>
      </c>
      <c r="F1085" s="3" t="s">
        <v>14</v>
      </c>
      <c r="G1085" s="3"/>
      <c r="H1085" s="6">
        <v>9.92099643E9</v>
      </c>
      <c r="I1085" s="6" t="s">
        <v>3378</v>
      </c>
      <c r="J1085" s="6" t="s">
        <v>16</v>
      </c>
      <c r="K1085" s="6" t="s">
        <v>17</v>
      </c>
      <c r="L1085" s="6" t="s">
        <v>3379</v>
      </c>
    </row>
    <row r="1086" ht="22.5" customHeight="1">
      <c r="A1086" s="5">
        <v>46177.835750115744</v>
      </c>
      <c r="B1086" s="6" t="s">
        <v>1384</v>
      </c>
      <c r="C1086" s="6" t="s">
        <v>3380</v>
      </c>
      <c r="D1086" s="3" t="str">
        <f t="shared" si="1"/>
        <v>AE-1085</v>
      </c>
      <c r="E1086" s="3">
        <f t="array" ref="E1086">IFERROR(XLOOKUP(D1086,'Astronomy 101 Week 1 Quiz (Resp'!F:F,'Astronomy 101 Week 1 Quiz (Resp'!E:E),0)</f>
        <v>0</v>
      </c>
      <c r="F1086" s="3" t="s">
        <v>14</v>
      </c>
      <c r="G1086" s="3"/>
      <c r="H1086" s="6">
        <v>9.832097612E9</v>
      </c>
      <c r="I1086" s="6" t="s">
        <v>3381</v>
      </c>
      <c r="J1086" s="6" t="s">
        <v>16</v>
      </c>
      <c r="K1086" s="6" t="s">
        <v>17</v>
      </c>
      <c r="L1086" s="6" t="s">
        <v>3382</v>
      </c>
    </row>
    <row r="1087" ht="22.5" customHeight="1">
      <c r="A1087" s="5">
        <v>46177.835922488426</v>
      </c>
      <c r="B1087" s="6" t="s">
        <v>3383</v>
      </c>
      <c r="C1087" s="6" t="s">
        <v>3384</v>
      </c>
      <c r="D1087" s="3" t="str">
        <f t="shared" si="1"/>
        <v>AE-1086</v>
      </c>
      <c r="E1087" s="3">
        <f t="array" ref="E1087">IFERROR(XLOOKUP(D1087,'Astronomy 101 Week 1 Quiz (Resp'!F:F,'Astronomy 101 Week 1 Quiz (Resp'!E:E),0)</f>
        <v>0</v>
      </c>
      <c r="F1087" s="3" t="s">
        <v>14</v>
      </c>
      <c r="G1087" s="3"/>
      <c r="H1087" s="6">
        <v>7.60381545E9</v>
      </c>
      <c r="I1087" s="6" t="s">
        <v>3385</v>
      </c>
      <c r="J1087" s="6" t="s">
        <v>16</v>
      </c>
      <c r="K1087" s="6" t="s">
        <v>61</v>
      </c>
      <c r="L1087" s="6" t="s">
        <v>3386</v>
      </c>
    </row>
    <row r="1088" ht="22.5" customHeight="1">
      <c r="A1088" s="5">
        <v>46177.8390809375</v>
      </c>
      <c r="B1088" s="6" t="s">
        <v>1127</v>
      </c>
      <c r="C1088" s="6" t="s">
        <v>1128</v>
      </c>
      <c r="D1088" s="3" t="str">
        <f t="shared" si="1"/>
        <v>AE-1087</v>
      </c>
      <c r="E1088" s="3">
        <f t="array" ref="E1088">IFERROR(XLOOKUP(D1088,'Astronomy 101 Week 1 Quiz (Resp'!F:F,'Astronomy 101 Week 1 Quiz (Resp'!E:E),0)</f>
        <v>0</v>
      </c>
      <c r="F1088" s="3" t="s">
        <v>14</v>
      </c>
      <c r="G1088" s="3"/>
      <c r="H1088" s="6">
        <v>7.803916516E9</v>
      </c>
      <c r="I1088" s="6" t="s">
        <v>1129</v>
      </c>
      <c r="J1088" s="6" t="s">
        <v>16</v>
      </c>
      <c r="K1088" s="6" t="s">
        <v>17</v>
      </c>
    </row>
    <row r="1089" ht="22.5" customHeight="1">
      <c r="A1089" s="5">
        <v>46177.849917060186</v>
      </c>
      <c r="B1089" s="6" t="s">
        <v>3387</v>
      </c>
      <c r="C1089" s="6" t="s">
        <v>3388</v>
      </c>
      <c r="D1089" s="3" t="str">
        <f t="shared" si="1"/>
        <v>AE-1088</v>
      </c>
      <c r="E1089" s="3">
        <f t="array" ref="E1089">IFERROR(XLOOKUP(D1089,'Astronomy 101 Week 1 Quiz (Resp'!F:F,'Astronomy 101 Week 1 Quiz (Resp'!E:E),0)</f>
        <v>0</v>
      </c>
      <c r="F1089" s="3" t="s">
        <v>14</v>
      </c>
      <c r="G1089" s="3"/>
      <c r="H1089" s="6">
        <v>9.092051259E9</v>
      </c>
      <c r="I1089" s="6" t="s">
        <v>3389</v>
      </c>
      <c r="J1089" s="6" t="s">
        <v>16</v>
      </c>
      <c r="K1089" s="6" t="s">
        <v>47</v>
      </c>
    </row>
    <row r="1090" ht="22.5" customHeight="1">
      <c r="A1090" s="5">
        <v>46177.85845622685</v>
      </c>
      <c r="B1090" s="6" t="s">
        <v>3390</v>
      </c>
      <c r="C1090" s="6" t="s">
        <v>3391</v>
      </c>
      <c r="D1090" s="3" t="str">
        <f t="shared" si="1"/>
        <v>AE-1089</v>
      </c>
      <c r="E1090" s="3">
        <f t="array" ref="E1090">IFERROR(XLOOKUP(D1090,'Astronomy 101 Week 1 Quiz (Resp'!F:F,'Astronomy 101 Week 1 Quiz (Resp'!E:E),0)</f>
        <v>0</v>
      </c>
      <c r="F1090" s="3" t="s">
        <v>14</v>
      </c>
      <c r="G1090" s="3"/>
      <c r="H1090" s="6">
        <v>7.989777218E9</v>
      </c>
      <c r="I1090" s="6" t="s">
        <v>3392</v>
      </c>
      <c r="J1090" s="6" t="s">
        <v>16</v>
      </c>
      <c r="K1090" s="6" t="s">
        <v>17</v>
      </c>
      <c r="L1090" s="6" t="s">
        <v>3393</v>
      </c>
    </row>
    <row r="1091" ht="22.5" customHeight="1">
      <c r="A1091" s="5">
        <v>46177.86617865741</v>
      </c>
      <c r="B1091" s="6" t="s">
        <v>1631</v>
      </c>
      <c r="C1091" s="6" t="s">
        <v>1632</v>
      </c>
      <c r="D1091" s="3" t="str">
        <f t="shared" si="1"/>
        <v>AE-1090</v>
      </c>
      <c r="E1091" s="3">
        <f t="array" ref="E1091">IFERROR(XLOOKUP(D1091,'Astronomy 101 Week 1 Quiz (Resp'!F:F,'Astronomy 101 Week 1 Quiz (Resp'!E:E),0)</f>
        <v>0</v>
      </c>
      <c r="F1091" s="3" t="s">
        <v>14</v>
      </c>
      <c r="G1091" s="3"/>
      <c r="H1091" s="6">
        <v>8.413949649E9</v>
      </c>
      <c r="I1091" s="6" t="s">
        <v>1633</v>
      </c>
      <c r="J1091" s="6" t="s">
        <v>33</v>
      </c>
      <c r="K1091" s="6" t="s">
        <v>61</v>
      </c>
      <c r="L1091" s="6" t="s">
        <v>3394</v>
      </c>
    </row>
    <row r="1092" ht="22.5" customHeight="1">
      <c r="A1092" s="5">
        <v>46177.86823591436</v>
      </c>
      <c r="B1092" s="6" t="s">
        <v>2349</v>
      </c>
      <c r="C1092" s="6" t="s">
        <v>2350</v>
      </c>
      <c r="D1092" s="3" t="str">
        <f t="shared" si="1"/>
        <v>AE-1091</v>
      </c>
      <c r="E1092" s="3">
        <f t="array" ref="E1092">IFERROR(XLOOKUP(D1092,'Astronomy 101 Week 1 Quiz (Resp'!F:F,'Astronomy 101 Week 1 Quiz (Resp'!E:E),0)</f>
        <v>0</v>
      </c>
      <c r="F1092" s="3" t="s">
        <v>14</v>
      </c>
      <c r="G1092" s="3"/>
      <c r="H1092" s="6">
        <v>8.017420281E9</v>
      </c>
      <c r="I1092" s="6" t="s">
        <v>2332</v>
      </c>
      <c r="J1092" s="6" t="s">
        <v>16</v>
      </c>
      <c r="K1092" s="6" t="s">
        <v>61</v>
      </c>
    </row>
    <row r="1093" ht="22.5" customHeight="1">
      <c r="A1093" s="5">
        <v>46177.877666875</v>
      </c>
      <c r="B1093" s="6" t="s">
        <v>2411</v>
      </c>
      <c r="C1093" s="6" t="s">
        <v>3395</v>
      </c>
      <c r="D1093" s="3" t="str">
        <f t="shared" si="1"/>
        <v>AE-1092</v>
      </c>
      <c r="E1093" s="3">
        <f t="array" ref="E1093">IFERROR(XLOOKUP(D1093,'Astronomy 101 Week 1 Quiz (Resp'!F:F,'Astronomy 101 Week 1 Quiz (Resp'!E:E),0)</f>
        <v>0</v>
      </c>
      <c r="F1093" s="3" t="s">
        <v>14</v>
      </c>
      <c r="G1093" s="3"/>
      <c r="H1093" s="6">
        <v>6.290650591E9</v>
      </c>
      <c r="I1093" s="6" t="s">
        <v>3396</v>
      </c>
      <c r="J1093" s="6" t="s">
        <v>16</v>
      </c>
      <c r="K1093" s="6" t="s">
        <v>17</v>
      </c>
    </row>
    <row r="1094" ht="22.5" customHeight="1">
      <c r="A1094" s="5">
        <v>46177.8838546412</v>
      </c>
      <c r="B1094" s="6" t="s">
        <v>3397</v>
      </c>
      <c r="C1094" s="6" t="s">
        <v>3398</v>
      </c>
      <c r="D1094" s="3" t="str">
        <f t="shared" si="1"/>
        <v>AE-1093</v>
      </c>
      <c r="E1094" s="3">
        <f t="array" ref="E1094">IFERROR(XLOOKUP(D1094,'Astronomy 101 Week 1 Quiz (Resp'!F:F,'Astronomy 101 Week 1 Quiz (Resp'!E:E),0)</f>
        <v>0</v>
      </c>
      <c r="F1094" s="3" t="s">
        <v>14</v>
      </c>
      <c r="G1094" s="3"/>
      <c r="H1094" s="6">
        <v>8.360380547E9</v>
      </c>
      <c r="I1094" s="6" t="s">
        <v>3399</v>
      </c>
      <c r="J1094" s="6" t="s">
        <v>16</v>
      </c>
      <c r="L1094" s="6" t="s">
        <v>3400</v>
      </c>
    </row>
    <row r="1095" ht="22.5" customHeight="1">
      <c r="A1095" s="5">
        <v>46177.893192013886</v>
      </c>
      <c r="B1095" s="6" t="s">
        <v>1331</v>
      </c>
      <c r="C1095" s="6" t="s">
        <v>3401</v>
      </c>
      <c r="D1095" s="3" t="str">
        <f t="shared" si="1"/>
        <v>AE-1094</v>
      </c>
      <c r="E1095" s="3">
        <f t="array" ref="E1095">IFERROR(XLOOKUP(D1095,'Astronomy 101 Week 1 Quiz (Resp'!F:F,'Astronomy 101 Week 1 Quiz (Resp'!E:E),0)</f>
        <v>0</v>
      </c>
      <c r="F1095" s="3" t="s">
        <v>14</v>
      </c>
      <c r="G1095" s="3"/>
      <c r="H1095" s="6">
        <v>9.43366484E9</v>
      </c>
      <c r="I1095" s="6" t="s">
        <v>1333</v>
      </c>
      <c r="J1095" s="6" t="s">
        <v>16</v>
      </c>
      <c r="K1095" s="6" t="s">
        <v>61</v>
      </c>
    </row>
    <row r="1096" ht="22.5" customHeight="1">
      <c r="A1096" s="5">
        <v>46177.89754697916</v>
      </c>
      <c r="B1096" s="6" t="s">
        <v>3402</v>
      </c>
      <c r="C1096" s="6" t="s">
        <v>3403</v>
      </c>
      <c r="D1096" s="3" t="str">
        <f t="shared" si="1"/>
        <v>AE-1095</v>
      </c>
      <c r="E1096" s="3">
        <f t="array" ref="E1096">IFERROR(XLOOKUP(D1096,'Astronomy 101 Week 1 Quiz (Resp'!F:F,'Astronomy 101 Week 1 Quiz (Resp'!E:E),0)</f>
        <v>0</v>
      </c>
      <c r="F1096" s="3" t="s">
        <v>14</v>
      </c>
      <c r="G1096" s="3"/>
      <c r="H1096" s="6">
        <v>7.84553941E9</v>
      </c>
      <c r="I1096" s="6" t="s">
        <v>3222</v>
      </c>
      <c r="J1096" s="6" t="s">
        <v>16</v>
      </c>
      <c r="K1096" s="6" t="s">
        <v>61</v>
      </c>
    </row>
    <row r="1097" ht="22.5" customHeight="1">
      <c r="A1097" s="5">
        <v>46177.89945350694</v>
      </c>
      <c r="B1097" s="6" t="s">
        <v>3404</v>
      </c>
      <c r="C1097" s="6" t="s">
        <v>3405</v>
      </c>
      <c r="D1097" s="3" t="str">
        <f t="shared" si="1"/>
        <v>AE-1096</v>
      </c>
      <c r="E1097" s="3">
        <f t="array" ref="E1097">IFERROR(XLOOKUP(D1097,'Astronomy 101 Week 1 Quiz (Resp'!F:F,'Astronomy 101 Week 1 Quiz (Resp'!E:E),0)</f>
        <v>45</v>
      </c>
      <c r="F1097" s="3" t="s">
        <v>14</v>
      </c>
      <c r="G1097" s="3"/>
      <c r="H1097" s="6">
        <v>9.028331849E9</v>
      </c>
      <c r="I1097" s="6" t="s">
        <v>1113</v>
      </c>
      <c r="J1097" s="6" t="s">
        <v>16</v>
      </c>
      <c r="K1097" s="6" t="s">
        <v>82</v>
      </c>
      <c r="L1097" s="6" t="s">
        <v>3406</v>
      </c>
    </row>
    <row r="1098" ht="22.5" customHeight="1">
      <c r="A1098" s="5">
        <v>46177.90071325231</v>
      </c>
      <c r="B1098" s="6" t="s">
        <v>3407</v>
      </c>
      <c r="C1098" s="6" t="s">
        <v>3408</v>
      </c>
      <c r="D1098" s="3" t="str">
        <f t="shared" si="1"/>
        <v>AE-1097</v>
      </c>
      <c r="E1098" s="3">
        <f t="array" ref="E1098">IFERROR(XLOOKUP(D1098,'Astronomy 101 Week 1 Quiz (Resp'!F:F,'Astronomy 101 Week 1 Quiz (Resp'!E:E),0)</f>
        <v>0</v>
      </c>
      <c r="F1098" s="3" t="s">
        <v>14</v>
      </c>
      <c r="G1098" s="3"/>
      <c r="H1098" s="6">
        <v>7.03891451E9</v>
      </c>
      <c r="I1098" s="6" t="s">
        <v>3409</v>
      </c>
      <c r="J1098" s="6" t="s">
        <v>16</v>
      </c>
      <c r="K1098" s="6" t="s">
        <v>17</v>
      </c>
      <c r="L1098" s="6" t="s">
        <v>3410</v>
      </c>
    </row>
    <row r="1099" ht="22.5" customHeight="1">
      <c r="A1099" s="5">
        <v>46177.901036446754</v>
      </c>
      <c r="B1099" s="6" t="s">
        <v>670</v>
      </c>
      <c r="C1099" s="6" t="s">
        <v>671</v>
      </c>
      <c r="D1099" s="3" t="str">
        <f t="shared" si="1"/>
        <v>AE-1098</v>
      </c>
      <c r="E1099" s="3">
        <f t="array" ref="E1099">IFERROR(XLOOKUP(D1099,'Astronomy 101 Week 1 Quiz (Resp'!F:F,'Astronomy 101 Week 1 Quiz (Resp'!E:E),0)</f>
        <v>0</v>
      </c>
      <c r="F1099" s="3" t="s">
        <v>14</v>
      </c>
      <c r="G1099" s="3"/>
      <c r="H1099" s="6">
        <v>9.680164793E9</v>
      </c>
      <c r="I1099" s="6" t="s">
        <v>672</v>
      </c>
      <c r="J1099" s="6" t="s">
        <v>16</v>
      </c>
      <c r="K1099" s="6" t="s">
        <v>17</v>
      </c>
      <c r="L1099" s="6" t="s">
        <v>3411</v>
      </c>
    </row>
    <row r="1100" ht="22.5" customHeight="1">
      <c r="A1100" s="5">
        <v>46177.913419375</v>
      </c>
      <c r="B1100" s="6" t="s">
        <v>2034</v>
      </c>
      <c r="C1100" s="6" t="s">
        <v>2035</v>
      </c>
      <c r="D1100" s="3" t="str">
        <f t="shared" si="1"/>
        <v>AE-1099</v>
      </c>
      <c r="E1100" s="3">
        <f t="array" ref="E1100">IFERROR(XLOOKUP(D1100,'Astronomy 101 Week 1 Quiz (Resp'!F:F,'Astronomy 101 Week 1 Quiz (Resp'!E:E),0)</f>
        <v>0</v>
      </c>
      <c r="F1100" s="3" t="s">
        <v>14</v>
      </c>
      <c r="G1100" s="3"/>
      <c r="H1100" s="6">
        <v>8.178324754E9</v>
      </c>
      <c r="I1100" s="6" t="s">
        <v>2036</v>
      </c>
      <c r="J1100" s="6" t="s">
        <v>16</v>
      </c>
      <c r="K1100" s="6" t="s">
        <v>17</v>
      </c>
    </row>
    <row r="1101" ht="22.5" customHeight="1">
      <c r="A1101" s="5">
        <v>46177.91454197917</v>
      </c>
      <c r="B1101" s="6" t="s">
        <v>3330</v>
      </c>
      <c r="C1101" s="6" t="s">
        <v>3331</v>
      </c>
      <c r="D1101" s="3" t="str">
        <f t="shared" si="1"/>
        <v>AE-1100</v>
      </c>
      <c r="E1101" s="3">
        <f t="array" ref="E1101">IFERROR(XLOOKUP(D1101,'Astronomy 101 Week 1 Quiz (Resp'!F:F,'Astronomy 101 Week 1 Quiz (Resp'!E:E),0)</f>
        <v>0</v>
      </c>
      <c r="F1101" s="3" t="s">
        <v>14</v>
      </c>
      <c r="G1101" s="3"/>
      <c r="H1101" s="6">
        <v>8.248680845E9</v>
      </c>
      <c r="I1101" s="6" t="s">
        <v>3412</v>
      </c>
      <c r="J1101" s="6" t="s">
        <v>16</v>
      </c>
      <c r="K1101" s="6" t="s">
        <v>17</v>
      </c>
      <c r="L1101" s="6" t="s">
        <v>3413</v>
      </c>
    </row>
    <row r="1102" ht="22.5" customHeight="1">
      <c r="A1102" s="5">
        <v>46177.915342141205</v>
      </c>
      <c r="B1102" s="6" t="s">
        <v>2618</v>
      </c>
      <c r="C1102" s="6" t="s">
        <v>3414</v>
      </c>
      <c r="D1102" s="3" t="str">
        <f t="shared" si="1"/>
        <v>AE-1101</v>
      </c>
      <c r="E1102" s="3">
        <f t="array" ref="E1102">IFERROR(XLOOKUP(D1102,'Astronomy 101 Week 1 Quiz (Resp'!F:F,'Astronomy 101 Week 1 Quiz (Resp'!E:E),0)</f>
        <v>0</v>
      </c>
      <c r="F1102" s="3" t="s">
        <v>14</v>
      </c>
      <c r="G1102" s="3"/>
      <c r="H1102" s="6">
        <v>7.569825494E9</v>
      </c>
      <c r="I1102" s="6" t="s">
        <v>3415</v>
      </c>
      <c r="J1102" s="6" t="s">
        <v>16</v>
      </c>
      <c r="K1102" s="6" t="s">
        <v>17</v>
      </c>
    </row>
    <row r="1103" ht="22.5" customHeight="1">
      <c r="A1103" s="5">
        <v>46177.91778333334</v>
      </c>
      <c r="B1103" s="6" t="s">
        <v>108</v>
      </c>
      <c r="C1103" s="6" t="s">
        <v>109</v>
      </c>
      <c r="D1103" s="3" t="str">
        <f t="shared" si="1"/>
        <v>AE-1102</v>
      </c>
      <c r="E1103" s="3">
        <f t="array" ref="E1103">IFERROR(XLOOKUP(D1103,'Astronomy 101 Week 1 Quiz (Resp'!F:F,'Astronomy 101 Week 1 Quiz (Resp'!E:E),0)</f>
        <v>0</v>
      </c>
      <c r="F1103" s="3" t="s">
        <v>14</v>
      </c>
      <c r="G1103" s="3"/>
      <c r="H1103" s="6">
        <v>9.685382808E9</v>
      </c>
      <c r="I1103" s="6" t="s">
        <v>64</v>
      </c>
      <c r="J1103" s="6" t="s">
        <v>33</v>
      </c>
      <c r="K1103" s="6" t="s">
        <v>43</v>
      </c>
      <c r="L1103" s="6" t="s">
        <v>3416</v>
      </c>
    </row>
    <row r="1104" ht="22.5" customHeight="1">
      <c r="A1104" s="5">
        <v>46177.91996922454</v>
      </c>
      <c r="B1104" s="6" t="s">
        <v>3417</v>
      </c>
      <c r="C1104" s="6" t="s">
        <v>3418</v>
      </c>
      <c r="D1104" s="3" t="str">
        <f t="shared" si="1"/>
        <v>AE-1103</v>
      </c>
      <c r="E1104" s="3">
        <f t="array" ref="E1104">IFERROR(XLOOKUP(D1104,'Astronomy 101 Week 1 Quiz (Resp'!F:F,'Astronomy 101 Week 1 Quiz (Resp'!E:E),0)</f>
        <v>0</v>
      </c>
      <c r="F1104" s="3" t="s">
        <v>14</v>
      </c>
      <c r="G1104" s="3"/>
      <c r="H1104" s="6">
        <v>9.94654239E9</v>
      </c>
      <c r="I1104" s="6" t="s">
        <v>668</v>
      </c>
      <c r="J1104" s="6" t="s">
        <v>16</v>
      </c>
      <c r="K1104" s="6" t="s">
        <v>61</v>
      </c>
      <c r="L1104" s="6" t="s">
        <v>3419</v>
      </c>
    </row>
    <row r="1105" ht="22.5" customHeight="1">
      <c r="A1105" s="5">
        <v>46177.92286910879</v>
      </c>
      <c r="B1105" s="6" t="s">
        <v>3420</v>
      </c>
      <c r="C1105" s="6" t="s">
        <v>3421</v>
      </c>
      <c r="D1105" s="3" t="str">
        <f t="shared" si="1"/>
        <v>AE-1104</v>
      </c>
      <c r="E1105" s="3">
        <f t="array" ref="E1105">IFERROR(XLOOKUP(D1105,'Astronomy 101 Week 1 Quiz (Resp'!F:F,'Astronomy 101 Week 1 Quiz (Resp'!E:E),0)</f>
        <v>36</v>
      </c>
      <c r="F1105" s="3" t="s">
        <v>14</v>
      </c>
      <c r="G1105" s="3"/>
      <c r="H1105" s="6">
        <v>8.779806286E9</v>
      </c>
      <c r="I1105" s="6" t="s">
        <v>975</v>
      </c>
      <c r="J1105" s="6" t="s">
        <v>16</v>
      </c>
      <c r="K1105" s="6" t="s">
        <v>47</v>
      </c>
      <c r="L1105" s="6" t="s">
        <v>3422</v>
      </c>
    </row>
    <row r="1106" ht="22.5" customHeight="1">
      <c r="A1106" s="5">
        <v>46177.92987439815</v>
      </c>
      <c r="B1106" s="6" t="s">
        <v>2968</v>
      </c>
      <c r="C1106" s="6" t="s">
        <v>2969</v>
      </c>
      <c r="D1106" s="3" t="str">
        <f t="shared" si="1"/>
        <v>AE-1105</v>
      </c>
      <c r="E1106" s="3">
        <f t="array" ref="E1106">IFERROR(XLOOKUP(D1106,'Astronomy 101 Week 1 Quiz (Resp'!F:F,'Astronomy 101 Week 1 Quiz (Resp'!E:E),0)</f>
        <v>0</v>
      </c>
      <c r="F1106" s="3" t="s">
        <v>14</v>
      </c>
      <c r="G1106" s="3"/>
      <c r="H1106" s="6">
        <v>9.062412354E9</v>
      </c>
      <c r="I1106" s="6" t="s">
        <v>3423</v>
      </c>
      <c r="J1106" s="6" t="s">
        <v>16</v>
      </c>
      <c r="K1106" s="6" t="s">
        <v>17</v>
      </c>
    </row>
    <row r="1107" ht="22.5" customHeight="1">
      <c r="A1107" s="5">
        <v>46177.93994</v>
      </c>
      <c r="B1107" s="6" t="s">
        <v>3424</v>
      </c>
      <c r="C1107" s="6" t="s">
        <v>3425</v>
      </c>
      <c r="D1107" s="3" t="str">
        <f t="shared" si="1"/>
        <v>AE-1106</v>
      </c>
      <c r="E1107" s="3">
        <f t="array" ref="E1107">IFERROR(XLOOKUP(D1107,'Astronomy 101 Week 1 Quiz (Resp'!F:F,'Astronomy 101 Week 1 Quiz (Resp'!E:E),0)</f>
        <v>0</v>
      </c>
      <c r="F1107" s="3" t="s">
        <v>14</v>
      </c>
      <c r="G1107" s="3"/>
      <c r="H1107" s="6">
        <v>8.33008944E9</v>
      </c>
      <c r="I1107" s="6" t="s">
        <v>2329</v>
      </c>
      <c r="J1107" s="6" t="s">
        <v>16</v>
      </c>
      <c r="K1107" s="6" t="s">
        <v>17</v>
      </c>
    </row>
    <row r="1108" ht="22.5" customHeight="1">
      <c r="A1108" s="5">
        <v>46177.954818067126</v>
      </c>
      <c r="B1108" s="6" t="s">
        <v>2889</v>
      </c>
      <c r="C1108" s="6" t="s">
        <v>2890</v>
      </c>
      <c r="D1108" s="3" t="str">
        <f t="shared" si="1"/>
        <v>AE-1107</v>
      </c>
      <c r="E1108" s="3">
        <f t="array" ref="E1108">IFERROR(XLOOKUP(D1108,'Astronomy 101 Week 1 Quiz (Resp'!F:F,'Astronomy 101 Week 1 Quiz (Resp'!E:E),0)</f>
        <v>0</v>
      </c>
      <c r="F1108" s="3" t="s">
        <v>14</v>
      </c>
      <c r="G1108" s="3"/>
      <c r="H1108" s="6">
        <v>6.282704483E9</v>
      </c>
      <c r="I1108" s="6" t="s">
        <v>2514</v>
      </c>
      <c r="J1108" s="6" t="s">
        <v>16</v>
      </c>
      <c r="K1108" s="6" t="s">
        <v>17</v>
      </c>
      <c r="L1108" s="6" t="s">
        <v>3426</v>
      </c>
    </row>
    <row r="1109" ht="22.5" customHeight="1">
      <c r="A1109" s="5">
        <v>46177.9562346875</v>
      </c>
      <c r="B1109" s="6" t="s">
        <v>3427</v>
      </c>
      <c r="C1109" s="6" t="s">
        <v>3428</v>
      </c>
      <c r="D1109" s="3" t="str">
        <f t="shared" si="1"/>
        <v>AE-1108</v>
      </c>
      <c r="E1109" s="3">
        <f t="array" ref="E1109">IFERROR(XLOOKUP(D1109,'Astronomy 101 Week 1 Quiz (Resp'!F:F,'Astronomy 101 Week 1 Quiz (Resp'!E:E),0)</f>
        <v>0</v>
      </c>
      <c r="F1109" s="3" t="s">
        <v>14</v>
      </c>
      <c r="G1109" s="3"/>
      <c r="H1109" s="6">
        <v>9.31901819E9</v>
      </c>
      <c r="I1109" s="6" t="s">
        <v>3429</v>
      </c>
      <c r="J1109" s="6" t="s">
        <v>16</v>
      </c>
      <c r="K1109" s="6" t="s">
        <v>17</v>
      </c>
      <c r="L1109" s="6" t="s">
        <v>3430</v>
      </c>
    </row>
    <row r="1110" ht="22.5" customHeight="1">
      <c r="A1110" s="5">
        <v>46177.96251513889</v>
      </c>
      <c r="B1110" s="6" t="s">
        <v>550</v>
      </c>
      <c r="C1110" s="6" t="s">
        <v>551</v>
      </c>
      <c r="D1110" s="3" t="str">
        <f t="shared" si="1"/>
        <v>AE-1109</v>
      </c>
      <c r="E1110" s="3">
        <f t="array" ref="E1110">IFERROR(XLOOKUP(D1110,'Astronomy 101 Week 1 Quiz (Resp'!F:F,'Astronomy 101 Week 1 Quiz (Resp'!E:E),0)</f>
        <v>0</v>
      </c>
      <c r="F1110" s="3" t="s">
        <v>14</v>
      </c>
      <c r="G1110" s="3"/>
      <c r="H1110" s="6">
        <v>9.102736945E9</v>
      </c>
      <c r="I1110" s="6" t="s">
        <v>360</v>
      </c>
      <c r="J1110" s="6" t="s">
        <v>16</v>
      </c>
      <c r="K1110" s="6" t="s">
        <v>17</v>
      </c>
    </row>
    <row r="1111" ht="22.5" customHeight="1">
      <c r="A1111" s="5">
        <v>46177.96421791667</v>
      </c>
      <c r="B1111" s="6" t="s">
        <v>3431</v>
      </c>
      <c r="C1111" s="6" t="s">
        <v>3432</v>
      </c>
      <c r="D1111" s="3" t="str">
        <f t="shared" si="1"/>
        <v>AE-1110</v>
      </c>
      <c r="E1111" s="3">
        <f t="array" ref="E1111">IFERROR(XLOOKUP(D1111,'Astronomy 101 Week 1 Quiz (Resp'!F:F,'Astronomy 101 Week 1 Quiz (Resp'!E:E),0)</f>
        <v>0</v>
      </c>
      <c r="F1111" s="3" t="s">
        <v>14</v>
      </c>
      <c r="G1111" s="3"/>
      <c r="H1111" s="6">
        <v>8.86634329E9</v>
      </c>
      <c r="I1111" s="6" t="s">
        <v>3048</v>
      </c>
      <c r="J1111" s="6" t="s">
        <v>16</v>
      </c>
      <c r="K1111" s="6" t="s">
        <v>47</v>
      </c>
    </row>
    <row r="1112" ht="22.5" customHeight="1">
      <c r="A1112" s="5">
        <v>46177.97332017361</v>
      </c>
      <c r="B1112" s="6" t="s">
        <v>3433</v>
      </c>
      <c r="C1112" s="6" t="s">
        <v>3434</v>
      </c>
      <c r="D1112" s="3" t="str">
        <f t="shared" si="1"/>
        <v>AE-1111</v>
      </c>
      <c r="E1112" s="3">
        <f t="array" ref="E1112">IFERROR(XLOOKUP(D1112,'Astronomy 101 Week 1 Quiz (Resp'!F:F,'Astronomy 101 Week 1 Quiz (Resp'!E:E),0)</f>
        <v>0</v>
      </c>
      <c r="F1112" s="3" t="s">
        <v>14</v>
      </c>
      <c r="G1112" s="3"/>
      <c r="H1112" s="6">
        <v>7.058535239E9</v>
      </c>
      <c r="I1112" s="6" t="s">
        <v>3435</v>
      </c>
      <c r="J1112" s="6" t="s">
        <v>16</v>
      </c>
    </row>
    <row r="1113" ht="22.5" customHeight="1">
      <c r="A1113" s="5">
        <v>46178.00449472222</v>
      </c>
      <c r="B1113" s="6" t="s">
        <v>3353</v>
      </c>
      <c r="C1113" s="6" t="s">
        <v>3354</v>
      </c>
      <c r="D1113" s="3" t="str">
        <f t="shared" si="1"/>
        <v>AE-1112</v>
      </c>
      <c r="E1113" s="3">
        <f t="array" ref="E1113">IFERROR(XLOOKUP(D1113,'Astronomy 101 Week 1 Quiz (Resp'!F:F,'Astronomy 101 Week 1 Quiz (Resp'!E:E),0)</f>
        <v>44</v>
      </c>
      <c r="F1113" s="3" t="s">
        <v>14</v>
      </c>
      <c r="G1113" s="3"/>
      <c r="H1113" s="6">
        <v>9.711936896E9</v>
      </c>
      <c r="I1113" s="6" t="s">
        <v>3355</v>
      </c>
      <c r="J1113" s="6" t="s">
        <v>16</v>
      </c>
      <c r="K1113" s="6" t="s">
        <v>47</v>
      </c>
      <c r="L1113" s="6" t="s">
        <v>3436</v>
      </c>
    </row>
    <row r="1114" ht="22.5" customHeight="1">
      <c r="A1114" s="3" t="s">
        <v>3437</v>
      </c>
      <c r="B1114" s="3" t="s">
        <v>1988</v>
      </c>
      <c r="C1114" s="3" t="s">
        <v>3438</v>
      </c>
      <c r="D1114" s="3"/>
      <c r="E1114" s="3">
        <f t="array" ref="E1114">IFERROR(XLOOKUP(D1114,'Astronomy 101 Week 1 Quiz (Resp'!F:F,'Astronomy 101 Week 1 Quiz (Resp'!E:E),0)</f>
        <v>0</v>
      </c>
      <c r="F1114" s="3"/>
      <c r="G1114" s="3"/>
      <c r="H1114" s="3" t="s">
        <v>3439</v>
      </c>
      <c r="I1114" s="3"/>
      <c r="J1114" s="3"/>
      <c r="K1114" s="3"/>
      <c r="L1114" s="3"/>
    </row>
    <row r="1115" ht="22.5" customHeight="1">
      <c r="A1115" s="3"/>
      <c r="B1115" s="3" t="s">
        <v>3440</v>
      </c>
      <c r="C1115" s="3" t="s">
        <v>3441</v>
      </c>
      <c r="D1115" s="3" t="s">
        <v>3442</v>
      </c>
      <c r="E1115" s="3">
        <f t="array" ref="E1115">IFERROR(XLOOKUP(D1115,'Astronomy 101 Week 1 Quiz (Resp'!F:F,'Astronomy 101 Week 1 Quiz (Resp'!E:E),0)</f>
        <v>0</v>
      </c>
      <c r="F1115" s="3"/>
      <c r="G1115" s="3"/>
      <c r="H1115" s="3" t="s">
        <v>3443</v>
      </c>
      <c r="I1115" s="3"/>
      <c r="J1115" s="3"/>
      <c r="K1115" s="3"/>
      <c r="L1115" s="3"/>
    </row>
    <row r="1116" ht="22.5" customHeight="1">
      <c r="A1116" s="3"/>
      <c r="B1116" s="3" t="s">
        <v>3353</v>
      </c>
      <c r="C1116" s="3" t="s">
        <v>3444</v>
      </c>
      <c r="D1116" s="3" t="s">
        <v>3445</v>
      </c>
      <c r="E1116" s="3">
        <f t="array" ref="E1116">IFERROR(XLOOKUP(D1116,'Astronomy 101 Week 1 Quiz (Resp'!F:F,'Astronomy 101 Week 1 Quiz (Resp'!E:E),0)</f>
        <v>43</v>
      </c>
      <c r="F1116" s="3"/>
      <c r="G1116" s="3"/>
      <c r="H1116" s="3">
        <v>9.711936896E9</v>
      </c>
      <c r="I1116" s="3" t="s">
        <v>3352</v>
      </c>
      <c r="J1116" s="3"/>
      <c r="K1116" s="3"/>
      <c r="L1116" s="3"/>
    </row>
    <row r="1117" ht="22.5" customHeight="1">
      <c r="A1117" s="3"/>
      <c r="B1117" s="3" t="s">
        <v>3309</v>
      </c>
      <c r="C1117" s="3" t="s">
        <v>3446</v>
      </c>
      <c r="D1117" s="3" t="s">
        <v>3447</v>
      </c>
      <c r="E1117" s="3">
        <f t="array" ref="E1117">IFERROR(XLOOKUP(D1117,'Astronomy 101 Week 1 Quiz (Resp'!F:F,'Astronomy 101 Week 1 Quiz (Resp'!E:E),0)</f>
        <v>42</v>
      </c>
      <c r="F1117" s="3"/>
      <c r="G1117" s="3"/>
      <c r="H1117" s="3"/>
      <c r="I1117" s="3"/>
      <c r="J1117" s="3"/>
      <c r="K1117" s="3"/>
      <c r="L1117" s="3"/>
    </row>
    <row r="1118" ht="22.5" customHeight="1">
      <c r="A1118" s="3"/>
      <c r="B1118" s="3"/>
      <c r="C1118" s="3"/>
      <c r="D1118" s="3"/>
      <c r="E1118" s="3" t="str">
        <f>MATCH(D2,Responses!F:F,0)</f>
        <v>#REF!</v>
      </c>
      <c r="F1118" s="3"/>
      <c r="G1118" s="3"/>
      <c r="H1118" s="3"/>
      <c r="I1118" s="3"/>
      <c r="J1118" s="3"/>
      <c r="K1118" s="3"/>
      <c r="L1118" s="3"/>
    </row>
  </sheetData>
  <hyperlinks>
    <hyperlink r:id="rId1" ref="B543"/>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0" t="s">
        <v>0</v>
      </c>
      <c r="B1" s="10" t="s">
        <v>3448</v>
      </c>
      <c r="C1" s="10" t="s">
        <v>4</v>
      </c>
      <c r="D1" s="10" t="s">
        <v>3449</v>
      </c>
      <c r="E1" s="10" t="s">
        <v>3450</v>
      </c>
      <c r="F1" s="10" t="s">
        <v>3451</v>
      </c>
      <c r="G1" s="10" t="s">
        <v>3452</v>
      </c>
      <c r="H1" s="10" t="s">
        <v>1</v>
      </c>
      <c r="I1" s="10" t="s">
        <v>3453</v>
      </c>
      <c r="J1" s="10" t="s">
        <v>3454</v>
      </c>
      <c r="K1" s="10" t="s">
        <v>3455</v>
      </c>
      <c r="L1" s="10" t="s">
        <v>3456</v>
      </c>
      <c r="M1" s="10" t="s">
        <v>3457</v>
      </c>
      <c r="N1" s="10" t="s">
        <v>3458</v>
      </c>
      <c r="O1" s="10" t="s">
        <v>3459</v>
      </c>
      <c r="P1" s="10" t="s">
        <v>3460</v>
      </c>
      <c r="Q1" s="10" t="s">
        <v>3461</v>
      </c>
      <c r="R1" s="10" t="s">
        <v>3462</v>
      </c>
      <c r="S1" s="10" t="s">
        <v>3463</v>
      </c>
      <c r="T1" s="10" t="s">
        <v>3464</v>
      </c>
      <c r="U1" s="10" t="s">
        <v>3465</v>
      </c>
      <c r="V1" s="10" t="s">
        <v>3466</v>
      </c>
      <c r="W1" s="10" t="s">
        <v>3467</v>
      </c>
      <c r="X1" s="10" t="s">
        <v>3468</v>
      </c>
      <c r="Y1" s="10" t="s">
        <v>3469</v>
      </c>
      <c r="Z1" s="10" t="s">
        <v>3470</v>
      </c>
      <c r="AA1" s="10" t="s">
        <v>3471</v>
      </c>
      <c r="AB1" s="10" t="s">
        <v>3472</v>
      </c>
      <c r="AC1" s="10" t="s">
        <v>3473</v>
      </c>
      <c r="AD1" s="10" t="s">
        <v>3474</v>
      </c>
      <c r="AE1" s="10" t="s">
        <v>3475</v>
      </c>
      <c r="AF1" s="10" t="s">
        <v>3476</v>
      </c>
      <c r="AG1" s="10" t="s">
        <v>3477</v>
      </c>
      <c r="AH1" s="10" t="s">
        <v>3478</v>
      </c>
      <c r="AI1" s="10" t="s">
        <v>3479</v>
      </c>
      <c r="AJ1" s="10" t="s">
        <v>3480</v>
      </c>
      <c r="AK1" s="10" t="s">
        <v>3481</v>
      </c>
      <c r="AL1" s="10" t="s">
        <v>3482</v>
      </c>
      <c r="AM1" s="10" t="s">
        <v>3483</v>
      </c>
      <c r="AN1" s="10" t="s">
        <v>3484</v>
      </c>
      <c r="AO1" s="10" t="s">
        <v>3485</v>
      </c>
      <c r="AP1" s="10" t="s">
        <v>3486</v>
      </c>
      <c r="AQ1" s="10" t="s">
        <v>3487</v>
      </c>
      <c r="AR1" s="10" t="s">
        <v>3488</v>
      </c>
      <c r="AS1" s="10" t="s">
        <v>3489</v>
      </c>
      <c r="AT1" s="10" t="s">
        <v>3490</v>
      </c>
      <c r="AU1" s="10" t="s">
        <v>3491</v>
      </c>
      <c r="AV1" s="10" t="s">
        <v>3492</v>
      </c>
      <c r="AW1" s="10" t="s">
        <v>3493</v>
      </c>
      <c r="AX1" s="10" t="s">
        <v>3494</v>
      </c>
      <c r="AY1" s="10" t="s">
        <v>3495</v>
      </c>
      <c r="AZ1" s="10" t="s">
        <v>3496</v>
      </c>
      <c r="BA1" s="10" t="s">
        <v>3497</v>
      </c>
      <c r="BB1" s="10" t="s">
        <v>3498</v>
      </c>
      <c r="BC1" s="10" t="s">
        <v>3499</v>
      </c>
    </row>
    <row r="2" ht="22.5" customHeight="1">
      <c r="A2" s="11">
        <v>46179.65628386574</v>
      </c>
      <c r="B2" s="12" t="s">
        <v>3500</v>
      </c>
      <c r="C2" s="13">
        <v>37.0</v>
      </c>
      <c r="D2" s="14" t="s">
        <v>3501</v>
      </c>
      <c r="E2" s="15">
        <f t="shared" ref="E2:E290" si="1">VALUE(LEFT(C2,FIND("/",C2)-1))+IF(D2&lt;&gt;"",5,0)</f>
        <v>42</v>
      </c>
      <c r="F2" s="12" t="s">
        <v>3502</v>
      </c>
      <c r="G2" s="12" t="s">
        <v>2381</v>
      </c>
      <c r="H2" s="12" t="s">
        <v>3500</v>
      </c>
      <c r="I2" s="15">
        <v>9.896334843E9</v>
      </c>
      <c r="J2" s="12" t="s">
        <v>3503</v>
      </c>
      <c r="K2" s="12" t="s">
        <v>3504</v>
      </c>
      <c r="L2" s="12" t="s">
        <v>3505</v>
      </c>
      <c r="M2" s="16"/>
      <c r="N2" s="12" t="s">
        <v>3506</v>
      </c>
      <c r="O2" s="12" t="s">
        <v>3507</v>
      </c>
      <c r="P2" s="12" t="s">
        <v>3508</v>
      </c>
      <c r="Q2" s="16"/>
      <c r="R2" s="12" t="s">
        <v>3509</v>
      </c>
      <c r="S2" s="12" t="s">
        <v>3510</v>
      </c>
      <c r="T2" s="12" t="s">
        <v>3511</v>
      </c>
      <c r="U2" s="12" t="s">
        <v>3512</v>
      </c>
      <c r="V2" s="12" t="s">
        <v>3513</v>
      </c>
      <c r="W2" s="12" t="s">
        <v>3514</v>
      </c>
      <c r="X2" s="12" t="s">
        <v>3515</v>
      </c>
      <c r="Y2" s="12" t="s">
        <v>3516</v>
      </c>
      <c r="Z2" s="12" t="s">
        <v>3517</v>
      </c>
      <c r="AA2" s="12" t="s">
        <v>3518</v>
      </c>
      <c r="AB2" s="12" t="s">
        <v>3519</v>
      </c>
      <c r="AC2" s="12" t="s">
        <v>3520</v>
      </c>
      <c r="AD2" s="12" t="s">
        <v>3521</v>
      </c>
      <c r="AE2" s="12" t="s">
        <v>3522</v>
      </c>
      <c r="AF2" s="12" t="s">
        <v>3523</v>
      </c>
      <c r="AG2" s="12" t="s">
        <v>3524</v>
      </c>
      <c r="AH2" s="12" t="s">
        <v>3525</v>
      </c>
      <c r="AI2" s="12" t="s">
        <v>3526</v>
      </c>
      <c r="AJ2" s="12" t="s">
        <v>3527</v>
      </c>
      <c r="AK2" s="12" t="s">
        <v>3528</v>
      </c>
      <c r="AL2" s="12" t="s">
        <v>3529</v>
      </c>
      <c r="AM2" s="12" t="s">
        <v>3530</v>
      </c>
      <c r="AN2" s="12" t="s">
        <v>3531</v>
      </c>
      <c r="AO2" s="12" t="s">
        <v>3532</v>
      </c>
      <c r="AP2" s="12" t="s">
        <v>3533</v>
      </c>
      <c r="AQ2" s="12" t="s">
        <v>3534</v>
      </c>
      <c r="AR2" s="12" t="s">
        <v>3535</v>
      </c>
      <c r="AS2" s="12" t="s">
        <v>3536</v>
      </c>
      <c r="AT2" s="12" t="s">
        <v>3537</v>
      </c>
      <c r="AU2" s="12" t="s">
        <v>6</v>
      </c>
      <c r="AV2" s="12" t="s">
        <v>3538</v>
      </c>
      <c r="AW2" s="12" t="s">
        <v>3539</v>
      </c>
      <c r="AX2" s="12" t="s">
        <v>3540</v>
      </c>
      <c r="AY2" s="12" t="s">
        <v>3541</v>
      </c>
      <c r="AZ2" s="12" t="s">
        <v>3542</v>
      </c>
      <c r="BA2" s="12" t="s">
        <v>3543</v>
      </c>
      <c r="BB2" s="12" t="s">
        <v>3544</v>
      </c>
      <c r="BC2" s="17"/>
    </row>
    <row r="3" ht="22.5" customHeight="1">
      <c r="A3" s="18">
        <v>46179.66147232639</v>
      </c>
      <c r="B3" s="19" t="s">
        <v>3131</v>
      </c>
      <c r="C3" s="20">
        <v>39.0</v>
      </c>
      <c r="D3" s="21"/>
      <c r="E3" s="22">
        <f t="shared" si="1"/>
        <v>39</v>
      </c>
      <c r="F3" s="19" t="s">
        <v>3545</v>
      </c>
      <c r="G3" s="19" t="s">
        <v>3546</v>
      </c>
      <c r="H3" s="19" t="s">
        <v>3131</v>
      </c>
      <c r="I3" s="22">
        <v>9.400881978E9</v>
      </c>
      <c r="J3" s="19" t="s">
        <v>3547</v>
      </c>
      <c r="K3" s="19" t="s">
        <v>3504</v>
      </c>
      <c r="L3" s="19" t="s">
        <v>3505</v>
      </c>
      <c r="M3" s="21"/>
      <c r="N3" s="19" t="s">
        <v>3548</v>
      </c>
      <c r="O3" s="19" t="s">
        <v>3507</v>
      </c>
      <c r="P3" s="19" t="s">
        <v>3508</v>
      </c>
      <c r="Q3" s="21"/>
      <c r="R3" s="19" t="s">
        <v>3509</v>
      </c>
      <c r="S3" s="19" t="s">
        <v>3510</v>
      </c>
      <c r="T3" s="19" t="s">
        <v>3549</v>
      </c>
      <c r="U3" s="19" t="s">
        <v>3550</v>
      </c>
      <c r="V3" s="19" t="s">
        <v>3513</v>
      </c>
      <c r="W3" s="19" t="s">
        <v>3514</v>
      </c>
      <c r="X3" s="19" t="s">
        <v>3515</v>
      </c>
      <c r="Y3" s="19" t="s">
        <v>3516</v>
      </c>
      <c r="Z3" s="19" t="s">
        <v>3517</v>
      </c>
      <c r="AA3" s="19" t="s">
        <v>3518</v>
      </c>
      <c r="AB3" s="19" t="s">
        <v>3519</v>
      </c>
      <c r="AC3" s="19" t="s">
        <v>3520</v>
      </c>
      <c r="AD3" s="19" t="s">
        <v>3521</v>
      </c>
      <c r="AE3" s="19" t="s">
        <v>3522</v>
      </c>
      <c r="AF3" s="19" t="s">
        <v>3523</v>
      </c>
      <c r="AG3" s="19" t="s">
        <v>3524</v>
      </c>
      <c r="AH3" s="19" t="s">
        <v>3525</v>
      </c>
      <c r="AI3" s="19" t="s">
        <v>3526</v>
      </c>
      <c r="AJ3" s="19" t="s">
        <v>3527</v>
      </c>
      <c r="AK3" s="19" t="s">
        <v>3528</v>
      </c>
      <c r="AL3" s="19" t="s">
        <v>3529</v>
      </c>
      <c r="AM3" s="19" t="s">
        <v>3530</v>
      </c>
      <c r="AN3" s="19" t="s">
        <v>3531</v>
      </c>
      <c r="AO3" s="19" t="s">
        <v>3551</v>
      </c>
      <c r="AP3" s="19" t="s">
        <v>3533</v>
      </c>
      <c r="AQ3" s="19" t="s">
        <v>3534</v>
      </c>
      <c r="AR3" s="19" t="s">
        <v>3535</v>
      </c>
      <c r="AS3" s="19" t="s">
        <v>3536</v>
      </c>
      <c r="AT3" s="19" t="s">
        <v>3537</v>
      </c>
      <c r="AU3" s="19" t="s">
        <v>6</v>
      </c>
      <c r="AV3" s="19" t="s">
        <v>3538</v>
      </c>
      <c r="AW3" s="19" t="s">
        <v>3539</v>
      </c>
      <c r="AX3" s="19" t="s">
        <v>3540</v>
      </c>
      <c r="AY3" s="19" t="s">
        <v>3541</v>
      </c>
      <c r="AZ3" s="19" t="s">
        <v>3542</v>
      </c>
      <c r="BA3" s="19" t="s">
        <v>3543</v>
      </c>
      <c r="BB3" s="19" t="s">
        <v>3544</v>
      </c>
      <c r="BC3" s="23"/>
    </row>
    <row r="4" ht="22.5" customHeight="1">
      <c r="A4" s="11">
        <v>46179.663486053236</v>
      </c>
      <c r="B4" s="12" t="s">
        <v>3344</v>
      </c>
      <c r="C4" s="13">
        <v>40.0</v>
      </c>
      <c r="D4" s="14" t="s">
        <v>3552</v>
      </c>
      <c r="E4" s="15">
        <f t="shared" si="1"/>
        <v>45</v>
      </c>
      <c r="F4" s="12" t="s">
        <v>3553</v>
      </c>
      <c r="G4" s="12" t="s">
        <v>2315</v>
      </c>
      <c r="H4" s="12" t="s">
        <v>3344</v>
      </c>
      <c r="I4" s="15">
        <v>6.204371419E9</v>
      </c>
      <c r="J4" s="12" t="s">
        <v>3547</v>
      </c>
      <c r="K4" s="12" t="s">
        <v>3504</v>
      </c>
      <c r="L4" s="12" t="s">
        <v>3505</v>
      </c>
      <c r="M4" s="16"/>
      <c r="N4" s="12" t="s">
        <v>3506</v>
      </c>
      <c r="O4" s="12" t="s">
        <v>3507</v>
      </c>
      <c r="P4" s="12" t="s">
        <v>3508</v>
      </c>
      <c r="Q4" s="16"/>
      <c r="R4" s="12" t="s">
        <v>3509</v>
      </c>
      <c r="S4" s="12" t="s">
        <v>3510</v>
      </c>
      <c r="T4" s="12" t="s">
        <v>3549</v>
      </c>
      <c r="U4" s="12" t="s">
        <v>3550</v>
      </c>
      <c r="V4" s="12" t="s">
        <v>3513</v>
      </c>
      <c r="W4" s="12" t="s">
        <v>3514</v>
      </c>
      <c r="X4" s="12" t="s">
        <v>3515</v>
      </c>
      <c r="Y4" s="12" t="s">
        <v>3516</v>
      </c>
      <c r="Z4" s="12" t="s">
        <v>3517</v>
      </c>
      <c r="AA4" s="12" t="s">
        <v>3518</v>
      </c>
      <c r="AB4" s="12" t="s">
        <v>3519</v>
      </c>
      <c r="AC4" s="12" t="s">
        <v>3520</v>
      </c>
      <c r="AD4" s="12" t="s">
        <v>3521</v>
      </c>
      <c r="AE4" s="12" t="s">
        <v>3522</v>
      </c>
      <c r="AF4" s="12" t="s">
        <v>3523</v>
      </c>
      <c r="AG4" s="12" t="s">
        <v>3524</v>
      </c>
      <c r="AH4" s="12" t="s">
        <v>3525</v>
      </c>
      <c r="AI4" s="12" t="s">
        <v>3526</v>
      </c>
      <c r="AJ4" s="12" t="s">
        <v>3527</v>
      </c>
      <c r="AK4" s="12" t="s">
        <v>3528</v>
      </c>
      <c r="AL4" s="12" t="s">
        <v>3529</v>
      </c>
      <c r="AM4" s="12" t="s">
        <v>3530</v>
      </c>
      <c r="AN4" s="12" t="s">
        <v>3531</v>
      </c>
      <c r="AO4" s="12" t="s">
        <v>3532</v>
      </c>
      <c r="AP4" s="12" t="s">
        <v>3533</v>
      </c>
      <c r="AQ4" s="12" t="s">
        <v>3534</v>
      </c>
      <c r="AR4" s="12" t="s">
        <v>3535</v>
      </c>
      <c r="AS4" s="12" t="s">
        <v>3536</v>
      </c>
      <c r="AT4" s="12" t="s">
        <v>3537</v>
      </c>
      <c r="AU4" s="12" t="s">
        <v>6</v>
      </c>
      <c r="AV4" s="12" t="s">
        <v>3538</v>
      </c>
      <c r="AW4" s="12" t="s">
        <v>3539</v>
      </c>
      <c r="AX4" s="12" t="s">
        <v>3540</v>
      </c>
      <c r="AY4" s="12" t="s">
        <v>3541</v>
      </c>
      <c r="AZ4" s="12" t="s">
        <v>3542</v>
      </c>
      <c r="BA4" s="12" t="s">
        <v>3543</v>
      </c>
      <c r="BB4" s="12" t="s">
        <v>3544</v>
      </c>
      <c r="BC4" s="17"/>
    </row>
    <row r="5" ht="22.5" customHeight="1">
      <c r="A5" s="18">
        <v>46179.67738417824</v>
      </c>
      <c r="B5" s="19" t="s">
        <v>3055</v>
      </c>
      <c r="C5" s="20">
        <v>39.0</v>
      </c>
      <c r="D5" s="24" t="s">
        <v>3554</v>
      </c>
      <c r="E5" s="22">
        <f t="shared" si="1"/>
        <v>44</v>
      </c>
      <c r="F5" s="19" t="s">
        <v>3555</v>
      </c>
      <c r="G5" s="19" t="s">
        <v>3056</v>
      </c>
      <c r="H5" s="19" t="s">
        <v>3055</v>
      </c>
      <c r="I5" s="22">
        <v>7.394841804E9</v>
      </c>
      <c r="J5" s="19" t="s">
        <v>3547</v>
      </c>
      <c r="K5" s="19" t="s">
        <v>3504</v>
      </c>
      <c r="L5" s="19" t="s">
        <v>3556</v>
      </c>
      <c r="M5" s="21"/>
      <c r="N5" s="19" t="s">
        <v>3548</v>
      </c>
      <c r="O5" s="19" t="s">
        <v>3507</v>
      </c>
      <c r="P5" s="19" t="s">
        <v>3508</v>
      </c>
      <c r="Q5" s="21"/>
      <c r="R5" s="19" t="s">
        <v>3509</v>
      </c>
      <c r="S5" s="19" t="s">
        <v>3510</v>
      </c>
      <c r="T5" s="19" t="s">
        <v>3549</v>
      </c>
      <c r="U5" s="19" t="s">
        <v>3512</v>
      </c>
      <c r="V5" s="19" t="s">
        <v>3513</v>
      </c>
      <c r="W5" s="19" t="s">
        <v>3514</v>
      </c>
      <c r="X5" s="19" t="s">
        <v>3515</v>
      </c>
      <c r="Y5" s="19" t="s">
        <v>3516</v>
      </c>
      <c r="Z5" s="19" t="s">
        <v>3517</v>
      </c>
      <c r="AA5" s="19" t="s">
        <v>3518</v>
      </c>
      <c r="AB5" s="19" t="s">
        <v>3519</v>
      </c>
      <c r="AC5" s="19" t="s">
        <v>3520</v>
      </c>
      <c r="AD5" s="19" t="s">
        <v>3521</v>
      </c>
      <c r="AE5" s="19" t="s">
        <v>3522</v>
      </c>
      <c r="AF5" s="19" t="s">
        <v>3523</v>
      </c>
      <c r="AG5" s="19" t="s">
        <v>3524</v>
      </c>
      <c r="AH5" s="19" t="s">
        <v>3525</v>
      </c>
      <c r="AI5" s="19" t="s">
        <v>3526</v>
      </c>
      <c r="AJ5" s="19" t="s">
        <v>3527</v>
      </c>
      <c r="AK5" s="19" t="s">
        <v>3528</v>
      </c>
      <c r="AL5" s="19" t="s">
        <v>3529</v>
      </c>
      <c r="AM5" s="19" t="s">
        <v>3530</v>
      </c>
      <c r="AN5" s="19" t="s">
        <v>3531</v>
      </c>
      <c r="AO5" s="19" t="s">
        <v>3557</v>
      </c>
      <c r="AP5" s="19" t="s">
        <v>3533</v>
      </c>
      <c r="AQ5" s="19" t="s">
        <v>3534</v>
      </c>
      <c r="AR5" s="19" t="s">
        <v>3535</v>
      </c>
      <c r="AS5" s="19" t="s">
        <v>3536</v>
      </c>
      <c r="AT5" s="19" t="s">
        <v>3537</v>
      </c>
      <c r="AU5" s="19" t="s">
        <v>6</v>
      </c>
      <c r="AV5" s="19" t="s">
        <v>3538</v>
      </c>
      <c r="AW5" s="19" t="s">
        <v>3558</v>
      </c>
      <c r="AX5" s="19" t="s">
        <v>3540</v>
      </c>
      <c r="AY5" s="19" t="s">
        <v>3541</v>
      </c>
      <c r="AZ5" s="19" t="s">
        <v>3542</v>
      </c>
      <c r="BA5" s="19" t="s">
        <v>3543</v>
      </c>
      <c r="BB5" s="19" t="s">
        <v>3544</v>
      </c>
      <c r="BC5" s="23"/>
    </row>
    <row r="6" ht="22.5" customHeight="1">
      <c r="A6" s="11">
        <v>46179.68851231481</v>
      </c>
      <c r="B6" s="12" t="s">
        <v>3086</v>
      </c>
      <c r="C6" s="13">
        <v>25.0</v>
      </c>
      <c r="D6" s="16"/>
      <c r="E6" s="15">
        <f t="shared" si="1"/>
        <v>25</v>
      </c>
      <c r="F6" s="12" t="s">
        <v>3559</v>
      </c>
      <c r="G6" s="12" t="s">
        <v>3560</v>
      </c>
      <c r="H6" s="12" t="s">
        <v>3086</v>
      </c>
      <c r="I6" s="15">
        <v>8.122217371E9</v>
      </c>
      <c r="J6" s="12" t="s">
        <v>3561</v>
      </c>
      <c r="K6" s="12" t="s">
        <v>3504</v>
      </c>
      <c r="L6" s="12" t="s">
        <v>3556</v>
      </c>
      <c r="M6" s="16"/>
      <c r="N6" s="12" t="s">
        <v>3548</v>
      </c>
      <c r="O6" s="12" t="s">
        <v>3507</v>
      </c>
      <c r="P6" s="12" t="s">
        <v>3508</v>
      </c>
      <c r="Q6" s="16"/>
      <c r="R6" s="12" t="s">
        <v>3509</v>
      </c>
      <c r="S6" s="12" t="s">
        <v>3510</v>
      </c>
      <c r="T6" s="12" t="s">
        <v>3549</v>
      </c>
      <c r="U6" s="12" t="s">
        <v>3512</v>
      </c>
      <c r="V6" s="12" t="s">
        <v>3513</v>
      </c>
      <c r="W6" s="12" t="s">
        <v>3514</v>
      </c>
      <c r="X6" s="12" t="s">
        <v>3515</v>
      </c>
      <c r="Y6" s="12" t="s">
        <v>3516</v>
      </c>
      <c r="Z6" s="12" t="s">
        <v>3517</v>
      </c>
      <c r="AA6" s="12" t="s">
        <v>3518</v>
      </c>
      <c r="AB6" s="12" t="s">
        <v>3519</v>
      </c>
      <c r="AC6" s="12" t="s">
        <v>3520</v>
      </c>
      <c r="AD6" s="12" t="s">
        <v>3521</v>
      </c>
      <c r="AE6" s="12" t="s">
        <v>3522</v>
      </c>
      <c r="AF6" s="12" t="s">
        <v>3523</v>
      </c>
      <c r="AG6" s="12" t="s">
        <v>3524</v>
      </c>
      <c r="AH6" s="12" t="s">
        <v>3525</v>
      </c>
      <c r="AI6" s="12" t="s">
        <v>3526</v>
      </c>
      <c r="AJ6" s="12" t="s">
        <v>3527</v>
      </c>
      <c r="AK6" s="16"/>
      <c r="AL6" s="16"/>
      <c r="AM6" s="16"/>
      <c r="AN6" s="16"/>
      <c r="AO6" s="16"/>
      <c r="AP6" s="16"/>
      <c r="AQ6" s="16"/>
      <c r="AR6" s="12" t="s">
        <v>3535</v>
      </c>
      <c r="AS6" s="12" t="s">
        <v>3536</v>
      </c>
      <c r="AT6" s="12" t="s">
        <v>3562</v>
      </c>
      <c r="AU6" s="12" t="s">
        <v>6</v>
      </c>
      <c r="AV6" s="12" t="s">
        <v>3538</v>
      </c>
      <c r="AW6" s="16"/>
      <c r="AX6" s="16"/>
      <c r="AY6" s="16"/>
      <c r="AZ6" s="16"/>
      <c r="BA6" s="16"/>
      <c r="BB6" s="16"/>
      <c r="BC6" s="17"/>
    </row>
    <row r="7" ht="22.5" customHeight="1">
      <c r="A7" s="18">
        <v>46179.70474103009</v>
      </c>
      <c r="B7" s="19" t="s">
        <v>823</v>
      </c>
      <c r="C7" s="20">
        <v>41.0</v>
      </c>
      <c r="D7" s="24" t="s">
        <v>3563</v>
      </c>
      <c r="E7" s="22">
        <f t="shared" si="1"/>
        <v>46</v>
      </c>
      <c r="F7" s="19" t="s">
        <v>3564</v>
      </c>
      <c r="G7" s="19" t="s">
        <v>824</v>
      </c>
      <c r="H7" s="19" t="s">
        <v>823</v>
      </c>
      <c r="I7" s="22">
        <v>8.630225566E9</v>
      </c>
      <c r="J7" s="19" t="s">
        <v>3547</v>
      </c>
      <c r="K7" s="19" t="s">
        <v>3504</v>
      </c>
      <c r="L7" s="19" t="s">
        <v>3556</v>
      </c>
      <c r="M7" s="21"/>
      <c r="N7" s="19" t="s">
        <v>3506</v>
      </c>
      <c r="O7" s="19" t="s">
        <v>3507</v>
      </c>
      <c r="P7" s="19" t="s">
        <v>3508</v>
      </c>
      <c r="Q7" s="21"/>
      <c r="R7" s="19" t="s">
        <v>3509</v>
      </c>
      <c r="S7" s="19" t="s">
        <v>3510</v>
      </c>
      <c r="T7" s="19" t="s">
        <v>3549</v>
      </c>
      <c r="U7" s="19" t="s">
        <v>3550</v>
      </c>
      <c r="V7" s="19" t="s">
        <v>3513</v>
      </c>
      <c r="W7" s="19" t="s">
        <v>3514</v>
      </c>
      <c r="X7" s="19" t="s">
        <v>3515</v>
      </c>
      <c r="Y7" s="19" t="s">
        <v>3516</v>
      </c>
      <c r="Z7" s="19" t="s">
        <v>3517</v>
      </c>
      <c r="AA7" s="19" t="s">
        <v>3518</v>
      </c>
      <c r="AB7" s="19" t="s">
        <v>3519</v>
      </c>
      <c r="AC7" s="19" t="s">
        <v>3520</v>
      </c>
      <c r="AD7" s="19" t="s">
        <v>3521</v>
      </c>
      <c r="AE7" s="19" t="s">
        <v>3522</v>
      </c>
      <c r="AF7" s="19" t="s">
        <v>3523</v>
      </c>
      <c r="AG7" s="19" t="s">
        <v>3524</v>
      </c>
      <c r="AH7" s="19" t="s">
        <v>3525</v>
      </c>
      <c r="AI7" s="19" t="s">
        <v>3526</v>
      </c>
      <c r="AJ7" s="19" t="s">
        <v>3527</v>
      </c>
      <c r="AK7" s="19" t="s">
        <v>3528</v>
      </c>
      <c r="AL7" s="19" t="s">
        <v>3529</v>
      </c>
      <c r="AM7" s="19" t="s">
        <v>3530</v>
      </c>
      <c r="AN7" s="19" t="s">
        <v>3531</v>
      </c>
      <c r="AO7" s="19" t="s">
        <v>3557</v>
      </c>
      <c r="AP7" s="19" t="s">
        <v>3533</v>
      </c>
      <c r="AQ7" s="19" t="s">
        <v>3534</v>
      </c>
      <c r="AR7" s="19" t="s">
        <v>3535</v>
      </c>
      <c r="AS7" s="19" t="s">
        <v>3536</v>
      </c>
      <c r="AT7" s="19" t="s">
        <v>3537</v>
      </c>
      <c r="AU7" s="19" t="s">
        <v>6</v>
      </c>
      <c r="AV7" s="19" t="s">
        <v>3538</v>
      </c>
      <c r="AW7" s="19" t="s">
        <v>3558</v>
      </c>
      <c r="AX7" s="19" t="s">
        <v>3540</v>
      </c>
      <c r="AY7" s="19" t="s">
        <v>3541</v>
      </c>
      <c r="AZ7" s="19" t="s">
        <v>3542</v>
      </c>
      <c r="BA7" s="19" t="s">
        <v>3543</v>
      </c>
      <c r="BB7" s="19" t="s">
        <v>3544</v>
      </c>
      <c r="BC7" s="23"/>
    </row>
    <row r="8" ht="22.5" customHeight="1">
      <c r="A8" s="11">
        <v>46179.709016134264</v>
      </c>
      <c r="B8" s="12" t="s">
        <v>3565</v>
      </c>
      <c r="C8" s="13">
        <v>39.0</v>
      </c>
      <c r="D8" s="14" t="s">
        <v>3566</v>
      </c>
      <c r="E8" s="15">
        <f t="shared" si="1"/>
        <v>44</v>
      </c>
      <c r="F8" s="12" t="s">
        <v>3567</v>
      </c>
      <c r="G8" s="12" t="s">
        <v>3568</v>
      </c>
      <c r="H8" s="12" t="s">
        <v>27</v>
      </c>
      <c r="I8" s="15">
        <v>7.575842118E9</v>
      </c>
      <c r="J8" s="12" t="s">
        <v>3547</v>
      </c>
      <c r="K8" s="12" t="s">
        <v>3504</v>
      </c>
      <c r="L8" s="12" t="s">
        <v>3556</v>
      </c>
      <c r="M8" s="16"/>
      <c r="N8" s="12" t="s">
        <v>3569</v>
      </c>
      <c r="O8" s="12" t="s">
        <v>3507</v>
      </c>
      <c r="P8" s="12" t="s">
        <v>3508</v>
      </c>
      <c r="Q8" s="16"/>
      <c r="R8" s="12" t="s">
        <v>3509</v>
      </c>
      <c r="S8" s="12" t="s">
        <v>3510</v>
      </c>
      <c r="T8" s="12" t="s">
        <v>3549</v>
      </c>
      <c r="U8" s="12" t="s">
        <v>3512</v>
      </c>
      <c r="V8" s="12" t="s">
        <v>3513</v>
      </c>
      <c r="W8" s="12" t="s">
        <v>3514</v>
      </c>
      <c r="X8" s="12" t="s">
        <v>3515</v>
      </c>
      <c r="Y8" s="12" t="s">
        <v>3516</v>
      </c>
      <c r="Z8" s="12" t="s">
        <v>3517</v>
      </c>
      <c r="AA8" s="12" t="s">
        <v>3518</v>
      </c>
      <c r="AB8" s="12" t="s">
        <v>3519</v>
      </c>
      <c r="AC8" s="12" t="s">
        <v>3520</v>
      </c>
      <c r="AD8" s="12" t="s">
        <v>3521</v>
      </c>
      <c r="AE8" s="12" t="s">
        <v>3522</v>
      </c>
      <c r="AF8" s="12" t="s">
        <v>3523</v>
      </c>
      <c r="AG8" s="12" t="s">
        <v>3524</v>
      </c>
      <c r="AH8" s="12" t="s">
        <v>3525</v>
      </c>
      <c r="AI8" s="12" t="s">
        <v>3526</v>
      </c>
      <c r="AJ8" s="12" t="s">
        <v>3527</v>
      </c>
      <c r="AK8" s="12" t="s">
        <v>3528</v>
      </c>
      <c r="AL8" s="12" t="s">
        <v>3529</v>
      </c>
      <c r="AM8" s="12" t="s">
        <v>3530</v>
      </c>
      <c r="AN8" s="12" t="s">
        <v>3531</v>
      </c>
      <c r="AO8" s="12" t="s">
        <v>3557</v>
      </c>
      <c r="AP8" s="12" t="s">
        <v>3533</v>
      </c>
      <c r="AQ8" s="12" t="s">
        <v>3534</v>
      </c>
      <c r="AR8" s="12" t="s">
        <v>3535</v>
      </c>
      <c r="AS8" s="12" t="s">
        <v>3536</v>
      </c>
      <c r="AT8" s="12" t="s">
        <v>3537</v>
      </c>
      <c r="AU8" s="12" t="s">
        <v>6</v>
      </c>
      <c r="AV8" s="12" t="s">
        <v>3538</v>
      </c>
      <c r="AW8" s="12" t="s">
        <v>3539</v>
      </c>
      <c r="AX8" s="12" t="s">
        <v>3540</v>
      </c>
      <c r="AY8" s="12" t="s">
        <v>3570</v>
      </c>
      <c r="AZ8" s="12" t="s">
        <v>3542</v>
      </c>
      <c r="BA8" s="12" t="s">
        <v>3543</v>
      </c>
      <c r="BB8" s="12" t="s">
        <v>3544</v>
      </c>
      <c r="BC8" s="17"/>
    </row>
    <row r="9" ht="22.5" customHeight="1">
      <c r="A9" s="18">
        <v>46179.72444503472</v>
      </c>
      <c r="B9" s="19" t="s">
        <v>3571</v>
      </c>
      <c r="C9" s="20">
        <v>34.0</v>
      </c>
      <c r="D9" s="24" t="s">
        <v>3572</v>
      </c>
      <c r="E9" s="22">
        <f t="shared" si="1"/>
        <v>39</v>
      </c>
      <c r="F9" s="19" t="s">
        <v>3573</v>
      </c>
      <c r="G9" s="19" t="s">
        <v>837</v>
      </c>
      <c r="H9" s="19" t="s">
        <v>836</v>
      </c>
      <c r="I9" s="22">
        <v>9.717840802E9</v>
      </c>
      <c r="J9" s="19" t="s">
        <v>3503</v>
      </c>
      <c r="K9" s="19" t="s">
        <v>3504</v>
      </c>
      <c r="L9" s="19" t="s">
        <v>3556</v>
      </c>
      <c r="M9" s="21"/>
      <c r="N9" s="19" t="s">
        <v>3506</v>
      </c>
      <c r="O9" s="19" t="s">
        <v>3507</v>
      </c>
      <c r="P9" s="19" t="s">
        <v>3508</v>
      </c>
      <c r="Q9" s="21"/>
      <c r="R9" s="19" t="s">
        <v>3574</v>
      </c>
      <c r="S9" s="19" t="s">
        <v>3510</v>
      </c>
      <c r="T9" s="19" t="s">
        <v>3511</v>
      </c>
      <c r="U9" s="19" t="s">
        <v>3550</v>
      </c>
      <c r="V9" s="19" t="s">
        <v>3513</v>
      </c>
      <c r="W9" s="19" t="s">
        <v>3575</v>
      </c>
      <c r="X9" s="19" t="s">
        <v>3515</v>
      </c>
      <c r="Y9" s="19" t="s">
        <v>3576</v>
      </c>
      <c r="Z9" s="19" t="s">
        <v>3517</v>
      </c>
      <c r="AA9" s="19" t="s">
        <v>3518</v>
      </c>
      <c r="AB9" s="19" t="s">
        <v>3519</v>
      </c>
      <c r="AC9" s="19" t="s">
        <v>3520</v>
      </c>
      <c r="AD9" s="19" t="s">
        <v>3521</v>
      </c>
      <c r="AE9" s="19" t="s">
        <v>3522</v>
      </c>
      <c r="AF9" s="19" t="s">
        <v>3523</v>
      </c>
      <c r="AG9" s="19" t="s">
        <v>3524</v>
      </c>
      <c r="AH9" s="19" t="s">
        <v>3525</v>
      </c>
      <c r="AI9" s="19" t="s">
        <v>3526</v>
      </c>
      <c r="AJ9" s="19" t="s">
        <v>3527</v>
      </c>
      <c r="AK9" s="19" t="s">
        <v>3528</v>
      </c>
      <c r="AL9" s="19" t="s">
        <v>3529</v>
      </c>
      <c r="AM9" s="19" t="s">
        <v>3530</v>
      </c>
      <c r="AN9" s="19" t="s">
        <v>3531</v>
      </c>
      <c r="AO9" s="19" t="s">
        <v>3557</v>
      </c>
      <c r="AP9" s="19" t="s">
        <v>3577</v>
      </c>
      <c r="AQ9" s="19" t="s">
        <v>3534</v>
      </c>
      <c r="AR9" s="19" t="s">
        <v>3535</v>
      </c>
      <c r="AS9" s="19" t="s">
        <v>3536</v>
      </c>
      <c r="AT9" s="19" t="s">
        <v>3578</v>
      </c>
      <c r="AU9" s="19" t="s">
        <v>6</v>
      </c>
      <c r="AV9" s="19" t="s">
        <v>3538</v>
      </c>
      <c r="AW9" s="19" t="s">
        <v>3539</v>
      </c>
      <c r="AX9" s="19" t="s">
        <v>3540</v>
      </c>
      <c r="AY9" s="19" t="s">
        <v>3570</v>
      </c>
      <c r="AZ9" s="19" t="s">
        <v>3542</v>
      </c>
      <c r="BA9" s="19" t="s">
        <v>3579</v>
      </c>
      <c r="BB9" s="19" t="s">
        <v>3544</v>
      </c>
      <c r="BC9" s="23"/>
    </row>
    <row r="10" ht="22.5" customHeight="1">
      <c r="A10" s="11">
        <v>46179.737028738426</v>
      </c>
      <c r="B10" s="12" t="s">
        <v>1653</v>
      </c>
      <c r="C10" s="13">
        <v>39.0</v>
      </c>
      <c r="D10" s="16"/>
      <c r="E10" s="15">
        <f t="shared" si="1"/>
        <v>39</v>
      </c>
      <c r="F10" s="12" t="s">
        <v>3580</v>
      </c>
      <c r="G10" s="12" t="s">
        <v>1654</v>
      </c>
      <c r="H10" s="12" t="s">
        <v>1653</v>
      </c>
      <c r="I10" s="15">
        <v>9.499186028E9</v>
      </c>
      <c r="J10" s="12" t="s">
        <v>3547</v>
      </c>
      <c r="K10" s="12" t="s">
        <v>3504</v>
      </c>
      <c r="L10" s="12" t="s">
        <v>3556</v>
      </c>
      <c r="M10" s="16"/>
      <c r="N10" s="12" t="s">
        <v>3569</v>
      </c>
      <c r="O10" s="12" t="s">
        <v>3507</v>
      </c>
      <c r="P10" s="12" t="s">
        <v>3508</v>
      </c>
      <c r="Q10" s="16"/>
      <c r="R10" s="12" t="s">
        <v>3509</v>
      </c>
      <c r="S10" s="12" t="s">
        <v>3510</v>
      </c>
      <c r="T10" s="12" t="s">
        <v>3511</v>
      </c>
      <c r="U10" s="12" t="s">
        <v>3512</v>
      </c>
      <c r="V10" s="12" t="s">
        <v>3513</v>
      </c>
      <c r="W10" s="12" t="s">
        <v>3514</v>
      </c>
      <c r="X10" s="12" t="s">
        <v>3515</v>
      </c>
      <c r="Y10" s="12" t="s">
        <v>3516</v>
      </c>
      <c r="Z10" s="12" t="s">
        <v>3517</v>
      </c>
      <c r="AA10" s="12" t="s">
        <v>3518</v>
      </c>
      <c r="AB10" s="12" t="s">
        <v>3519</v>
      </c>
      <c r="AC10" s="12" t="s">
        <v>3520</v>
      </c>
      <c r="AD10" s="12" t="s">
        <v>3521</v>
      </c>
      <c r="AE10" s="12" t="s">
        <v>3522</v>
      </c>
      <c r="AF10" s="12" t="s">
        <v>3523</v>
      </c>
      <c r="AG10" s="12" t="s">
        <v>3524</v>
      </c>
      <c r="AH10" s="12" t="s">
        <v>3525</v>
      </c>
      <c r="AI10" s="12" t="s">
        <v>3526</v>
      </c>
      <c r="AJ10" s="12" t="s">
        <v>3527</v>
      </c>
      <c r="AK10" s="12" t="s">
        <v>3528</v>
      </c>
      <c r="AL10" s="12" t="s">
        <v>3529</v>
      </c>
      <c r="AM10" s="12" t="s">
        <v>3530</v>
      </c>
      <c r="AN10" s="12" t="s">
        <v>3531</v>
      </c>
      <c r="AO10" s="12" t="s">
        <v>3557</v>
      </c>
      <c r="AP10" s="12" t="s">
        <v>3533</v>
      </c>
      <c r="AQ10" s="12" t="s">
        <v>3534</v>
      </c>
      <c r="AR10" s="12" t="s">
        <v>3535</v>
      </c>
      <c r="AS10" s="12" t="s">
        <v>3536</v>
      </c>
      <c r="AT10" s="12" t="s">
        <v>3537</v>
      </c>
      <c r="AU10" s="12" t="s">
        <v>6</v>
      </c>
      <c r="AV10" s="12" t="s">
        <v>3538</v>
      </c>
      <c r="AW10" s="12" t="s">
        <v>3539</v>
      </c>
      <c r="AX10" s="12" t="s">
        <v>3540</v>
      </c>
      <c r="AY10" s="12" t="s">
        <v>3541</v>
      </c>
      <c r="AZ10" s="12" t="s">
        <v>3542</v>
      </c>
      <c r="BA10" s="12" t="s">
        <v>3543</v>
      </c>
      <c r="BB10" s="12" t="s">
        <v>3544</v>
      </c>
      <c r="BC10" s="17"/>
    </row>
    <row r="11" ht="22.5" customHeight="1">
      <c r="A11" s="18">
        <v>46179.739952916665</v>
      </c>
      <c r="B11" s="19" t="s">
        <v>3046</v>
      </c>
      <c r="C11" s="20">
        <v>34.0</v>
      </c>
      <c r="D11" s="21"/>
      <c r="E11" s="22">
        <f t="shared" si="1"/>
        <v>34</v>
      </c>
      <c r="F11" s="19" t="s">
        <v>3581</v>
      </c>
      <c r="G11" s="19" t="s">
        <v>3047</v>
      </c>
      <c r="H11" s="19" t="s">
        <v>3046</v>
      </c>
      <c r="I11" s="22">
        <v>9.106330332E9</v>
      </c>
      <c r="J11" s="21"/>
      <c r="K11" s="19" t="s">
        <v>3504</v>
      </c>
      <c r="L11" s="19" t="s">
        <v>3556</v>
      </c>
      <c r="M11" s="21"/>
      <c r="N11" s="21"/>
      <c r="O11" s="19" t="s">
        <v>3507</v>
      </c>
      <c r="P11" s="19" t="s">
        <v>3508</v>
      </c>
      <c r="Q11" s="21"/>
      <c r="R11" s="19" t="s">
        <v>3509</v>
      </c>
      <c r="S11" s="19" t="s">
        <v>3510</v>
      </c>
      <c r="T11" s="19" t="s">
        <v>3511</v>
      </c>
      <c r="U11" s="19" t="s">
        <v>3582</v>
      </c>
      <c r="V11" s="19" t="s">
        <v>3513</v>
      </c>
      <c r="W11" s="19" t="s">
        <v>3514</v>
      </c>
      <c r="X11" s="21"/>
      <c r="Y11" s="19" t="s">
        <v>3516</v>
      </c>
      <c r="Z11" s="19" t="s">
        <v>3517</v>
      </c>
      <c r="AA11" s="19" t="s">
        <v>3518</v>
      </c>
      <c r="AB11" s="19" t="s">
        <v>3519</v>
      </c>
      <c r="AC11" s="19" t="s">
        <v>3520</v>
      </c>
      <c r="AD11" s="19" t="s">
        <v>3521</v>
      </c>
      <c r="AE11" s="19" t="s">
        <v>3522</v>
      </c>
      <c r="AF11" s="19" t="s">
        <v>3523</v>
      </c>
      <c r="AG11" s="19" t="s">
        <v>3524</v>
      </c>
      <c r="AH11" s="19" t="s">
        <v>3525</v>
      </c>
      <c r="AI11" s="19" t="s">
        <v>3526</v>
      </c>
      <c r="AJ11" s="19" t="s">
        <v>3527</v>
      </c>
      <c r="AK11" s="19" t="s">
        <v>3528</v>
      </c>
      <c r="AL11" s="19" t="s">
        <v>3529</v>
      </c>
      <c r="AM11" s="19" t="s">
        <v>3530</v>
      </c>
      <c r="AN11" s="19" t="s">
        <v>3531</v>
      </c>
      <c r="AO11" s="21"/>
      <c r="AP11" s="19" t="s">
        <v>3533</v>
      </c>
      <c r="AQ11" s="19" t="s">
        <v>3534</v>
      </c>
      <c r="AR11" s="21"/>
      <c r="AS11" s="19" t="s">
        <v>3536</v>
      </c>
      <c r="AT11" s="19" t="s">
        <v>3537</v>
      </c>
      <c r="AU11" s="19" t="s">
        <v>6</v>
      </c>
      <c r="AV11" s="19" t="s">
        <v>3538</v>
      </c>
      <c r="AW11" s="21"/>
      <c r="AX11" s="19" t="s">
        <v>3540</v>
      </c>
      <c r="AY11" s="19" t="s">
        <v>3541</v>
      </c>
      <c r="AZ11" s="19" t="s">
        <v>3542</v>
      </c>
      <c r="BA11" s="19" t="s">
        <v>3543</v>
      </c>
      <c r="BB11" s="19" t="s">
        <v>3544</v>
      </c>
      <c r="BC11" s="23"/>
    </row>
    <row r="12" ht="22.5" customHeight="1">
      <c r="A12" s="11">
        <v>46179.787380891205</v>
      </c>
      <c r="B12" s="12" t="s">
        <v>3583</v>
      </c>
      <c r="C12" s="13">
        <v>34.0</v>
      </c>
      <c r="D12" s="14" t="s">
        <v>3584</v>
      </c>
      <c r="E12" s="15">
        <f t="shared" si="1"/>
        <v>39</v>
      </c>
      <c r="F12" s="12" t="s">
        <v>3585</v>
      </c>
      <c r="G12" s="12" t="s">
        <v>3586</v>
      </c>
      <c r="H12" s="12" t="s">
        <v>144</v>
      </c>
      <c r="I12" s="15">
        <v>7.070883463E9</v>
      </c>
      <c r="J12" s="12" t="s">
        <v>3547</v>
      </c>
      <c r="K12" s="12" t="s">
        <v>3504</v>
      </c>
      <c r="L12" s="12" t="s">
        <v>3556</v>
      </c>
      <c r="M12" s="16"/>
      <c r="N12" s="12" t="s">
        <v>3506</v>
      </c>
      <c r="O12" s="12" t="s">
        <v>3507</v>
      </c>
      <c r="P12" s="12" t="s">
        <v>3508</v>
      </c>
      <c r="Q12" s="16"/>
      <c r="R12" s="12" t="s">
        <v>3509</v>
      </c>
      <c r="S12" s="12" t="s">
        <v>3510</v>
      </c>
      <c r="T12" s="12" t="s">
        <v>3549</v>
      </c>
      <c r="U12" s="12" t="s">
        <v>3512</v>
      </c>
      <c r="V12" s="12" t="s">
        <v>3513</v>
      </c>
      <c r="W12" s="12" t="s">
        <v>3587</v>
      </c>
      <c r="X12" s="12" t="s">
        <v>3588</v>
      </c>
      <c r="Y12" s="12" t="s">
        <v>3516</v>
      </c>
      <c r="Z12" s="12" t="s">
        <v>3517</v>
      </c>
      <c r="AA12" s="12" t="s">
        <v>3518</v>
      </c>
      <c r="AB12" s="12" t="s">
        <v>3519</v>
      </c>
      <c r="AC12" s="12" t="s">
        <v>3520</v>
      </c>
      <c r="AD12" s="12" t="s">
        <v>3521</v>
      </c>
      <c r="AE12" s="12" t="s">
        <v>3522</v>
      </c>
      <c r="AF12" s="12" t="s">
        <v>3523</v>
      </c>
      <c r="AG12" s="12" t="s">
        <v>3589</v>
      </c>
      <c r="AH12" s="12" t="s">
        <v>3525</v>
      </c>
      <c r="AI12" s="12" t="s">
        <v>3526</v>
      </c>
      <c r="AJ12" s="12" t="s">
        <v>3527</v>
      </c>
      <c r="AK12" s="12" t="s">
        <v>3528</v>
      </c>
      <c r="AL12" s="12" t="s">
        <v>3590</v>
      </c>
      <c r="AM12" s="12" t="s">
        <v>3530</v>
      </c>
      <c r="AN12" s="12" t="s">
        <v>3531</v>
      </c>
      <c r="AO12" s="12" t="s">
        <v>3532</v>
      </c>
      <c r="AP12" s="12" t="s">
        <v>3533</v>
      </c>
      <c r="AQ12" s="12" t="s">
        <v>3534</v>
      </c>
      <c r="AR12" s="12" t="s">
        <v>3535</v>
      </c>
      <c r="AS12" s="12" t="s">
        <v>3536</v>
      </c>
      <c r="AT12" s="12" t="s">
        <v>3537</v>
      </c>
      <c r="AU12" s="12" t="s">
        <v>6</v>
      </c>
      <c r="AV12" s="12" t="s">
        <v>3536</v>
      </c>
      <c r="AW12" s="12" t="s">
        <v>3558</v>
      </c>
      <c r="AX12" s="12" t="s">
        <v>3540</v>
      </c>
      <c r="AY12" s="12" t="s">
        <v>3541</v>
      </c>
      <c r="AZ12" s="12" t="s">
        <v>3542</v>
      </c>
      <c r="BA12" s="12" t="s">
        <v>3543</v>
      </c>
      <c r="BB12" s="12" t="s">
        <v>3544</v>
      </c>
      <c r="BC12" s="17"/>
    </row>
    <row r="13" ht="22.5" customHeight="1">
      <c r="A13" s="18">
        <v>46179.80218082176</v>
      </c>
      <c r="B13" s="19" t="s">
        <v>2889</v>
      </c>
      <c r="C13" s="20">
        <v>38.0</v>
      </c>
      <c r="D13" s="24" t="s">
        <v>3591</v>
      </c>
      <c r="E13" s="22">
        <f t="shared" si="1"/>
        <v>43</v>
      </c>
      <c r="F13" s="19" t="s">
        <v>3592</v>
      </c>
      <c r="G13" s="19" t="s">
        <v>2890</v>
      </c>
      <c r="H13" s="19" t="s">
        <v>2889</v>
      </c>
      <c r="I13" s="22">
        <v>6.282704483E9</v>
      </c>
      <c r="J13" s="19" t="s">
        <v>3503</v>
      </c>
      <c r="K13" s="19" t="s">
        <v>3504</v>
      </c>
      <c r="L13" s="19" t="s">
        <v>3505</v>
      </c>
      <c r="M13" s="21"/>
      <c r="N13" s="19" t="s">
        <v>3506</v>
      </c>
      <c r="O13" s="19" t="s">
        <v>3507</v>
      </c>
      <c r="P13" s="19" t="s">
        <v>3508</v>
      </c>
      <c r="Q13" s="21"/>
      <c r="R13" s="19" t="s">
        <v>3509</v>
      </c>
      <c r="S13" s="19" t="s">
        <v>3510</v>
      </c>
      <c r="T13" s="19" t="s">
        <v>3549</v>
      </c>
      <c r="U13" s="19" t="s">
        <v>3550</v>
      </c>
      <c r="V13" s="19" t="s">
        <v>3593</v>
      </c>
      <c r="W13" s="19" t="s">
        <v>3514</v>
      </c>
      <c r="X13" s="19" t="s">
        <v>3515</v>
      </c>
      <c r="Y13" s="19" t="s">
        <v>3516</v>
      </c>
      <c r="Z13" s="19" t="s">
        <v>3517</v>
      </c>
      <c r="AA13" s="19" t="s">
        <v>3518</v>
      </c>
      <c r="AB13" s="19" t="s">
        <v>3519</v>
      </c>
      <c r="AC13" s="19" t="s">
        <v>3520</v>
      </c>
      <c r="AD13" s="19" t="s">
        <v>3521</v>
      </c>
      <c r="AE13" s="19" t="s">
        <v>3522</v>
      </c>
      <c r="AF13" s="19" t="s">
        <v>3594</v>
      </c>
      <c r="AG13" s="19" t="s">
        <v>3524</v>
      </c>
      <c r="AH13" s="19" t="s">
        <v>3525</v>
      </c>
      <c r="AI13" s="19" t="s">
        <v>3526</v>
      </c>
      <c r="AJ13" s="19" t="s">
        <v>3527</v>
      </c>
      <c r="AK13" s="19" t="s">
        <v>3528</v>
      </c>
      <c r="AL13" s="19" t="s">
        <v>3529</v>
      </c>
      <c r="AM13" s="19" t="s">
        <v>3530</v>
      </c>
      <c r="AN13" s="19" t="s">
        <v>3531</v>
      </c>
      <c r="AO13" s="19" t="s">
        <v>3557</v>
      </c>
      <c r="AP13" s="19" t="s">
        <v>3533</v>
      </c>
      <c r="AQ13" s="19" t="s">
        <v>3534</v>
      </c>
      <c r="AR13" s="19" t="s">
        <v>3535</v>
      </c>
      <c r="AS13" s="19" t="s">
        <v>3536</v>
      </c>
      <c r="AT13" s="19" t="s">
        <v>3537</v>
      </c>
      <c r="AU13" s="19" t="s">
        <v>6</v>
      </c>
      <c r="AV13" s="19" t="s">
        <v>3538</v>
      </c>
      <c r="AW13" s="19" t="s">
        <v>3539</v>
      </c>
      <c r="AX13" s="19" t="s">
        <v>3540</v>
      </c>
      <c r="AY13" s="19" t="s">
        <v>3541</v>
      </c>
      <c r="AZ13" s="19" t="s">
        <v>3542</v>
      </c>
      <c r="BA13" s="19" t="s">
        <v>3543</v>
      </c>
      <c r="BB13" s="19" t="s">
        <v>3544</v>
      </c>
      <c r="BC13" s="23"/>
    </row>
    <row r="14" ht="22.5" customHeight="1">
      <c r="A14" s="11">
        <v>46179.80730173611</v>
      </c>
      <c r="B14" s="12" t="s">
        <v>3595</v>
      </c>
      <c r="C14" s="13">
        <v>34.0</v>
      </c>
      <c r="D14" s="14" t="s">
        <v>3596</v>
      </c>
      <c r="E14" s="15">
        <f t="shared" si="1"/>
        <v>39</v>
      </c>
      <c r="F14" s="12" t="s">
        <v>3597</v>
      </c>
      <c r="G14" s="12" t="s">
        <v>386</v>
      </c>
      <c r="H14" s="12" t="s">
        <v>3598</v>
      </c>
      <c r="I14" s="15">
        <v>9.835327053E9</v>
      </c>
      <c r="J14" s="12" t="s">
        <v>3503</v>
      </c>
      <c r="K14" s="12" t="s">
        <v>3504</v>
      </c>
      <c r="L14" s="12" t="s">
        <v>3505</v>
      </c>
      <c r="M14" s="16"/>
      <c r="N14" s="12" t="s">
        <v>3506</v>
      </c>
      <c r="O14" s="12" t="s">
        <v>3507</v>
      </c>
      <c r="P14" s="16"/>
      <c r="Q14" s="16"/>
      <c r="R14" s="16"/>
      <c r="S14" s="12" t="s">
        <v>3510</v>
      </c>
      <c r="T14" s="12" t="s">
        <v>3549</v>
      </c>
      <c r="U14" s="12" t="s">
        <v>3512</v>
      </c>
      <c r="V14" s="12" t="s">
        <v>3599</v>
      </c>
      <c r="W14" s="12" t="s">
        <v>3514</v>
      </c>
      <c r="X14" s="12" t="s">
        <v>3515</v>
      </c>
      <c r="Y14" s="12" t="s">
        <v>3516</v>
      </c>
      <c r="Z14" s="12" t="s">
        <v>3517</v>
      </c>
      <c r="AA14" s="12" t="s">
        <v>3518</v>
      </c>
      <c r="AB14" s="16"/>
      <c r="AC14" s="12" t="s">
        <v>3520</v>
      </c>
      <c r="AD14" s="12" t="s">
        <v>3521</v>
      </c>
      <c r="AE14" s="12" t="s">
        <v>3522</v>
      </c>
      <c r="AF14" s="12" t="s">
        <v>3523</v>
      </c>
      <c r="AG14" s="12" t="s">
        <v>3524</v>
      </c>
      <c r="AH14" s="12" t="s">
        <v>3600</v>
      </c>
      <c r="AI14" s="12" t="s">
        <v>3526</v>
      </c>
      <c r="AJ14" s="12" t="s">
        <v>3527</v>
      </c>
      <c r="AK14" s="12" t="s">
        <v>3528</v>
      </c>
      <c r="AL14" s="12" t="s">
        <v>3529</v>
      </c>
      <c r="AM14" s="12" t="s">
        <v>3530</v>
      </c>
      <c r="AN14" s="12" t="s">
        <v>3531</v>
      </c>
      <c r="AO14" s="12" t="s">
        <v>3557</v>
      </c>
      <c r="AP14" s="12" t="s">
        <v>3533</v>
      </c>
      <c r="AQ14" s="12" t="s">
        <v>3534</v>
      </c>
      <c r="AR14" s="12" t="s">
        <v>3535</v>
      </c>
      <c r="AS14" s="12" t="s">
        <v>3536</v>
      </c>
      <c r="AT14" s="12" t="s">
        <v>3537</v>
      </c>
      <c r="AU14" s="12" t="s">
        <v>6</v>
      </c>
      <c r="AV14" s="12" t="s">
        <v>3538</v>
      </c>
      <c r="AW14" s="12" t="s">
        <v>3539</v>
      </c>
      <c r="AX14" s="12" t="s">
        <v>3540</v>
      </c>
      <c r="AY14" s="12" t="s">
        <v>3541</v>
      </c>
      <c r="AZ14" s="12" t="s">
        <v>3542</v>
      </c>
      <c r="BA14" s="12" t="s">
        <v>3543</v>
      </c>
      <c r="BB14" s="12" t="s">
        <v>3544</v>
      </c>
      <c r="BC14" s="17"/>
    </row>
    <row r="15" ht="22.5" customHeight="1">
      <c r="A15" s="18">
        <v>46179.81116482639</v>
      </c>
      <c r="B15" s="19" t="s">
        <v>3601</v>
      </c>
      <c r="C15" s="20">
        <v>41.0</v>
      </c>
      <c r="D15" s="24" t="s">
        <v>3602</v>
      </c>
      <c r="E15" s="22">
        <f t="shared" si="1"/>
        <v>46</v>
      </c>
      <c r="F15" s="19" t="s">
        <v>3603</v>
      </c>
      <c r="G15" s="19" t="s">
        <v>2885</v>
      </c>
      <c r="H15" s="19" t="s">
        <v>905</v>
      </c>
      <c r="I15" s="22">
        <v>9.933786164E9</v>
      </c>
      <c r="J15" s="19" t="s">
        <v>3547</v>
      </c>
      <c r="K15" s="19" t="s">
        <v>3504</v>
      </c>
      <c r="L15" s="19" t="s">
        <v>3556</v>
      </c>
      <c r="M15" s="21"/>
      <c r="N15" s="19" t="s">
        <v>3506</v>
      </c>
      <c r="O15" s="19" t="s">
        <v>3507</v>
      </c>
      <c r="P15" s="19" t="s">
        <v>3508</v>
      </c>
      <c r="Q15" s="21"/>
      <c r="R15" s="19" t="s">
        <v>3509</v>
      </c>
      <c r="S15" s="19" t="s">
        <v>3510</v>
      </c>
      <c r="T15" s="19" t="s">
        <v>3511</v>
      </c>
      <c r="U15" s="19" t="s">
        <v>3550</v>
      </c>
      <c r="V15" s="19" t="s">
        <v>3513</v>
      </c>
      <c r="W15" s="19" t="s">
        <v>3514</v>
      </c>
      <c r="X15" s="19" t="s">
        <v>3515</v>
      </c>
      <c r="Y15" s="19" t="s">
        <v>3516</v>
      </c>
      <c r="Z15" s="19" t="s">
        <v>3517</v>
      </c>
      <c r="AA15" s="19" t="s">
        <v>3518</v>
      </c>
      <c r="AB15" s="19" t="s">
        <v>3519</v>
      </c>
      <c r="AC15" s="19" t="s">
        <v>3520</v>
      </c>
      <c r="AD15" s="19" t="s">
        <v>3521</v>
      </c>
      <c r="AE15" s="19" t="s">
        <v>3522</v>
      </c>
      <c r="AF15" s="19" t="s">
        <v>3523</v>
      </c>
      <c r="AG15" s="19" t="s">
        <v>3524</v>
      </c>
      <c r="AH15" s="19" t="s">
        <v>3525</v>
      </c>
      <c r="AI15" s="19" t="s">
        <v>3526</v>
      </c>
      <c r="AJ15" s="19" t="s">
        <v>3527</v>
      </c>
      <c r="AK15" s="19" t="s">
        <v>3528</v>
      </c>
      <c r="AL15" s="19" t="s">
        <v>3529</v>
      </c>
      <c r="AM15" s="19" t="s">
        <v>3530</v>
      </c>
      <c r="AN15" s="19" t="s">
        <v>3531</v>
      </c>
      <c r="AO15" s="19" t="s">
        <v>3557</v>
      </c>
      <c r="AP15" s="19" t="s">
        <v>3533</v>
      </c>
      <c r="AQ15" s="19" t="s">
        <v>3534</v>
      </c>
      <c r="AR15" s="19" t="s">
        <v>3535</v>
      </c>
      <c r="AS15" s="19" t="s">
        <v>3536</v>
      </c>
      <c r="AT15" s="19" t="s">
        <v>3537</v>
      </c>
      <c r="AU15" s="19" t="s">
        <v>6</v>
      </c>
      <c r="AV15" s="19" t="s">
        <v>3538</v>
      </c>
      <c r="AW15" s="19" t="s">
        <v>3539</v>
      </c>
      <c r="AX15" s="19" t="s">
        <v>3540</v>
      </c>
      <c r="AY15" s="19" t="s">
        <v>3541</v>
      </c>
      <c r="AZ15" s="19" t="s">
        <v>3542</v>
      </c>
      <c r="BA15" s="19" t="s">
        <v>3543</v>
      </c>
      <c r="BB15" s="19" t="s">
        <v>3544</v>
      </c>
      <c r="BC15" s="23"/>
    </row>
    <row r="16" ht="22.5" customHeight="1">
      <c r="A16" s="11">
        <v>46179.81436931713</v>
      </c>
      <c r="B16" s="12" t="s">
        <v>3118</v>
      </c>
      <c r="C16" s="13">
        <v>40.0</v>
      </c>
      <c r="D16" s="16"/>
      <c r="E16" s="15">
        <f t="shared" si="1"/>
        <v>40</v>
      </c>
      <c r="F16" s="12" t="s">
        <v>3604</v>
      </c>
      <c r="G16" s="12" t="s">
        <v>3119</v>
      </c>
      <c r="H16" s="12" t="s">
        <v>3118</v>
      </c>
      <c r="I16" s="15">
        <v>6.383404983E9</v>
      </c>
      <c r="J16" s="12" t="s">
        <v>3547</v>
      </c>
      <c r="K16" s="12" t="s">
        <v>3504</v>
      </c>
      <c r="L16" s="12" t="s">
        <v>3556</v>
      </c>
      <c r="M16" s="16"/>
      <c r="N16" s="12" t="s">
        <v>3506</v>
      </c>
      <c r="O16" s="12" t="s">
        <v>3507</v>
      </c>
      <c r="P16" s="12" t="s">
        <v>3508</v>
      </c>
      <c r="Q16" s="16"/>
      <c r="R16" s="12" t="s">
        <v>3509</v>
      </c>
      <c r="S16" s="12" t="s">
        <v>3510</v>
      </c>
      <c r="T16" s="12" t="s">
        <v>3511</v>
      </c>
      <c r="U16" s="12" t="s">
        <v>3550</v>
      </c>
      <c r="V16" s="12" t="s">
        <v>3513</v>
      </c>
      <c r="W16" s="12" t="s">
        <v>3514</v>
      </c>
      <c r="X16" s="12" t="s">
        <v>3515</v>
      </c>
      <c r="Y16" s="12" t="s">
        <v>3516</v>
      </c>
      <c r="Z16" s="12" t="s">
        <v>3517</v>
      </c>
      <c r="AA16" s="12" t="s">
        <v>3518</v>
      </c>
      <c r="AB16" s="12" t="s">
        <v>3519</v>
      </c>
      <c r="AC16" s="12" t="s">
        <v>3520</v>
      </c>
      <c r="AD16" s="12" t="s">
        <v>3521</v>
      </c>
      <c r="AE16" s="12" t="s">
        <v>3522</v>
      </c>
      <c r="AF16" s="12" t="s">
        <v>3523</v>
      </c>
      <c r="AG16" s="12" t="s">
        <v>3524</v>
      </c>
      <c r="AH16" s="12" t="s">
        <v>3525</v>
      </c>
      <c r="AI16" s="12" t="s">
        <v>3526</v>
      </c>
      <c r="AJ16" s="12" t="s">
        <v>3527</v>
      </c>
      <c r="AK16" s="12" t="s">
        <v>3528</v>
      </c>
      <c r="AL16" s="12" t="s">
        <v>3529</v>
      </c>
      <c r="AM16" s="12" t="s">
        <v>3530</v>
      </c>
      <c r="AN16" s="12" t="s">
        <v>3531</v>
      </c>
      <c r="AO16" s="12" t="s">
        <v>3532</v>
      </c>
      <c r="AP16" s="12" t="s">
        <v>3533</v>
      </c>
      <c r="AQ16" s="12" t="s">
        <v>3534</v>
      </c>
      <c r="AR16" s="12" t="s">
        <v>3535</v>
      </c>
      <c r="AS16" s="12" t="s">
        <v>3536</v>
      </c>
      <c r="AT16" s="12" t="s">
        <v>3537</v>
      </c>
      <c r="AU16" s="12" t="s">
        <v>6</v>
      </c>
      <c r="AV16" s="12" t="s">
        <v>3538</v>
      </c>
      <c r="AW16" s="12" t="s">
        <v>3539</v>
      </c>
      <c r="AX16" s="12" t="s">
        <v>3540</v>
      </c>
      <c r="AY16" s="12" t="s">
        <v>3541</v>
      </c>
      <c r="AZ16" s="12" t="s">
        <v>3542</v>
      </c>
      <c r="BA16" s="12" t="s">
        <v>3543</v>
      </c>
      <c r="BB16" s="12" t="s">
        <v>3544</v>
      </c>
      <c r="BC16" s="17"/>
    </row>
    <row r="17" ht="22.5" customHeight="1">
      <c r="A17" s="18">
        <v>46179.824933067124</v>
      </c>
      <c r="B17" s="19" t="s">
        <v>2901</v>
      </c>
      <c r="C17" s="20">
        <v>39.0</v>
      </c>
      <c r="D17" s="24" t="s">
        <v>3605</v>
      </c>
      <c r="E17" s="22">
        <f t="shared" si="1"/>
        <v>44</v>
      </c>
      <c r="F17" s="19" t="s">
        <v>3606</v>
      </c>
      <c r="G17" s="19" t="s">
        <v>2902</v>
      </c>
      <c r="H17" s="19" t="s">
        <v>2901</v>
      </c>
      <c r="I17" s="22">
        <v>8.500795388E9</v>
      </c>
      <c r="J17" s="19" t="s">
        <v>3607</v>
      </c>
      <c r="K17" s="19" t="s">
        <v>3504</v>
      </c>
      <c r="L17" s="19" t="s">
        <v>3556</v>
      </c>
      <c r="M17" s="21"/>
      <c r="N17" s="19" t="s">
        <v>3506</v>
      </c>
      <c r="O17" s="19" t="s">
        <v>3507</v>
      </c>
      <c r="P17" s="19" t="s">
        <v>3508</v>
      </c>
      <c r="Q17" s="21"/>
      <c r="R17" s="19" t="s">
        <v>3509</v>
      </c>
      <c r="S17" s="19" t="s">
        <v>3510</v>
      </c>
      <c r="T17" s="19" t="s">
        <v>3549</v>
      </c>
      <c r="U17" s="19" t="s">
        <v>3550</v>
      </c>
      <c r="V17" s="19" t="s">
        <v>3513</v>
      </c>
      <c r="W17" s="19" t="s">
        <v>3514</v>
      </c>
      <c r="X17" s="19" t="s">
        <v>3515</v>
      </c>
      <c r="Y17" s="19" t="s">
        <v>3516</v>
      </c>
      <c r="Z17" s="19" t="s">
        <v>3608</v>
      </c>
      <c r="AA17" s="19" t="s">
        <v>3518</v>
      </c>
      <c r="AB17" s="19" t="s">
        <v>3519</v>
      </c>
      <c r="AC17" s="19" t="s">
        <v>3520</v>
      </c>
      <c r="AD17" s="19" t="s">
        <v>3521</v>
      </c>
      <c r="AE17" s="19" t="s">
        <v>3522</v>
      </c>
      <c r="AF17" s="19" t="s">
        <v>3523</v>
      </c>
      <c r="AG17" s="19" t="s">
        <v>3524</v>
      </c>
      <c r="AH17" s="19" t="s">
        <v>3525</v>
      </c>
      <c r="AI17" s="19" t="s">
        <v>3526</v>
      </c>
      <c r="AJ17" s="19" t="s">
        <v>3527</v>
      </c>
      <c r="AK17" s="19" t="s">
        <v>3528</v>
      </c>
      <c r="AL17" s="19" t="s">
        <v>3529</v>
      </c>
      <c r="AM17" s="19" t="s">
        <v>3530</v>
      </c>
      <c r="AN17" s="19" t="s">
        <v>3531</v>
      </c>
      <c r="AO17" s="19" t="s">
        <v>3557</v>
      </c>
      <c r="AP17" s="19" t="s">
        <v>3533</v>
      </c>
      <c r="AQ17" s="19" t="s">
        <v>3534</v>
      </c>
      <c r="AR17" s="19" t="s">
        <v>3535</v>
      </c>
      <c r="AS17" s="19" t="s">
        <v>3536</v>
      </c>
      <c r="AT17" s="19" t="s">
        <v>3537</v>
      </c>
      <c r="AU17" s="19" t="s">
        <v>6</v>
      </c>
      <c r="AV17" s="19" t="s">
        <v>3538</v>
      </c>
      <c r="AW17" s="19" t="s">
        <v>3558</v>
      </c>
      <c r="AX17" s="19" t="s">
        <v>3540</v>
      </c>
      <c r="AY17" s="19" t="s">
        <v>3541</v>
      </c>
      <c r="AZ17" s="19" t="s">
        <v>3542</v>
      </c>
      <c r="BA17" s="19" t="s">
        <v>3543</v>
      </c>
      <c r="BB17" s="19" t="s">
        <v>3544</v>
      </c>
      <c r="BC17" s="23"/>
    </row>
    <row r="18" ht="22.5" customHeight="1">
      <c r="A18" s="11">
        <v>46179.83927222222</v>
      </c>
      <c r="B18" s="12" t="s">
        <v>1481</v>
      </c>
      <c r="C18" s="13">
        <v>33.0</v>
      </c>
      <c r="D18" s="14" t="s">
        <v>3609</v>
      </c>
      <c r="E18" s="15">
        <f t="shared" si="1"/>
        <v>38</v>
      </c>
      <c r="F18" s="12" t="s">
        <v>3610</v>
      </c>
      <c r="G18" s="12" t="s">
        <v>3611</v>
      </c>
      <c r="H18" s="12" t="s">
        <v>1481</v>
      </c>
      <c r="I18" s="15">
        <v>7.044483264E9</v>
      </c>
      <c r="J18" s="12" t="s">
        <v>3547</v>
      </c>
      <c r="K18" s="12" t="s">
        <v>3504</v>
      </c>
      <c r="L18" s="12" t="s">
        <v>3612</v>
      </c>
      <c r="M18" s="16"/>
      <c r="N18" s="12" t="s">
        <v>3613</v>
      </c>
      <c r="O18" s="12" t="s">
        <v>3614</v>
      </c>
      <c r="P18" s="12" t="s">
        <v>3508</v>
      </c>
      <c r="Q18" s="16"/>
      <c r="R18" s="12" t="s">
        <v>3509</v>
      </c>
      <c r="S18" s="12" t="s">
        <v>3510</v>
      </c>
      <c r="T18" s="12" t="s">
        <v>3549</v>
      </c>
      <c r="U18" s="12" t="s">
        <v>3512</v>
      </c>
      <c r="V18" s="12" t="s">
        <v>3513</v>
      </c>
      <c r="W18" s="12" t="s">
        <v>3514</v>
      </c>
      <c r="X18" s="12" t="s">
        <v>3515</v>
      </c>
      <c r="Y18" s="12" t="s">
        <v>3516</v>
      </c>
      <c r="Z18" s="12" t="s">
        <v>3517</v>
      </c>
      <c r="AA18" s="12" t="s">
        <v>3518</v>
      </c>
      <c r="AB18" s="12" t="s">
        <v>3519</v>
      </c>
      <c r="AC18" s="12" t="s">
        <v>3520</v>
      </c>
      <c r="AD18" s="12" t="s">
        <v>3615</v>
      </c>
      <c r="AE18" s="12" t="s">
        <v>3522</v>
      </c>
      <c r="AF18" s="12" t="s">
        <v>3523</v>
      </c>
      <c r="AG18" s="12" t="s">
        <v>3524</v>
      </c>
      <c r="AH18" s="12" t="s">
        <v>3525</v>
      </c>
      <c r="AI18" s="12" t="s">
        <v>3526</v>
      </c>
      <c r="AJ18" s="12" t="s">
        <v>3527</v>
      </c>
      <c r="AK18" s="12" t="s">
        <v>3528</v>
      </c>
      <c r="AL18" s="12" t="s">
        <v>3529</v>
      </c>
      <c r="AM18" s="12" t="s">
        <v>3530</v>
      </c>
      <c r="AN18" s="12" t="s">
        <v>3531</v>
      </c>
      <c r="AO18" s="12" t="s">
        <v>3557</v>
      </c>
      <c r="AP18" s="12" t="s">
        <v>3533</v>
      </c>
      <c r="AQ18" s="12" t="s">
        <v>3616</v>
      </c>
      <c r="AR18" s="12" t="s">
        <v>3535</v>
      </c>
      <c r="AS18" s="12" t="s">
        <v>3538</v>
      </c>
      <c r="AT18" s="12" t="s">
        <v>3537</v>
      </c>
      <c r="AU18" s="12" t="s">
        <v>6</v>
      </c>
      <c r="AV18" s="12" t="s">
        <v>3536</v>
      </c>
      <c r="AW18" s="12" t="s">
        <v>3617</v>
      </c>
      <c r="AX18" s="12" t="s">
        <v>3540</v>
      </c>
      <c r="AY18" s="12" t="s">
        <v>3541</v>
      </c>
      <c r="AZ18" s="12" t="s">
        <v>3542</v>
      </c>
      <c r="BA18" s="12" t="s">
        <v>3543</v>
      </c>
      <c r="BB18" s="12" t="s">
        <v>3544</v>
      </c>
      <c r="BC18" s="17"/>
    </row>
    <row r="19" ht="22.5" customHeight="1">
      <c r="A19" s="18">
        <v>46179.906018090274</v>
      </c>
      <c r="B19" s="19" t="s">
        <v>1190</v>
      </c>
      <c r="C19" s="20">
        <v>40.0</v>
      </c>
      <c r="D19" s="24" t="s">
        <v>3618</v>
      </c>
      <c r="E19" s="22">
        <f t="shared" si="1"/>
        <v>45</v>
      </c>
      <c r="F19" s="19" t="s">
        <v>3619</v>
      </c>
      <c r="G19" s="19" t="s">
        <v>3620</v>
      </c>
      <c r="H19" s="19" t="s">
        <v>1190</v>
      </c>
      <c r="I19" s="22">
        <v>8.58282957E9</v>
      </c>
      <c r="J19" s="19" t="s">
        <v>3547</v>
      </c>
      <c r="K19" s="19" t="s">
        <v>3504</v>
      </c>
      <c r="L19" s="19" t="s">
        <v>3556</v>
      </c>
      <c r="M19" s="21"/>
      <c r="N19" s="19" t="s">
        <v>3569</v>
      </c>
      <c r="O19" s="19" t="s">
        <v>3507</v>
      </c>
      <c r="P19" s="19" t="s">
        <v>3508</v>
      </c>
      <c r="Q19" s="21"/>
      <c r="R19" s="19" t="s">
        <v>3509</v>
      </c>
      <c r="S19" s="19" t="s">
        <v>3510</v>
      </c>
      <c r="T19" s="19" t="s">
        <v>3511</v>
      </c>
      <c r="U19" s="19" t="s">
        <v>3550</v>
      </c>
      <c r="V19" s="19" t="s">
        <v>3513</v>
      </c>
      <c r="W19" s="19" t="s">
        <v>3514</v>
      </c>
      <c r="X19" s="19" t="s">
        <v>3515</v>
      </c>
      <c r="Y19" s="19" t="s">
        <v>3516</v>
      </c>
      <c r="Z19" s="19" t="s">
        <v>3517</v>
      </c>
      <c r="AA19" s="19" t="s">
        <v>3518</v>
      </c>
      <c r="AB19" s="19" t="s">
        <v>3519</v>
      </c>
      <c r="AC19" s="19" t="s">
        <v>3520</v>
      </c>
      <c r="AD19" s="19" t="s">
        <v>3521</v>
      </c>
      <c r="AE19" s="19" t="s">
        <v>3522</v>
      </c>
      <c r="AF19" s="19" t="s">
        <v>3523</v>
      </c>
      <c r="AG19" s="19" t="s">
        <v>3524</v>
      </c>
      <c r="AH19" s="19" t="s">
        <v>3525</v>
      </c>
      <c r="AI19" s="19" t="s">
        <v>3526</v>
      </c>
      <c r="AJ19" s="19" t="s">
        <v>3527</v>
      </c>
      <c r="AK19" s="19" t="s">
        <v>3528</v>
      </c>
      <c r="AL19" s="19" t="s">
        <v>3529</v>
      </c>
      <c r="AM19" s="19" t="s">
        <v>3530</v>
      </c>
      <c r="AN19" s="19" t="s">
        <v>3531</v>
      </c>
      <c r="AO19" s="19" t="s">
        <v>3557</v>
      </c>
      <c r="AP19" s="19" t="s">
        <v>3533</v>
      </c>
      <c r="AQ19" s="19" t="s">
        <v>3534</v>
      </c>
      <c r="AR19" s="19" t="s">
        <v>3535</v>
      </c>
      <c r="AS19" s="19" t="s">
        <v>3536</v>
      </c>
      <c r="AT19" s="19" t="s">
        <v>3537</v>
      </c>
      <c r="AU19" s="19" t="s">
        <v>6</v>
      </c>
      <c r="AV19" s="19" t="s">
        <v>3538</v>
      </c>
      <c r="AW19" s="19" t="s">
        <v>3539</v>
      </c>
      <c r="AX19" s="19" t="s">
        <v>3540</v>
      </c>
      <c r="AY19" s="19" t="s">
        <v>3541</v>
      </c>
      <c r="AZ19" s="19" t="s">
        <v>3542</v>
      </c>
      <c r="BA19" s="19" t="s">
        <v>3543</v>
      </c>
      <c r="BB19" s="19" t="s">
        <v>3544</v>
      </c>
      <c r="BC19" s="23"/>
    </row>
    <row r="20" ht="22.5" customHeight="1">
      <c r="A20" s="11">
        <v>46179.90689074074</v>
      </c>
      <c r="B20" s="12" t="s">
        <v>2093</v>
      </c>
      <c r="C20" s="13">
        <v>5.0</v>
      </c>
      <c r="D20" s="14" t="s">
        <v>3621</v>
      </c>
      <c r="E20" s="15">
        <f t="shared" si="1"/>
        <v>10</v>
      </c>
      <c r="F20" s="12" t="s">
        <v>3622</v>
      </c>
      <c r="G20" s="12" t="s">
        <v>2094</v>
      </c>
      <c r="H20" s="12" t="s">
        <v>2093</v>
      </c>
      <c r="I20" s="15">
        <v>7.821945422E9</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2" t="s">
        <v>3535</v>
      </c>
      <c r="AS20" s="12" t="s">
        <v>3536</v>
      </c>
      <c r="AT20" s="12" t="s">
        <v>3537</v>
      </c>
      <c r="AU20" s="12" t="s">
        <v>6</v>
      </c>
      <c r="AV20" s="12" t="s">
        <v>3538</v>
      </c>
      <c r="AW20" s="16"/>
      <c r="AX20" s="16"/>
      <c r="AY20" s="16"/>
      <c r="AZ20" s="16"/>
      <c r="BA20" s="16"/>
      <c r="BB20" s="16"/>
      <c r="BC20" s="17"/>
    </row>
    <row r="21" ht="22.5" customHeight="1">
      <c r="A21" s="18">
        <v>46179.92313408565</v>
      </c>
      <c r="B21" s="19" t="s">
        <v>3136</v>
      </c>
      <c r="C21" s="20">
        <v>40.0</v>
      </c>
      <c r="D21" s="24" t="s">
        <v>3623</v>
      </c>
      <c r="E21" s="22">
        <f t="shared" si="1"/>
        <v>45</v>
      </c>
      <c r="F21" s="19" t="s">
        <v>3624</v>
      </c>
      <c r="G21" s="19" t="s">
        <v>3137</v>
      </c>
      <c r="H21" s="19" t="s">
        <v>3136</v>
      </c>
      <c r="I21" s="22">
        <v>8.637555718E9</v>
      </c>
      <c r="J21" s="19" t="s">
        <v>3547</v>
      </c>
      <c r="K21" s="19" t="s">
        <v>3504</v>
      </c>
      <c r="L21" s="19" t="s">
        <v>3556</v>
      </c>
      <c r="M21" s="21"/>
      <c r="N21" s="19" t="s">
        <v>3506</v>
      </c>
      <c r="O21" s="19" t="s">
        <v>3507</v>
      </c>
      <c r="P21" s="19" t="s">
        <v>3508</v>
      </c>
      <c r="Q21" s="21"/>
      <c r="R21" s="19" t="s">
        <v>3509</v>
      </c>
      <c r="S21" s="19" t="s">
        <v>3510</v>
      </c>
      <c r="T21" s="19" t="s">
        <v>3549</v>
      </c>
      <c r="U21" s="19" t="s">
        <v>3512</v>
      </c>
      <c r="V21" s="19" t="s">
        <v>3513</v>
      </c>
      <c r="W21" s="19" t="s">
        <v>3514</v>
      </c>
      <c r="X21" s="19" t="s">
        <v>3515</v>
      </c>
      <c r="Y21" s="19" t="s">
        <v>3516</v>
      </c>
      <c r="Z21" s="19" t="s">
        <v>3517</v>
      </c>
      <c r="AA21" s="19" t="s">
        <v>3518</v>
      </c>
      <c r="AB21" s="19" t="s">
        <v>3519</v>
      </c>
      <c r="AC21" s="19" t="s">
        <v>3520</v>
      </c>
      <c r="AD21" s="19" t="s">
        <v>3521</v>
      </c>
      <c r="AE21" s="19" t="s">
        <v>3522</v>
      </c>
      <c r="AF21" s="19" t="s">
        <v>3523</v>
      </c>
      <c r="AG21" s="19" t="s">
        <v>3524</v>
      </c>
      <c r="AH21" s="19" t="s">
        <v>3525</v>
      </c>
      <c r="AI21" s="19" t="s">
        <v>3526</v>
      </c>
      <c r="AJ21" s="19" t="s">
        <v>3527</v>
      </c>
      <c r="AK21" s="19" t="s">
        <v>3528</v>
      </c>
      <c r="AL21" s="19" t="s">
        <v>3529</v>
      </c>
      <c r="AM21" s="19" t="s">
        <v>3530</v>
      </c>
      <c r="AN21" s="19" t="s">
        <v>3531</v>
      </c>
      <c r="AO21" s="19" t="s">
        <v>3557</v>
      </c>
      <c r="AP21" s="19" t="s">
        <v>3533</v>
      </c>
      <c r="AQ21" s="19" t="s">
        <v>3534</v>
      </c>
      <c r="AR21" s="19" t="s">
        <v>3535</v>
      </c>
      <c r="AS21" s="19" t="s">
        <v>3536</v>
      </c>
      <c r="AT21" s="19" t="s">
        <v>3537</v>
      </c>
      <c r="AU21" s="19" t="s">
        <v>6</v>
      </c>
      <c r="AV21" s="19" t="s">
        <v>3538</v>
      </c>
      <c r="AW21" s="19" t="s">
        <v>3558</v>
      </c>
      <c r="AX21" s="19" t="s">
        <v>3540</v>
      </c>
      <c r="AY21" s="19" t="s">
        <v>3541</v>
      </c>
      <c r="AZ21" s="19" t="s">
        <v>3542</v>
      </c>
      <c r="BA21" s="19" t="s">
        <v>3543</v>
      </c>
      <c r="BB21" s="19" t="s">
        <v>3544</v>
      </c>
      <c r="BC21" s="23"/>
    </row>
    <row r="22" ht="22.5" customHeight="1">
      <c r="A22" s="11">
        <v>46179.9772946875</v>
      </c>
      <c r="B22" s="12" t="s">
        <v>3433</v>
      </c>
      <c r="C22" s="13">
        <v>39.0</v>
      </c>
      <c r="D22" s="14" t="s">
        <v>3625</v>
      </c>
      <c r="E22" s="15">
        <f t="shared" si="1"/>
        <v>44</v>
      </c>
      <c r="F22" s="12" t="s">
        <v>3626</v>
      </c>
      <c r="G22" s="12" t="s">
        <v>3434</v>
      </c>
      <c r="H22" s="12" t="s">
        <v>3433</v>
      </c>
      <c r="I22" s="15">
        <v>7.058535239E9</v>
      </c>
      <c r="J22" s="12" t="s">
        <v>3547</v>
      </c>
      <c r="K22" s="12" t="s">
        <v>3504</v>
      </c>
      <c r="L22" s="12" t="s">
        <v>3556</v>
      </c>
      <c r="M22" s="16"/>
      <c r="N22" s="12" t="s">
        <v>3569</v>
      </c>
      <c r="O22" s="12" t="s">
        <v>3507</v>
      </c>
      <c r="P22" s="12" t="s">
        <v>3508</v>
      </c>
      <c r="Q22" s="16"/>
      <c r="R22" s="12" t="s">
        <v>3509</v>
      </c>
      <c r="S22" s="12" t="s">
        <v>3510</v>
      </c>
      <c r="T22" s="12" t="s">
        <v>3549</v>
      </c>
      <c r="U22" s="12" t="s">
        <v>3512</v>
      </c>
      <c r="V22" s="12" t="s">
        <v>3513</v>
      </c>
      <c r="W22" s="12" t="s">
        <v>3514</v>
      </c>
      <c r="X22" s="12" t="s">
        <v>3515</v>
      </c>
      <c r="Y22" s="12" t="s">
        <v>3516</v>
      </c>
      <c r="Z22" s="12" t="s">
        <v>3517</v>
      </c>
      <c r="AA22" s="12" t="s">
        <v>3518</v>
      </c>
      <c r="AB22" s="12" t="s">
        <v>3519</v>
      </c>
      <c r="AC22" s="12" t="s">
        <v>3520</v>
      </c>
      <c r="AD22" s="12" t="s">
        <v>3521</v>
      </c>
      <c r="AE22" s="12" t="s">
        <v>3522</v>
      </c>
      <c r="AF22" s="12" t="s">
        <v>3523</v>
      </c>
      <c r="AG22" s="12" t="s">
        <v>3524</v>
      </c>
      <c r="AH22" s="12" t="s">
        <v>3525</v>
      </c>
      <c r="AI22" s="12" t="s">
        <v>3526</v>
      </c>
      <c r="AJ22" s="12" t="s">
        <v>3527</v>
      </c>
      <c r="AK22" s="12" t="s">
        <v>3528</v>
      </c>
      <c r="AL22" s="12" t="s">
        <v>3529</v>
      </c>
      <c r="AM22" s="12" t="s">
        <v>3530</v>
      </c>
      <c r="AN22" s="12" t="s">
        <v>3531</v>
      </c>
      <c r="AO22" s="12" t="s">
        <v>3532</v>
      </c>
      <c r="AP22" s="12" t="s">
        <v>3533</v>
      </c>
      <c r="AQ22" s="12" t="s">
        <v>3534</v>
      </c>
      <c r="AR22" s="12" t="s">
        <v>3535</v>
      </c>
      <c r="AS22" s="12" t="s">
        <v>3536</v>
      </c>
      <c r="AT22" s="12" t="s">
        <v>3537</v>
      </c>
      <c r="AU22" s="12" t="s">
        <v>6</v>
      </c>
      <c r="AV22" s="12" t="s">
        <v>3538</v>
      </c>
      <c r="AW22" s="12" t="s">
        <v>3539</v>
      </c>
      <c r="AX22" s="12" t="s">
        <v>3540</v>
      </c>
      <c r="AY22" s="12" t="s">
        <v>3541</v>
      </c>
      <c r="AZ22" s="12" t="s">
        <v>3542</v>
      </c>
      <c r="BA22" s="12" t="s">
        <v>3543</v>
      </c>
      <c r="BB22" s="12" t="s">
        <v>3544</v>
      </c>
      <c r="BC22" s="17"/>
    </row>
    <row r="23" ht="22.5" customHeight="1">
      <c r="A23" s="18">
        <v>46179.9992615625</v>
      </c>
      <c r="B23" s="19" t="s">
        <v>3627</v>
      </c>
      <c r="C23" s="20">
        <v>36.0</v>
      </c>
      <c r="D23" s="24" t="s">
        <v>3628</v>
      </c>
      <c r="E23" s="22">
        <f t="shared" si="1"/>
        <v>41</v>
      </c>
      <c r="F23" s="19" t="s">
        <v>3629</v>
      </c>
      <c r="G23" s="19" t="s">
        <v>173</v>
      </c>
      <c r="H23" s="19" t="s">
        <v>172</v>
      </c>
      <c r="I23" s="22">
        <v>7.674053888E9</v>
      </c>
      <c r="J23" s="19" t="s">
        <v>3503</v>
      </c>
      <c r="K23" s="19" t="s">
        <v>3504</v>
      </c>
      <c r="L23" s="19" t="s">
        <v>3556</v>
      </c>
      <c r="M23" s="21"/>
      <c r="N23" s="19" t="s">
        <v>3506</v>
      </c>
      <c r="O23" s="19" t="s">
        <v>3507</v>
      </c>
      <c r="P23" s="19" t="s">
        <v>3508</v>
      </c>
      <c r="Q23" s="21"/>
      <c r="R23" s="19" t="s">
        <v>3509</v>
      </c>
      <c r="S23" s="19" t="s">
        <v>3510</v>
      </c>
      <c r="T23" s="19" t="s">
        <v>3511</v>
      </c>
      <c r="U23" s="19" t="s">
        <v>3550</v>
      </c>
      <c r="V23" s="19" t="s">
        <v>3513</v>
      </c>
      <c r="W23" s="19" t="s">
        <v>3514</v>
      </c>
      <c r="X23" s="19" t="s">
        <v>3515</v>
      </c>
      <c r="Y23" s="19" t="s">
        <v>3516</v>
      </c>
      <c r="Z23" s="19" t="s">
        <v>3517</v>
      </c>
      <c r="AA23" s="19" t="s">
        <v>3518</v>
      </c>
      <c r="AB23" s="19" t="s">
        <v>3519</v>
      </c>
      <c r="AC23" s="19" t="s">
        <v>3520</v>
      </c>
      <c r="AD23" s="19" t="s">
        <v>3521</v>
      </c>
      <c r="AE23" s="19" t="s">
        <v>3630</v>
      </c>
      <c r="AF23" s="19" t="s">
        <v>3523</v>
      </c>
      <c r="AG23" s="19" t="s">
        <v>3524</v>
      </c>
      <c r="AH23" s="19" t="s">
        <v>3525</v>
      </c>
      <c r="AI23" s="19" t="s">
        <v>3526</v>
      </c>
      <c r="AJ23" s="19" t="s">
        <v>3527</v>
      </c>
      <c r="AK23" s="19" t="s">
        <v>3528</v>
      </c>
      <c r="AL23" s="19" t="s">
        <v>3529</v>
      </c>
      <c r="AM23" s="19" t="s">
        <v>3530</v>
      </c>
      <c r="AN23" s="19" t="s">
        <v>3531</v>
      </c>
      <c r="AO23" s="19" t="s">
        <v>3557</v>
      </c>
      <c r="AP23" s="19" t="s">
        <v>3533</v>
      </c>
      <c r="AQ23" s="19" t="s">
        <v>3534</v>
      </c>
      <c r="AR23" s="19" t="s">
        <v>3535</v>
      </c>
      <c r="AS23" s="19" t="s">
        <v>3538</v>
      </c>
      <c r="AT23" s="19" t="s">
        <v>3537</v>
      </c>
      <c r="AU23" s="19" t="s">
        <v>6</v>
      </c>
      <c r="AV23" s="19" t="s">
        <v>3538</v>
      </c>
      <c r="AW23" s="19" t="s">
        <v>3539</v>
      </c>
      <c r="AX23" s="19" t="s">
        <v>3540</v>
      </c>
      <c r="AY23" s="19" t="s">
        <v>3541</v>
      </c>
      <c r="AZ23" s="19" t="s">
        <v>3542</v>
      </c>
      <c r="BA23" s="19" t="s">
        <v>3631</v>
      </c>
      <c r="BB23" s="21"/>
      <c r="BC23" s="23"/>
    </row>
    <row r="24" ht="22.5" customHeight="1">
      <c r="A24" s="11">
        <v>46180.38749010417</v>
      </c>
      <c r="B24" s="12" t="s">
        <v>2214</v>
      </c>
      <c r="C24" s="13">
        <v>40.0</v>
      </c>
      <c r="D24" s="14" t="s">
        <v>3632</v>
      </c>
      <c r="E24" s="15">
        <f t="shared" si="1"/>
        <v>45</v>
      </c>
      <c r="F24" s="12" t="s">
        <v>3633</v>
      </c>
      <c r="G24" s="12" t="s">
        <v>3634</v>
      </c>
      <c r="H24" s="12" t="s">
        <v>2214</v>
      </c>
      <c r="I24" s="15">
        <v>9.080227279E9</v>
      </c>
      <c r="J24" s="12" t="s">
        <v>3547</v>
      </c>
      <c r="K24" s="12" t="s">
        <v>3504</v>
      </c>
      <c r="L24" s="12" t="s">
        <v>3556</v>
      </c>
      <c r="M24" s="16"/>
      <c r="N24" s="12" t="s">
        <v>3506</v>
      </c>
      <c r="O24" s="12" t="s">
        <v>3507</v>
      </c>
      <c r="P24" s="12" t="s">
        <v>3508</v>
      </c>
      <c r="Q24" s="16"/>
      <c r="R24" s="12" t="s">
        <v>3509</v>
      </c>
      <c r="S24" s="12" t="s">
        <v>3510</v>
      </c>
      <c r="T24" s="12" t="s">
        <v>3511</v>
      </c>
      <c r="U24" s="12" t="s">
        <v>3512</v>
      </c>
      <c r="V24" s="12" t="s">
        <v>3513</v>
      </c>
      <c r="W24" s="12" t="s">
        <v>3514</v>
      </c>
      <c r="X24" s="12" t="s">
        <v>3515</v>
      </c>
      <c r="Y24" s="12" t="s">
        <v>3516</v>
      </c>
      <c r="Z24" s="12" t="s">
        <v>3517</v>
      </c>
      <c r="AA24" s="12" t="s">
        <v>3518</v>
      </c>
      <c r="AB24" s="12" t="s">
        <v>3519</v>
      </c>
      <c r="AC24" s="12" t="s">
        <v>3520</v>
      </c>
      <c r="AD24" s="12" t="s">
        <v>3521</v>
      </c>
      <c r="AE24" s="12" t="s">
        <v>3522</v>
      </c>
      <c r="AF24" s="12" t="s">
        <v>3523</v>
      </c>
      <c r="AG24" s="12" t="s">
        <v>3524</v>
      </c>
      <c r="AH24" s="12" t="s">
        <v>3525</v>
      </c>
      <c r="AI24" s="12" t="s">
        <v>3526</v>
      </c>
      <c r="AJ24" s="12" t="s">
        <v>3527</v>
      </c>
      <c r="AK24" s="12" t="s">
        <v>3528</v>
      </c>
      <c r="AL24" s="12" t="s">
        <v>3529</v>
      </c>
      <c r="AM24" s="12" t="s">
        <v>3530</v>
      </c>
      <c r="AN24" s="12" t="s">
        <v>3531</v>
      </c>
      <c r="AO24" s="12" t="s">
        <v>3557</v>
      </c>
      <c r="AP24" s="12" t="s">
        <v>3533</v>
      </c>
      <c r="AQ24" s="12" t="s">
        <v>3534</v>
      </c>
      <c r="AR24" s="12" t="s">
        <v>3535</v>
      </c>
      <c r="AS24" s="12" t="s">
        <v>3536</v>
      </c>
      <c r="AT24" s="12" t="s">
        <v>3537</v>
      </c>
      <c r="AU24" s="12" t="s">
        <v>6</v>
      </c>
      <c r="AV24" s="12" t="s">
        <v>3538</v>
      </c>
      <c r="AW24" s="12" t="s">
        <v>3539</v>
      </c>
      <c r="AX24" s="12" t="s">
        <v>3540</v>
      </c>
      <c r="AY24" s="12" t="s">
        <v>3541</v>
      </c>
      <c r="AZ24" s="12" t="s">
        <v>3542</v>
      </c>
      <c r="BA24" s="12" t="s">
        <v>3543</v>
      </c>
      <c r="BB24" s="12" t="s">
        <v>3544</v>
      </c>
      <c r="BC24" s="17"/>
    </row>
    <row r="25" ht="22.5" customHeight="1">
      <c r="A25" s="18">
        <v>46180.396927118054</v>
      </c>
      <c r="B25" s="19" t="s">
        <v>2291</v>
      </c>
      <c r="C25" s="20">
        <v>14.0</v>
      </c>
      <c r="D25" s="21"/>
      <c r="E25" s="22">
        <f t="shared" si="1"/>
        <v>14</v>
      </c>
      <c r="F25" s="19" t="s">
        <v>3635</v>
      </c>
      <c r="G25" s="19" t="s">
        <v>3636</v>
      </c>
      <c r="H25" s="19" t="s">
        <v>2291</v>
      </c>
      <c r="I25" s="22">
        <v>8.158944826E9</v>
      </c>
      <c r="J25" s="19" t="s">
        <v>3547</v>
      </c>
      <c r="K25" s="19" t="s">
        <v>3504</v>
      </c>
      <c r="L25" s="19" t="s">
        <v>3556</v>
      </c>
      <c r="M25" s="21"/>
      <c r="N25" s="19" t="s">
        <v>3569</v>
      </c>
      <c r="O25" s="19" t="s">
        <v>3614</v>
      </c>
      <c r="P25" s="19" t="s">
        <v>3637</v>
      </c>
      <c r="Q25" s="21"/>
      <c r="R25" s="19" t="s">
        <v>3574</v>
      </c>
      <c r="S25" s="19" t="s">
        <v>3510</v>
      </c>
      <c r="T25" s="19" t="s">
        <v>3511</v>
      </c>
      <c r="U25" s="19" t="s">
        <v>3512</v>
      </c>
      <c r="V25" s="19" t="s">
        <v>3513</v>
      </c>
      <c r="W25" s="19" t="s">
        <v>3514</v>
      </c>
      <c r="X25" s="19" t="s">
        <v>3515</v>
      </c>
      <c r="Y25" s="19" t="s">
        <v>3516</v>
      </c>
      <c r="Z25" s="19" t="s">
        <v>3517</v>
      </c>
      <c r="AA25" s="19" t="s">
        <v>3518</v>
      </c>
      <c r="AB25" s="19" t="s">
        <v>3519</v>
      </c>
      <c r="AC25" s="19" t="s">
        <v>3638</v>
      </c>
      <c r="AD25" s="19" t="s">
        <v>3521</v>
      </c>
      <c r="AE25" s="19" t="s">
        <v>3522</v>
      </c>
      <c r="AF25" s="19" t="s">
        <v>3639</v>
      </c>
      <c r="AG25" s="19" t="s">
        <v>3524</v>
      </c>
      <c r="AH25" s="19" t="s">
        <v>3600</v>
      </c>
      <c r="AI25" s="19" t="s">
        <v>3526</v>
      </c>
      <c r="AJ25" s="19" t="s">
        <v>3640</v>
      </c>
      <c r="AK25" s="21"/>
      <c r="AL25" s="21"/>
      <c r="AM25" s="21"/>
      <c r="AN25" s="21"/>
      <c r="AO25" s="21"/>
      <c r="AP25" s="21"/>
      <c r="AQ25" s="21"/>
      <c r="AR25" s="21"/>
      <c r="AS25" s="21"/>
      <c r="AT25" s="21"/>
      <c r="AU25" s="21"/>
      <c r="AV25" s="21"/>
      <c r="AW25" s="21"/>
      <c r="AX25" s="21"/>
      <c r="AY25" s="21"/>
      <c r="AZ25" s="21"/>
      <c r="BA25" s="21"/>
      <c r="BB25" s="21"/>
      <c r="BC25" s="23"/>
    </row>
    <row r="26" ht="22.5" customHeight="1">
      <c r="A26" s="11">
        <v>46180.44693078704</v>
      </c>
      <c r="B26" s="12" t="s">
        <v>2785</v>
      </c>
      <c r="C26" s="13">
        <v>32.0</v>
      </c>
      <c r="D26" s="16"/>
      <c r="E26" s="15">
        <f t="shared" si="1"/>
        <v>32</v>
      </c>
      <c r="F26" s="12" t="s">
        <v>3641</v>
      </c>
      <c r="G26" s="12" t="s">
        <v>2786</v>
      </c>
      <c r="H26" s="12" t="s">
        <v>2785</v>
      </c>
      <c r="I26" s="15">
        <v>7.099015663E9</v>
      </c>
      <c r="J26" s="12" t="s">
        <v>3547</v>
      </c>
      <c r="K26" s="12" t="s">
        <v>3504</v>
      </c>
      <c r="L26" s="12" t="s">
        <v>3556</v>
      </c>
      <c r="M26" s="16"/>
      <c r="N26" s="16"/>
      <c r="O26" s="12" t="s">
        <v>3642</v>
      </c>
      <c r="P26" s="12" t="s">
        <v>3508</v>
      </c>
      <c r="Q26" s="16"/>
      <c r="R26" s="12" t="s">
        <v>3509</v>
      </c>
      <c r="S26" s="12" t="s">
        <v>3510</v>
      </c>
      <c r="T26" s="12" t="s">
        <v>3511</v>
      </c>
      <c r="U26" s="12" t="s">
        <v>3582</v>
      </c>
      <c r="V26" s="12" t="s">
        <v>3599</v>
      </c>
      <c r="W26" s="12" t="s">
        <v>3514</v>
      </c>
      <c r="X26" s="12" t="s">
        <v>3515</v>
      </c>
      <c r="Y26" s="12" t="s">
        <v>3516</v>
      </c>
      <c r="Z26" s="12" t="s">
        <v>3517</v>
      </c>
      <c r="AA26" s="12" t="s">
        <v>3518</v>
      </c>
      <c r="AB26" s="12" t="s">
        <v>3519</v>
      </c>
      <c r="AC26" s="12" t="s">
        <v>3520</v>
      </c>
      <c r="AD26" s="12" t="s">
        <v>3521</v>
      </c>
      <c r="AE26" s="12" t="s">
        <v>3522</v>
      </c>
      <c r="AF26" s="12" t="s">
        <v>3523</v>
      </c>
      <c r="AG26" s="12" t="s">
        <v>3524</v>
      </c>
      <c r="AH26" s="12" t="s">
        <v>3525</v>
      </c>
      <c r="AI26" s="12" t="s">
        <v>3526</v>
      </c>
      <c r="AJ26" s="12" t="s">
        <v>3527</v>
      </c>
      <c r="AK26" s="12" t="s">
        <v>3528</v>
      </c>
      <c r="AL26" s="12" t="s">
        <v>3529</v>
      </c>
      <c r="AM26" s="12" t="s">
        <v>3530</v>
      </c>
      <c r="AN26" s="12" t="s">
        <v>3531</v>
      </c>
      <c r="AO26" s="12" t="s">
        <v>3551</v>
      </c>
      <c r="AP26" s="12" t="s">
        <v>3533</v>
      </c>
      <c r="AQ26" s="12" t="s">
        <v>3534</v>
      </c>
      <c r="AR26" s="12" t="s">
        <v>3535</v>
      </c>
      <c r="AS26" s="12" t="s">
        <v>3536</v>
      </c>
      <c r="AT26" s="12" t="s">
        <v>3643</v>
      </c>
      <c r="AU26" s="15">
        <v>2.0</v>
      </c>
      <c r="AV26" s="12" t="s">
        <v>6</v>
      </c>
      <c r="AW26" s="12" t="s">
        <v>3558</v>
      </c>
      <c r="AX26" s="12" t="s">
        <v>3540</v>
      </c>
      <c r="AY26" s="12" t="s">
        <v>3541</v>
      </c>
      <c r="AZ26" s="12" t="s">
        <v>3542</v>
      </c>
      <c r="BA26" s="12" t="s">
        <v>3543</v>
      </c>
      <c r="BB26" s="12" t="s">
        <v>3544</v>
      </c>
      <c r="BC26" s="17"/>
    </row>
    <row r="27" ht="22.5" customHeight="1">
      <c r="A27" s="18">
        <v>46180.46465121528</v>
      </c>
      <c r="B27" s="19" t="s">
        <v>2599</v>
      </c>
      <c r="C27" s="20">
        <v>38.0</v>
      </c>
      <c r="D27" s="24" t="s">
        <v>3644</v>
      </c>
      <c r="E27" s="22">
        <f t="shared" si="1"/>
        <v>43</v>
      </c>
      <c r="F27" s="19" t="s">
        <v>3645</v>
      </c>
      <c r="G27" s="19" t="s">
        <v>3646</v>
      </c>
      <c r="H27" s="19" t="s">
        <v>2599</v>
      </c>
      <c r="I27" s="22">
        <v>7.675975489E9</v>
      </c>
      <c r="J27" s="19" t="s">
        <v>3547</v>
      </c>
      <c r="K27" s="19" t="s">
        <v>3504</v>
      </c>
      <c r="L27" s="19" t="s">
        <v>3556</v>
      </c>
      <c r="M27" s="21"/>
      <c r="N27" s="19" t="s">
        <v>3548</v>
      </c>
      <c r="O27" s="19" t="s">
        <v>3507</v>
      </c>
      <c r="P27" s="19" t="s">
        <v>3508</v>
      </c>
      <c r="Q27" s="21"/>
      <c r="R27" s="19" t="s">
        <v>3509</v>
      </c>
      <c r="S27" s="19" t="s">
        <v>3510</v>
      </c>
      <c r="T27" s="19" t="s">
        <v>3549</v>
      </c>
      <c r="U27" s="19" t="s">
        <v>3512</v>
      </c>
      <c r="V27" s="19" t="s">
        <v>3513</v>
      </c>
      <c r="W27" s="19" t="s">
        <v>3514</v>
      </c>
      <c r="X27" s="19" t="s">
        <v>3515</v>
      </c>
      <c r="Y27" s="19" t="s">
        <v>3516</v>
      </c>
      <c r="Z27" s="19" t="s">
        <v>3517</v>
      </c>
      <c r="AA27" s="19" t="s">
        <v>3518</v>
      </c>
      <c r="AB27" s="19" t="s">
        <v>3519</v>
      </c>
      <c r="AC27" s="19" t="s">
        <v>3520</v>
      </c>
      <c r="AD27" s="19" t="s">
        <v>3521</v>
      </c>
      <c r="AE27" s="19" t="s">
        <v>3522</v>
      </c>
      <c r="AF27" s="19" t="s">
        <v>3523</v>
      </c>
      <c r="AG27" s="19" t="s">
        <v>3524</v>
      </c>
      <c r="AH27" s="19" t="s">
        <v>3525</v>
      </c>
      <c r="AI27" s="19" t="s">
        <v>3526</v>
      </c>
      <c r="AJ27" s="19" t="s">
        <v>3527</v>
      </c>
      <c r="AK27" s="19" t="s">
        <v>3528</v>
      </c>
      <c r="AL27" s="19" t="s">
        <v>3529</v>
      </c>
      <c r="AM27" s="19" t="s">
        <v>3530</v>
      </c>
      <c r="AN27" s="19" t="s">
        <v>3531</v>
      </c>
      <c r="AO27" s="19" t="s">
        <v>3557</v>
      </c>
      <c r="AP27" s="19" t="s">
        <v>3533</v>
      </c>
      <c r="AQ27" s="19" t="s">
        <v>3534</v>
      </c>
      <c r="AR27" s="19" t="s">
        <v>3535</v>
      </c>
      <c r="AS27" s="19" t="s">
        <v>3536</v>
      </c>
      <c r="AT27" s="19" t="s">
        <v>3537</v>
      </c>
      <c r="AU27" s="19" t="s">
        <v>6</v>
      </c>
      <c r="AV27" s="19" t="s">
        <v>3538</v>
      </c>
      <c r="AW27" s="19" t="s">
        <v>3558</v>
      </c>
      <c r="AX27" s="19" t="s">
        <v>3540</v>
      </c>
      <c r="AY27" s="19" t="s">
        <v>3570</v>
      </c>
      <c r="AZ27" s="19" t="s">
        <v>3542</v>
      </c>
      <c r="BA27" s="19" t="s">
        <v>3543</v>
      </c>
      <c r="BB27" s="19" t="s">
        <v>3544</v>
      </c>
      <c r="BC27" s="23"/>
    </row>
    <row r="28" ht="22.5" customHeight="1">
      <c r="A28" s="11">
        <v>46180.50214614584</v>
      </c>
      <c r="B28" s="12" t="s">
        <v>1477</v>
      </c>
      <c r="C28" s="13">
        <v>39.0</v>
      </c>
      <c r="D28" s="14" t="s">
        <v>3647</v>
      </c>
      <c r="E28" s="15">
        <f t="shared" si="1"/>
        <v>44</v>
      </c>
      <c r="F28" s="12" t="s">
        <v>3648</v>
      </c>
      <c r="G28" s="12" t="s">
        <v>1478</v>
      </c>
      <c r="H28" s="12" t="s">
        <v>1477</v>
      </c>
      <c r="I28" s="15">
        <v>6.289954702E9</v>
      </c>
      <c r="J28" s="12" t="s">
        <v>3547</v>
      </c>
      <c r="K28" s="12" t="s">
        <v>3504</v>
      </c>
      <c r="L28" s="12" t="s">
        <v>3505</v>
      </c>
      <c r="M28" s="16"/>
      <c r="N28" s="12" t="s">
        <v>3548</v>
      </c>
      <c r="O28" s="12" t="s">
        <v>3507</v>
      </c>
      <c r="P28" s="12" t="s">
        <v>3508</v>
      </c>
      <c r="Q28" s="16"/>
      <c r="R28" s="12" t="s">
        <v>3509</v>
      </c>
      <c r="S28" s="12" t="s">
        <v>3510</v>
      </c>
      <c r="T28" s="12" t="s">
        <v>3549</v>
      </c>
      <c r="U28" s="12" t="s">
        <v>3512</v>
      </c>
      <c r="V28" s="12" t="s">
        <v>3513</v>
      </c>
      <c r="W28" s="12" t="s">
        <v>3514</v>
      </c>
      <c r="X28" s="12" t="s">
        <v>3515</v>
      </c>
      <c r="Y28" s="12" t="s">
        <v>3516</v>
      </c>
      <c r="Z28" s="12" t="s">
        <v>3517</v>
      </c>
      <c r="AA28" s="12" t="s">
        <v>3518</v>
      </c>
      <c r="AB28" s="12" t="s">
        <v>3519</v>
      </c>
      <c r="AC28" s="12" t="s">
        <v>3520</v>
      </c>
      <c r="AD28" s="12" t="s">
        <v>3521</v>
      </c>
      <c r="AE28" s="12" t="s">
        <v>3522</v>
      </c>
      <c r="AF28" s="12" t="s">
        <v>3523</v>
      </c>
      <c r="AG28" s="12" t="s">
        <v>3524</v>
      </c>
      <c r="AH28" s="12" t="s">
        <v>3525</v>
      </c>
      <c r="AI28" s="12" t="s">
        <v>3526</v>
      </c>
      <c r="AJ28" s="12" t="s">
        <v>3527</v>
      </c>
      <c r="AK28" s="12" t="s">
        <v>3528</v>
      </c>
      <c r="AL28" s="12" t="s">
        <v>3529</v>
      </c>
      <c r="AM28" s="12" t="s">
        <v>3530</v>
      </c>
      <c r="AN28" s="12" t="s">
        <v>3531</v>
      </c>
      <c r="AO28" s="12" t="s">
        <v>3557</v>
      </c>
      <c r="AP28" s="12" t="s">
        <v>3533</v>
      </c>
      <c r="AQ28" s="12" t="s">
        <v>3534</v>
      </c>
      <c r="AR28" s="12" t="s">
        <v>3535</v>
      </c>
      <c r="AS28" s="12" t="s">
        <v>3536</v>
      </c>
      <c r="AT28" s="12" t="s">
        <v>3537</v>
      </c>
      <c r="AU28" s="12" t="s">
        <v>6</v>
      </c>
      <c r="AV28" s="12" t="s">
        <v>3538</v>
      </c>
      <c r="AW28" s="12" t="s">
        <v>3539</v>
      </c>
      <c r="AX28" s="12" t="s">
        <v>3540</v>
      </c>
      <c r="AY28" s="12" t="s">
        <v>3541</v>
      </c>
      <c r="AZ28" s="12" t="s">
        <v>3542</v>
      </c>
      <c r="BA28" s="12" t="s">
        <v>3543</v>
      </c>
      <c r="BB28" s="12" t="s">
        <v>3544</v>
      </c>
      <c r="BC28" s="17"/>
    </row>
    <row r="29" ht="22.5" customHeight="1">
      <c r="A29" s="18">
        <v>46180.52155362269</v>
      </c>
      <c r="B29" s="19" t="s">
        <v>718</v>
      </c>
      <c r="C29" s="20">
        <v>40.0</v>
      </c>
      <c r="D29" s="24" t="s">
        <v>3649</v>
      </c>
      <c r="E29" s="22">
        <f t="shared" si="1"/>
        <v>45</v>
      </c>
      <c r="F29" s="19" t="s">
        <v>3650</v>
      </c>
      <c r="G29" s="19" t="s">
        <v>719</v>
      </c>
      <c r="H29" s="19" t="s">
        <v>718</v>
      </c>
      <c r="I29" s="22">
        <v>9.919937221E9</v>
      </c>
      <c r="J29" s="19" t="s">
        <v>3547</v>
      </c>
      <c r="K29" s="19" t="s">
        <v>3504</v>
      </c>
      <c r="L29" s="19" t="s">
        <v>3556</v>
      </c>
      <c r="M29" s="21"/>
      <c r="N29" s="19" t="s">
        <v>3506</v>
      </c>
      <c r="O29" s="19" t="s">
        <v>3507</v>
      </c>
      <c r="P29" s="19" t="s">
        <v>3508</v>
      </c>
      <c r="Q29" s="21"/>
      <c r="R29" s="19" t="s">
        <v>3509</v>
      </c>
      <c r="S29" s="19" t="s">
        <v>3510</v>
      </c>
      <c r="T29" s="19" t="s">
        <v>3549</v>
      </c>
      <c r="U29" s="19" t="s">
        <v>3512</v>
      </c>
      <c r="V29" s="19" t="s">
        <v>3513</v>
      </c>
      <c r="W29" s="19" t="s">
        <v>3514</v>
      </c>
      <c r="X29" s="19" t="s">
        <v>3515</v>
      </c>
      <c r="Y29" s="19" t="s">
        <v>3516</v>
      </c>
      <c r="Z29" s="19" t="s">
        <v>3517</v>
      </c>
      <c r="AA29" s="19" t="s">
        <v>3518</v>
      </c>
      <c r="AB29" s="19" t="s">
        <v>3519</v>
      </c>
      <c r="AC29" s="19" t="s">
        <v>3520</v>
      </c>
      <c r="AD29" s="19" t="s">
        <v>3521</v>
      </c>
      <c r="AE29" s="19" t="s">
        <v>3522</v>
      </c>
      <c r="AF29" s="19" t="s">
        <v>3523</v>
      </c>
      <c r="AG29" s="19" t="s">
        <v>3524</v>
      </c>
      <c r="AH29" s="19" t="s">
        <v>3525</v>
      </c>
      <c r="AI29" s="19" t="s">
        <v>3526</v>
      </c>
      <c r="AJ29" s="19" t="s">
        <v>3527</v>
      </c>
      <c r="AK29" s="19" t="s">
        <v>3528</v>
      </c>
      <c r="AL29" s="19" t="s">
        <v>3529</v>
      </c>
      <c r="AM29" s="19" t="s">
        <v>3530</v>
      </c>
      <c r="AN29" s="19" t="s">
        <v>3531</v>
      </c>
      <c r="AO29" s="19" t="s">
        <v>3557</v>
      </c>
      <c r="AP29" s="19" t="s">
        <v>3533</v>
      </c>
      <c r="AQ29" s="19" t="s">
        <v>3534</v>
      </c>
      <c r="AR29" s="19" t="s">
        <v>3535</v>
      </c>
      <c r="AS29" s="19" t="s">
        <v>3536</v>
      </c>
      <c r="AT29" s="19" t="s">
        <v>3537</v>
      </c>
      <c r="AU29" s="19" t="s">
        <v>6</v>
      </c>
      <c r="AV29" s="19" t="s">
        <v>3538</v>
      </c>
      <c r="AW29" s="19" t="s">
        <v>3558</v>
      </c>
      <c r="AX29" s="19" t="s">
        <v>3540</v>
      </c>
      <c r="AY29" s="19" t="s">
        <v>3541</v>
      </c>
      <c r="AZ29" s="19" t="s">
        <v>3542</v>
      </c>
      <c r="BA29" s="19" t="s">
        <v>3543</v>
      </c>
      <c r="BB29" s="19" t="s">
        <v>3544</v>
      </c>
      <c r="BC29" s="23"/>
    </row>
    <row r="30" ht="22.5" customHeight="1">
      <c r="A30" s="11">
        <v>46180.5267178125</v>
      </c>
      <c r="B30" s="12" t="s">
        <v>611</v>
      </c>
      <c r="C30" s="13">
        <v>37.0</v>
      </c>
      <c r="D30" s="16"/>
      <c r="E30" s="15">
        <f t="shared" si="1"/>
        <v>37</v>
      </c>
      <c r="F30" s="12" t="s">
        <v>3651</v>
      </c>
      <c r="G30" s="12" t="s">
        <v>612</v>
      </c>
      <c r="H30" s="12" t="s">
        <v>611</v>
      </c>
      <c r="I30" s="15">
        <v>7.988255239E9</v>
      </c>
      <c r="J30" s="12" t="s">
        <v>3547</v>
      </c>
      <c r="K30" s="12" t="s">
        <v>3504</v>
      </c>
      <c r="L30" s="12" t="s">
        <v>3556</v>
      </c>
      <c r="M30" s="16"/>
      <c r="N30" s="12" t="s">
        <v>3506</v>
      </c>
      <c r="O30" s="12" t="s">
        <v>3507</v>
      </c>
      <c r="P30" s="12" t="s">
        <v>3508</v>
      </c>
      <c r="Q30" s="16"/>
      <c r="R30" s="12" t="s">
        <v>3509</v>
      </c>
      <c r="S30" s="12" t="s">
        <v>3510</v>
      </c>
      <c r="T30" s="12" t="s">
        <v>3549</v>
      </c>
      <c r="U30" s="12" t="s">
        <v>3512</v>
      </c>
      <c r="V30" s="12" t="s">
        <v>3513</v>
      </c>
      <c r="W30" s="12" t="s">
        <v>3587</v>
      </c>
      <c r="X30" s="12" t="s">
        <v>3515</v>
      </c>
      <c r="Y30" s="12" t="s">
        <v>3576</v>
      </c>
      <c r="Z30" s="12" t="s">
        <v>3517</v>
      </c>
      <c r="AA30" s="12" t="s">
        <v>3518</v>
      </c>
      <c r="AB30" s="12" t="s">
        <v>3519</v>
      </c>
      <c r="AC30" s="12" t="s">
        <v>3520</v>
      </c>
      <c r="AD30" s="12" t="s">
        <v>3521</v>
      </c>
      <c r="AE30" s="12" t="s">
        <v>3522</v>
      </c>
      <c r="AF30" s="12" t="s">
        <v>3523</v>
      </c>
      <c r="AG30" s="12" t="s">
        <v>3524</v>
      </c>
      <c r="AH30" s="12" t="s">
        <v>3525</v>
      </c>
      <c r="AI30" s="12" t="s">
        <v>3526</v>
      </c>
      <c r="AJ30" s="12" t="s">
        <v>3527</v>
      </c>
      <c r="AK30" s="12" t="s">
        <v>3528</v>
      </c>
      <c r="AL30" s="12" t="s">
        <v>3529</v>
      </c>
      <c r="AM30" s="12" t="s">
        <v>3530</v>
      </c>
      <c r="AN30" s="12" t="s">
        <v>3531</v>
      </c>
      <c r="AO30" s="12" t="s">
        <v>3557</v>
      </c>
      <c r="AP30" s="12" t="s">
        <v>3533</v>
      </c>
      <c r="AQ30" s="12" t="s">
        <v>3534</v>
      </c>
      <c r="AR30" s="12" t="s">
        <v>3535</v>
      </c>
      <c r="AS30" s="12" t="s">
        <v>3536</v>
      </c>
      <c r="AT30" s="12" t="s">
        <v>3562</v>
      </c>
      <c r="AU30" s="12" t="s">
        <v>2802</v>
      </c>
      <c r="AV30" s="12" t="s">
        <v>3538</v>
      </c>
      <c r="AW30" s="12" t="s">
        <v>3617</v>
      </c>
      <c r="AX30" s="12" t="s">
        <v>3540</v>
      </c>
      <c r="AY30" s="12" t="s">
        <v>3541</v>
      </c>
      <c r="AZ30" s="12" t="s">
        <v>3542</v>
      </c>
      <c r="BA30" s="12" t="s">
        <v>3543</v>
      </c>
      <c r="BB30" s="12" t="s">
        <v>3544</v>
      </c>
      <c r="BC30" s="17"/>
    </row>
    <row r="31" ht="22.5" customHeight="1">
      <c r="A31" s="18">
        <v>46180.53813493055</v>
      </c>
      <c r="B31" s="19" t="s">
        <v>1970</v>
      </c>
      <c r="C31" s="20">
        <v>38.0</v>
      </c>
      <c r="D31" s="24" t="s">
        <v>3652</v>
      </c>
      <c r="E31" s="22">
        <f t="shared" si="1"/>
        <v>43</v>
      </c>
      <c r="F31" s="19" t="s">
        <v>3653</v>
      </c>
      <c r="G31" s="19" t="s">
        <v>1971</v>
      </c>
      <c r="H31" s="19" t="s">
        <v>1970</v>
      </c>
      <c r="I31" s="22">
        <v>8.910799562E9</v>
      </c>
      <c r="J31" s="19" t="s">
        <v>3547</v>
      </c>
      <c r="K31" s="19" t="s">
        <v>3504</v>
      </c>
      <c r="L31" s="19" t="s">
        <v>3556</v>
      </c>
      <c r="M31" s="21"/>
      <c r="N31" s="19" t="s">
        <v>3506</v>
      </c>
      <c r="O31" s="19" t="s">
        <v>3507</v>
      </c>
      <c r="P31" s="19" t="s">
        <v>3508</v>
      </c>
      <c r="Q31" s="21"/>
      <c r="R31" s="19" t="s">
        <v>3509</v>
      </c>
      <c r="S31" s="19" t="s">
        <v>3510</v>
      </c>
      <c r="T31" s="19" t="s">
        <v>3511</v>
      </c>
      <c r="U31" s="19" t="s">
        <v>3512</v>
      </c>
      <c r="V31" s="19" t="s">
        <v>3513</v>
      </c>
      <c r="W31" s="19" t="s">
        <v>3514</v>
      </c>
      <c r="X31" s="19" t="s">
        <v>3515</v>
      </c>
      <c r="Y31" s="19" t="s">
        <v>3516</v>
      </c>
      <c r="Z31" s="19" t="s">
        <v>3517</v>
      </c>
      <c r="AA31" s="19" t="s">
        <v>3518</v>
      </c>
      <c r="AB31" s="19" t="s">
        <v>3519</v>
      </c>
      <c r="AC31" s="19" t="s">
        <v>3520</v>
      </c>
      <c r="AD31" s="19" t="s">
        <v>3521</v>
      </c>
      <c r="AE31" s="19" t="s">
        <v>3522</v>
      </c>
      <c r="AF31" s="19" t="s">
        <v>3523</v>
      </c>
      <c r="AG31" s="19" t="s">
        <v>3524</v>
      </c>
      <c r="AH31" s="19" t="s">
        <v>3525</v>
      </c>
      <c r="AI31" s="19" t="s">
        <v>3526</v>
      </c>
      <c r="AJ31" s="19" t="s">
        <v>3527</v>
      </c>
      <c r="AK31" s="19" t="s">
        <v>3528</v>
      </c>
      <c r="AL31" s="19" t="s">
        <v>3529</v>
      </c>
      <c r="AM31" s="19" t="s">
        <v>3530</v>
      </c>
      <c r="AN31" s="19" t="s">
        <v>3531</v>
      </c>
      <c r="AO31" s="19" t="s">
        <v>3557</v>
      </c>
      <c r="AP31" s="19" t="s">
        <v>3533</v>
      </c>
      <c r="AQ31" s="19" t="s">
        <v>3534</v>
      </c>
      <c r="AR31" s="19" t="s">
        <v>3535</v>
      </c>
      <c r="AS31" s="19" t="s">
        <v>3536</v>
      </c>
      <c r="AT31" s="19" t="s">
        <v>3537</v>
      </c>
      <c r="AU31" s="19" t="s">
        <v>2802</v>
      </c>
      <c r="AV31" s="19" t="s">
        <v>3538</v>
      </c>
      <c r="AW31" s="19" t="s">
        <v>3558</v>
      </c>
      <c r="AX31" s="19" t="s">
        <v>3540</v>
      </c>
      <c r="AY31" s="19" t="s">
        <v>3541</v>
      </c>
      <c r="AZ31" s="19" t="s">
        <v>3542</v>
      </c>
      <c r="BA31" s="19" t="s">
        <v>3543</v>
      </c>
      <c r="BB31" s="19" t="s">
        <v>3544</v>
      </c>
      <c r="BC31" s="23"/>
    </row>
    <row r="32" ht="22.5" customHeight="1">
      <c r="A32" s="11">
        <v>46180.56782258102</v>
      </c>
      <c r="B32" s="12" t="s">
        <v>3654</v>
      </c>
      <c r="C32" s="13">
        <v>38.0</v>
      </c>
      <c r="D32" s="14" t="s">
        <v>3655</v>
      </c>
      <c r="E32" s="15">
        <f t="shared" si="1"/>
        <v>43</v>
      </c>
      <c r="F32" s="12" t="s">
        <v>3656</v>
      </c>
      <c r="G32" s="12" t="s">
        <v>3657</v>
      </c>
      <c r="H32" s="12" t="s">
        <v>113</v>
      </c>
      <c r="I32" s="15">
        <v>9.664368547E9</v>
      </c>
      <c r="J32" s="12" t="s">
        <v>3547</v>
      </c>
      <c r="K32" s="12" t="s">
        <v>3504</v>
      </c>
      <c r="L32" s="12" t="s">
        <v>3556</v>
      </c>
      <c r="M32" s="16"/>
      <c r="N32" s="12" t="s">
        <v>3506</v>
      </c>
      <c r="O32" s="12" t="s">
        <v>3507</v>
      </c>
      <c r="P32" s="12" t="s">
        <v>3508</v>
      </c>
      <c r="Q32" s="16"/>
      <c r="R32" s="12" t="s">
        <v>3509</v>
      </c>
      <c r="S32" s="12" t="s">
        <v>3510</v>
      </c>
      <c r="T32" s="12" t="s">
        <v>3549</v>
      </c>
      <c r="U32" s="12" t="s">
        <v>3582</v>
      </c>
      <c r="V32" s="12" t="s">
        <v>3513</v>
      </c>
      <c r="W32" s="12" t="s">
        <v>3514</v>
      </c>
      <c r="X32" s="12" t="s">
        <v>3515</v>
      </c>
      <c r="Y32" s="12" t="s">
        <v>3516</v>
      </c>
      <c r="Z32" s="12" t="s">
        <v>3517</v>
      </c>
      <c r="AA32" s="12" t="s">
        <v>3518</v>
      </c>
      <c r="AB32" s="12" t="s">
        <v>3519</v>
      </c>
      <c r="AC32" s="12" t="s">
        <v>3520</v>
      </c>
      <c r="AD32" s="12" t="s">
        <v>3521</v>
      </c>
      <c r="AE32" s="12" t="s">
        <v>3522</v>
      </c>
      <c r="AF32" s="12" t="s">
        <v>3523</v>
      </c>
      <c r="AG32" s="12" t="s">
        <v>3524</v>
      </c>
      <c r="AH32" s="12" t="s">
        <v>3525</v>
      </c>
      <c r="AI32" s="12" t="s">
        <v>3526</v>
      </c>
      <c r="AJ32" s="12" t="s">
        <v>3527</v>
      </c>
      <c r="AK32" s="12" t="s">
        <v>3528</v>
      </c>
      <c r="AL32" s="12" t="s">
        <v>3529</v>
      </c>
      <c r="AM32" s="12" t="s">
        <v>3530</v>
      </c>
      <c r="AN32" s="12" t="s">
        <v>3531</v>
      </c>
      <c r="AO32" s="12" t="s">
        <v>3658</v>
      </c>
      <c r="AP32" s="12" t="s">
        <v>3533</v>
      </c>
      <c r="AQ32" s="12" t="s">
        <v>3534</v>
      </c>
      <c r="AR32" s="12" t="s">
        <v>3535</v>
      </c>
      <c r="AS32" s="12" t="s">
        <v>3536</v>
      </c>
      <c r="AT32" s="12" t="s">
        <v>3537</v>
      </c>
      <c r="AU32" s="15">
        <v>2.0</v>
      </c>
      <c r="AV32" s="12" t="s">
        <v>3538</v>
      </c>
      <c r="AW32" s="12" t="s">
        <v>3539</v>
      </c>
      <c r="AX32" s="12" t="s">
        <v>3540</v>
      </c>
      <c r="AY32" s="12" t="s">
        <v>3541</v>
      </c>
      <c r="AZ32" s="16"/>
      <c r="BA32" s="12" t="s">
        <v>3543</v>
      </c>
      <c r="BB32" s="12" t="s">
        <v>3544</v>
      </c>
      <c r="BC32" s="17"/>
    </row>
    <row r="33" ht="22.5" customHeight="1">
      <c r="A33" s="18">
        <v>46180.63943082176</v>
      </c>
      <c r="B33" s="19" t="s">
        <v>2196</v>
      </c>
      <c r="C33" s="20">
        <v>39.0</v>
      </c>
      <c r="D33" s="24" t="s">
        <v>3659</v>
      </c>
      <c r="E33" s="22">
        <f t="shared" si="1"/>
        <v>44</v>
      </c>
      <c r="F33" s="19" t="s">
        <v>3660</v>
      </c>
      <c r="G33" s="19" t="s">
        <v>2197</v>
      </c>
      <c r="H33" s="19" t="s">
        <v>2196</v>
      </c>
      <c r="I33" s="22">
        <v>8.917299361E9</v>
      </c>
      <c r="J33" s="19" t="s">
        <v>3547</v>
      </c>
      <c r="K33" s="19" t="s">
        <v>3504</v>
      </c>
      <c r="L33" s="19" t="s">
        <v>3556</v>
      </c>
      <c r="M33" s="21"/>
      <c r="N33" s="19" t="s">
        <v>3569</v>
      </c>
      <c r="O33" s="19" t="s">
        <v>3507</v>
      </c>
      <c r="P33" s="19" t="s">
        <v>3508</v>
      </c>
      <c r="Q33" s="21"/>
      <c r="R33" s="19" t="s">
        <v>3509</v>
      </c>
      <c r="S33" s="19" t="s">
        <v>3510</v>
      </c>
      <c r="T33" s="19" t="s">
        <v>3549</v>
      </c>
      <c r="U33" s="19" t="s">
        <v>3512</v>
      </c>
      <c r="V33" s="19" t="s">
        <v>3513</v>
      </c>
      <c r="W33" s="19" t="s">
        <v>3514</v>
      </c>
      <c r="X33" s="19" t="s">
        <v>3515</v>
      </c>
      <c r="Y33" s="19" t="s">
        <v>3516</v>
      </c>
      <c r="Z33" s="19" t="s">
        <v>3517</v>
      </c>
      <c r="AA33" s="19" t="s">
        <v>3518</v>
      </c>
      <c r="AB33" s="19" t="s">
        <v>3519</v>
      </c>
      <c r="AC33" s="19" t="s">
        <v>3520</v>
      </c>
      <c r="AD33" s="19" t="s">
        <v>3521</v>
      </c>
      <c r="AE33" s="19" t="s">
        <v>3522</v>
      </c>
      <c r="AF33" s="19" t="s">
        <v>3523</v>
      </c>
      <c r="AG33" s="19" t="s">
        <v>3524</v>
      </c>
      <c r="AH33" s="19" t="s">
        <v>3525</v>
      </c>
      <c r="AI33" s="19" t="s">
        <v>3526</v>
      </c>
      <c r="AJ33" s="19" t="s">
        <v>3527</v>
      </c>
      <c r="AK33" s="19" t="s">
        <v>3528</v>
      </c>
      <c r="AL33" s="19" t="s">
        <v>3529</v>
      </c>
      <c r="AM33" s="19" t="s">
        <v>3530</v>
      </c>
      <c r="AN33" s="19" t="s">
        <v>3531</v>
      </c>
      <c r="AO33" s="19" t="s">
        <v>3557</v>
      </c>
      <c r="AP33" s="19" t="s">
        <v>3533</v>
      </c>
      <c r="AQ33" s="19" t="s">
        <v>3534</v>
      </c>
      <c r="AR33" s="19" t="s">
        <v>3535</v>
      </c>
      <c r="AS33" s="19" t="s">
        <v>3536</v>
      </c>
      <c r="AT33" s="19" t="s">
        <v>3537</v>
      </c>
      <c r="AU33" s="19" t="s">
        <v>6</v>
      </c>
      <c r="AV33" s="19" t="s">
        <v>3538</v>
      </c>
      <c r="AW33" s="19" t="s">
        <v>3558</v>
      </c>
      <c r="AX33" s="19" t="s">
        <v>3540</v>
      </c>
      <c r="AY33" s="19" t="s">
        <v>3541</v>
      </c>
      <c r="AZ33" s="19" t="s">
        <v>3542</v>
      </c>
      <c r="BA33" s="19" t="s">
        <v>3543</v>
      </c>
      <c r="BB33" s="19" t="s">
        <v>3544</v>
      </c>
      <c r="BC33" s="23"/>
    </row>
    <row r="34" ht="22.5" customHeight="1">
      <c r="A34" s="11">
        <v>46180.798285682875</v>
      </c>
      <c r="B34" s="12" t="s">
        <v>1772</v>
      </c>
      <c r="C34" s="13">
        <v>33.0</v>
      </c>
      <c r="D34" s="16"/>
      <c r="E34" s="15">
        <f t="shared" si="1"/>
        <v>33</v>
      </c>
      <c r="F34" s="12" t="s">
        <v>3661</v>
      </c>
      <c r="G34" s="12" t="s">
        <v>3662</v>
      </c>
      <c r="H34" s="12" t="s">
        <v>1772</v>
      </c>
      <c r="I34" s="15">
        <v>9.412739243E9</v>
      </c>
      <c r="J34" s="12" t="s">
        <v>3503</v>
      </c>
      <c r="K34" s="12" t="s">
        <v>3504</v>
      </c>
      <c r="L34" s="12" t="s">
        <v>3556</v>
      </c>
      <c r="M34" s="16"/>
      <c r="N34" s="12" t="s">
        <v>3506</v>
      </c>
      <c r="O34" s="12" t="s">
        <v>3507</v>
      </c>
      <c r="P34" s="12" t="s">
        <v>3508</v>
      </c>
      <c r="Q34" s="16"/>
      <c r="R34" s="12" t="s">
        <v>3509</v>
      </c>
      <c r="S34" s="12" t="s">
        <v>3510</v>
      </c>
      <c r="T34" s="12" t="s">
        <v>3549</v>
      </c>
      <c r="U34" s="12" t="s">
        <v>3512</v>
      </c>
      <c r="V34" s="12" t="s">
        <v>3513</v>
      </c>
      <c r="W34" s="12" t="s">
        <v>3514</v>
      </c>
      <c r="X34" s="12" t="s">
        <v>3515</v>
      </c>
      <c r="Y34" s="12" t="s">
        <v>3516</v>
      </c>
      <c r="Z34" s="12" t="s">
        <v>3517</v>
      </c>
      <c r="AA34" s="12" t="s">
        <v>3518</v>
      </c>
      <c r="AB34" s="12" t="s">
        <v>3519</v>
      </c>
      <c r="AC34" s="12" t="s">
        <v>3638</v>
      </c>
      <c r="AD34" s="12" t="s">
        <v>3521</v>
      </c>
      <c r="AE34" s="12" t="s">
        <v>3522</v>
      </c>
      <c r="AF34" s="16"/>
      <c r="AG34" s="12" t="s">
        <v>3524</v>
      </c>
      <c r="AH34" s="12" t="s">
        <v>3525</v>
      </c>
      <c r="AI34" s="12" t="s">
        <v>3526</v>
      </c>
      <c r="AJ34" s="12" t="s">
        <v>3527</v>
      </c>
      <c r="AK34" s="12" t="s">
        <v>3528</v>
      </c>
      <c r="AL34" s="12" t="s">
        <v>3529</v>
      </c>
      <c r="AM34" s="12" t="s">
        <v>3530</v>
      </c>
      <c r="AN34" s="12" t="s">
        <v>3531</v>
      </c>
      <c r="AO34" s="12" t="s">
        <v>3557</v>
      </c>
      <c r="AP34" s="12" t="s">
        <v>3533</v>
      </c>
      <c r="AQ34" s="12" t="s">
        <v>3534</v>
      </c>
      <c r="AR34" s="16"/>
      <c r="AS34" s="16"/>
      <c r="AT34" s="16"/>
      <c r="AU34" s="16"/>
      <c r="AV34" s="16"/>
      <c r="AW34" s="12" t="s">
        <v>3539</v>
      </c>
      <c r="AX34" s="12" t="s">
        <v>3540</v>
      </c>
      <c r="AY34" s="12" t="s">
        <v>3541</v>
      </c>
      <c r="AZ34" s="12" t="s">
        <v>3542</v>
      </c>
      <c r="BA34" s="12" t="s">
        <v>3543</v>
      </c>
      <c r="BB34" s="12" t="s">
        <v>3544</v>
      </c>
      <c r="BC34" s="17"/>
    </row>
    <row r="35" ht="22.5" customHeight="1">
      <c r="A35" s="18">
        <v>46180.80700840278</v>
      </c>
      <c r="B35" s="19" t="s">
        <v>1335</v>
      </c>
      <c r="C35" s="20">
        <v>37.0</v>
      </c>
      <c r="D35" s="24" t="s">
        <v>3663</v>
      </c>
      <c r="E35" s="22">
        <f t="shared" si="1"/>
        <v>42</v>
      </c>
      <c r="F35" s="19" t="s">
        <v>3664</v>
      </c>
      <c r="G35" s="19" t="s">
        <v>1336</v>
      </c>
      <c r="H35" s="19" t="s">
        <v>1335</v>
      </c>
      <c r="I35" s="22">
        <v>7.278433495E9</v>
      </c>
      <c r="J35" s="19" t="s">
        <v>3503</v>
      </c>
      <c r="K35" s="19" t="s">
        <v>3504</v>
      </c>
      <c r="L35" s="19" t="s">
        <v>3556</v>
      </c>
      <c r="M35" s="21"/>
      <c r="N35" s="19" t="s">
        <v>3506</v>
      </c>
      <c r="O35" s="19" t="s">
        <v>3507</v>
      </c>
      <c r="P35" s="19" t="s">
        <v>3508</v>
      </c>
      <c r="Q35" s="21"/>
      <c r="R35" s="19" t="s">
        <v>3509</v>
      </c>
      <c r="S35" s="19" t="s">
        <v>3510</v>
      </c>
      <c r="T35" s="19" t="s">
        <v>3511</v>
      </c>
      <c r="U35" s="19" t="s">
        <v>3512</v>
      </c>
      <c r="V35" s="19" t="s">
        <v>3513</v>
      </c>
      <c r="W35" s="19" t="s">
        <v>3514</v>
      </c>
      <c r="X35" s="19" t="s">
        <v>3515</v>
      </c>
      <c r="Y35" s="19" t="s">
        <v>3516</v>
      </c>
      <c r="Z35" s="19" t="s">
        <v>3517</v>
      </c>
      <c r="AA35" s="19" t="s">
        <v>3518</v>
      </c>
      <c r="AB35" s="19" t="s">
        <v>3519</v>
      </c>
      <c r="AC35" s="19" t="s">
        <v>3520</v>
      </c>
      <c r="AD35" s="19" t="s">
        <v>3521</v>
      </c>
      <c r="AE35" s="19" t="s">
        <v>3522</v>
      </c>
      <c r="AF35" s="19" t="s">
        <v>3523</v>
      </c>
      <c r="AG35" s="19" t="s">
        <v>3524</v>
      </c>
      <c r="AH35" s="19" t="s">
        <v>3525</v>
      </c>
      <c r="AI35" s="19" t="s">
        <v>3526</v>
      </c>
      <c r="AJ35" s="19" t="s">
        <v>3527</v>
      </c>
      <c r="AK35" s="19" t="s">
        <v>3528</v>
      </c>
      <c r="AL35" s="19" t="s">
        <v>3529</v>
      </c>
      <c r="AM35" s="19" t="s">
        <v>3530</v>
      </c>
      <c r="AN35" s="19" t="s">
        <v>3531</v>
      </c>
      <c r="AO35" s="19" t="s">
        <v>3532</v>
      </c>
      <c r="AP35" s="19" t="s">
        <v>3533</v>
      </c>
      <c r="AQ35" s="19" t="s">
        <v>3534</v>
      </c>
      <c r="AR35" s="19" t="s">
        <v>3535</v>
      </c>
      <c r="AS35" s="19" t="s">
        <v>3536</v>
      </c>
      <c r="AT35" s="19" t="s">
        <v>3537</v>
      </c>
      <c r="AU35" s="19" t="s">
        <v>6</v>
      </c>
      <c r="AV35" s="19" t="s">
        <v>3538</v>
      </c>
      <c r="AW35" s="19" t="s">
        <v>3558</v>
      </c>
      <c r="AX35" s="19" t="s">
        <v>3540</v>
      </c>
      <c r="AY35" s="19" t="s">
        <v>3541</v>
      </c>
      <c r="AZ35" s="19" t="s">
        <v>3542</v>
      </c>
      <c r="BA35" s="19" t="s">
        <v>3543</v>
      </c>
      <c r="BB35" s="19" t="s">
        <v>3544</v>
      </c>
      <c r="BC35" s="23"/>
    </row>
    <row r="36" ht="22.5" customHeight="1">
      <c r="A36" s="11">
        <v>46180.81670335648</v>
      </c>
      <c r="B36" s="12" t="s">
        <v>3665</v>
      </c>
      <c r="C36" s="13">
        <v>42.0</v>
      </c>
      <c r="D36" s="16"/>
      <c r="E36" s="15">
        <f t="shared" si="1"/>
        <v>42</v>
      </c>
      <c r="F36" s="12" t="s">
        <v>3666</v>
      </c>
      <c r="G36" s="12" t="s">
        <v>3667</v>
      </c>
      <c r="H36" s="12" t="s">
        <v>3668</v>
      </c>
      <c r="I36" s="15">
        <v>6.398623932E9</v>
      </c>
      <c r="J36" s="12" t="s">
        <v>3547</v>
      </c>
      <c r="K36" s="12" t="s">
        <v>3504</v>
      </c>
      <c r="L36" s="12" t="s">
        <v>3556</v>
      </c>
      <c r="M36" s="16"/>
      <c r="N36" s="12" t="s">
        <v>3506</v>
      </c>
      <c r="O36" s="12" t="s">
        <v>3507</v>
      </c>
      <c r="P36" s="12" t="s">
        <v>3508</v>
      </c>
      <c r="Q36" s="16"/>
      <c r="R36" s="12" t="s">
        <v>3509</v>
      </c>
      <c r="S36" s="12" t="s">
        <v>3510</v>
      </c>
      <c r="T36" s="12" t="s">
        <v>3549</v>
      </c>
      <c r="U36" s="12" t="s">
        <v>3550</v>
      </c>
      <c r="V36" s="12" t="s">
        <v>3513</v>
      </c>
      <c r="W36" s="12" t="s">
        <v>3514</v>
      </c>
      <c r="X36" s="12" t="s">
        <v>3515</v>
      </c>
      <c r="Y36" s="12" t="s">
        <v>3516</v>
      </c>
      <c r="Z36" s="12" t="s">
        <v>3517</v>
      </c>
      <c r="AA36" s="12" t="s">
        <v>3518</v>
      </c>
      <c r="AB36" s="12" t="s">
        <v>3519</v>
      </c>
      <c r="AC36" s="12" t="s">
        <v>3520</v>
      </c>
      <c r="AD36" s="12" t="s">
        <v>3521</v>
      </c>
      <c r="AE36" s="12" t="s">
        <v>3522</v>
      </c>
      <c r="AF36" s="12" t="s">
        <v>3523</v>
      </c>
      <c r="AG36" s="12" t="s">
        <v>3524</v>
      </c>
      <c r="AH36" s="12" t="s">
        <v>3525</v>
      </c>
      <c r="AI36" s="12" t="s">
        <v>3526</v>
      </c>
      <c r="AJ36" s="12" t="s">
        <v>3527</v>
      </c>
      <c r="AK36" s="12" t="s">
        <v>3528</v>
      </c>
      <c r="AL36" s="12" t="s">
        <v>3529</v>
      </c>
      <c r="AM36" s="12" t="s">
        <v>3530</v>
      </c>
      <c r="AN36" s="12" t="s">
        <v>3531</v>
      </c>
      <c r="AO36" s="12" t="s">
        <v>3557</v>
      </c>
      <c r="AP36" s="12" t="s">
        <v>3533</v>
      </c>
      <c r="AQ36" s="12" t="s">
        <v>3534</v>
      </c>
      <c r="AR36" s="12" t="s">
        <v>3535</v>
      </c>
      <c r="AS36" s="12" t="s">
        <v>3536</v>
      </c>
      <c r="AT36" s="12" t="s">
        <v>3537</v>
      </c>
      <c r="AU36" s="12" t="s">
        <v>6</v>
      </c>
      <c r="AV36" s="12" t="s">
        <v>3538</v>
      </c>
      <c r="AW36" s="12" t="s">
        <v>3539</v>
      </c>
      <c r="AX36" s="12" t="s">
        <v>3540</v>
      </c>
      <c r="AY36" s="12" t="s">
        <v>3541</v>
      </c>
      <c r="AZ36" s="12" t="s">
        <v>3542</v>
      </c>
      <c r="BA36" s="12" t="s">
        <v>3543</v>
      </c>
      <c r="BB36" s="12" t="s">
        <v>3544</v>
      </c>
      <c r="BC36" s="17"/>
    </row>
    <row r="37" ht="22.5" customHeight="1">
      <c r="A37" s="18">
        <v>46180.83146371528</v>
      </c>
      <c r="B37" s="19" t="s">
        <v>3669</v>
      </c>
      <c r="C37" s="20">
        <v>39.0</v>
      </c>
      <c r="D37" s="24" t="s">
        <v>3670</v>
      </c>
      <c r="E37" s="22">
        <f t="shared" si="1"/>
        <v>44</v>
      </c>
      <c r="F37" s="19" t="s">
        <v>3671</v>
      </c>
      <c r="G37" s="19" t="s">
        <v>3672</v>
      </c>
      <c r="H37" s="24" t="s">
        <v>3673</v>
      </c>
      <c r="I37" s="22">
        <v>6.204420339E9</v>
      </c>
      <c r="J37" s="19" t="s">
        <v>3547</v>
      </c>
      <c r="K37" s="19" t="s">
        <v>3504</v>
      </c>
      <c r="L37" s="19" t="s">
        <v>3556</v>
      </c>
      <c r="M37" s="21"/>
      <c r="N37" s="19" t="s">
        <v>3506</v>
      </c>
      <c r="O37" s="19" t="s">
        <v>3507</v>
      </c>
      <c r="P37" s="19" t="s">
        <v>3508</v>
      </c>
      <c r="Q37" s="21"/>
      <c r="R37" s="19" t="s">
        <v>3509</v>
      </c>
      <c r="S37" s="19" t="s">
        <v>3674</v>
      </c>
      <c r="T37" s="19" t="s">
        <v>3549</v>
      </c>
      <c r="U37" s="19" t="s">
        <v>3512</v>
      </c>
      <c r="V37" s="19" t="s">
        <v>3513</v>
      </c>
      <c r="W37" s="19" t="s">
        <v>3514</v>
      </c>
      <c r="X37" s="19" t="s">
        <v>3515</v>
      </c>
      <c r="Y37" s="19" t="s">
        <v>3516</v>
      </c>
      <c r="Z37" s="19" t="s">
        <v>3517</v>
      </c>
      <c r="AA37" s="19" t="s">
        <v>3518</v>
      </c>
      <c r="AB37" s="19" t="s">
        <v>3519</v>
      </c>
      <c r="AC37" s="19" t="s">
        <v>3520</v>
      </c>
      <c r="AD37" s="19" t="s">
        <v>3521</v>
      </c>
      <c r="AE37" s="19" t="s">
        <v>3522</v>
      </c>
      <c r="AF37" s="19" t="s">
        <v>3523</v>
      </c>
      <c r="AG37" s="19" t="s">
        <v>3524</v>
      </c>
      <c r="AH37" s="19" t="s">
        <v>3525</v>
      </c>
      <c r="AI37" s="19" t="s">
        <v>3526</v>
      </c>
      <c r="AJ37" s="19" t="s">
        <v>3527</v>
      </c>
      <c r="AK37" s="19" t="s">
        <v>3528</v>
      </c>
      <c r="AL37" s="19" t="s">
        <v>3529</v>
      </c>
      <c r="AM37" s="19" t="s">
        <v>3530</v>
      </c>
      <c r="AN37" s="19" t="s">
        <v>3531</v>
      </c>
      <c r="AO37" s="19" t="s">
        <v>3557</v>
      </c>
      <c r="AP37" s="19" t="s">
        <v>3533</v>
      </c>
      <c r="AQ37" s="19" t="s">
        <v>3534</v>
      </c>
      <c r="AR37" s="19" t="s">
        <v>3535</v>
      </c>
      <c r="AS37" s="19" t="s">
        <v>3536</v>
      </c>
      <c r="AT37" s="19" t="s">
        <v>3537</v>
      </c>
      <c r="AU37" s="19" t="s">
        <v>6</v>
      </c>
      <c r="AV37" s="19" t="s">
        <v>3538</v>
      </c>
      <c r="AW37" s="19" t="s">
        <v>3558</v>
      </c>
      <c r="AX37" s="19" t="s">
        <v>3540</v>
      </c>
      <c r="AY37" s="19" t="s">
        <v>3541</v>
      </c>
      <c r="AZ37" s="19" t="s">
        <v>3542</v>
      </c>
      <c r="BA37" s="19" t="s">
        <v>3543</v>
      </c>
      <c r="BB37" s="19" t="s">
        <v>3544</v>
      </c>
      <c r="BC37" s="23"/>
    </row>
    <row r="38" ht="22.5" customHeight="1">
      <c r="A38" s="11">
        <v>46180.86734347222</v>
      </c>
      <c r="B38" s="12" t="s">
        <v>449</v>
      </c>
      <c r="C38" s="13">
        <v>39.0</v>
      </c>
      <c r="D38" s="14" t="s">
        <v>3675</v>
      </c>
      <c r="E38" s="15">
        <f t="shared" si="1"/>
        <v>44</v>
      </c>
      <c r="F38" s="12" t="s">
        <v>3676</v>
      </c>
      <c r="G38" s="12" t="s">
        <v>450</v>
      </c>
      <c r="H38" s="12" t="s">
        <v>449</v>
      </c>
      <c r="I38" s="15">
        <v>7.294999155E9</v>
      </c>
      <c r="J38" s="12" t="s">
        <v>3547</v>
      </c>
      <c r="K38" s="12" t="s">
        <v>3504</v>
      </c>
      <c r="L38" s="12" t="s">
        <v>3556</v>
      </c>
      <c r="M38" s="16"/>
      <c r="N38" s="12" t="s">
        <v>3548</v>
      </c>
      <c r="O38" s="12" t="s">
        <v>3507</v>
      </c>
      <c r="P38" s="12" t="s">
        <v>3508</v>
      </c>
      <c r="Q38" s="16"/>
      <c r="R38" s="12" t="s">
        <v>3509</v>
      </c>
      <c r="S38" s="12" t="s">
        <v>3510</v>
      </c>
      <c r="T38" s="12" t="s">
        <v>3549</v>
      </c>
      <c r="U38" s="12" t="s">
        <v>3512</v>
      </c>
      <c r="V38" s="12" t="s">
        <v>3513</v>
      </c>
      <c r="W38" s="12" t="s">
        <v>3514</v>
      </c>
      <c r="X38" s="12" t="s">
        <v>3515</v>
      </c>
      <c r="Y38" s="12" t="s">
        <v>3516</v>
      </c>
      <c r="Z38" s="12" t="s">
        <v>3517</v>
      </c>
      <c r="AA38" s="12" t="s">
        <v>3518</v>
      </c>
      <c r="AB38" s="12" t="s">
        <v>3519</v>
      </c>
      <c r="AC38" s="12" t="s">
        <v>3520</v>
      </c>
      <c r="AD38" s="12" t="s">
        <v>3521</v>
      </c>
      <c r="AE38" s="12" t="s">
        <v>3522</v>
      </c>
      <c r="AF38" s="12" t="s">
        <v>3523</v>
      </c>
      <c r="AG38" s="12" t="s">
        <v>3524</v>
      </c>
      <c r="AH38" s="12" t="s">
        <v>3525</v>
      </c>
      <c r="AI38" s="12" t="s">
        <v>3526</v>
      </c>
      <c r="AJ38" s="12" t="s">
        <v>3527</v>
      </c>
      <c r="AK38" s="12" t="s">
        <v>3528</v>
      </c>
      <c r="AL38" s="12" t="s">
        <v>3529</v>
      </c>
      <c r="AM38" s="12" t="s">
        <v>3530</v>
      </c>
      <c r="AN38" s="12" t="s">
        <v>3531</v>
      </c>
      <c r="AO38" s="12" t="s">
        <v>3557</v>
      </c>
      <c r="AP38" s="12" t="s">
        <v>3533</v>
      </c>
      <c r="AQ38" s="12" t="s">
        <v>3534</v>
      </c>
      <c r="AR38" s="12" t="s">
        <v>3535</v>
      </c>
      <c r="AS38" s="12" t="s">
        <v>3536</v>
      </c>
      <c r="AT38" s="12" t="s">
        <v>3537</v>
      </c>
      <c r="AU38" s="12" t="s">
        <v>6</v>
      </c>
      <c r="AV38" s="12" t="s">
        <v>3538</v>
      </c>
      <c r="AW38" s="12" t="s">
        <v>3558</v>
      </c>
      <c r="AX38" s="12" t="s">
        <v>3540</v>
      </c>
      <c r="AY38" s="12" t="s">
        <v>3541</v>
      </c>
      <c r="AZ38" s="12" t="s">
        <v>3542</v>
      </c>
      <c r="BA38" s="12" t="s">
        <v>3543</v>
      </c>
      <c r="BB38" s="12" t="s">
        <v>3544</v>
      </c>
      <c r="BC38" s="17"/>
    </row>
    <row r="39" ht="22.5" customHeight="1">
      <c r="A39" s="18">
        <v>46180.88361584491</v>
      </c>
      <c r="B39" s="19" t="s">
        <v>596</v>
      </c>
      <c r="C39" s="20">
        <v>38.0</v>
      </c>
      <c r="D39" s="24" t="s">
        <v>3677</v>
      </c>
      <c r="E39" s="22">
        <f t="shared" si="1"/>
        <v>43</v>
      </c>
      <c r="F39" s="19" t="s">
        <v>3678</v>
      </c>
      <c r="G39" s="19" t="s">
        <v>3679</v>
      </c>
      <c r="H39" s="19" t="s">
        <v>596</v>
      </c>
      <c r="I39" s="22">
        <v>9.520017441E9</v>
      </c>
      <c r="J39" s="19" t="s">
        <v>3547</v>
      </c>
      <c r="K39" s="19" t="s">
        <v>3504</v>
      </c>
      <c r="L39" s="19" t="s">
        <v>3556</v>
      </c>
      <c r="M39" s="21"/>
      <c r="N39" s="19" t="s">
        <v>3548</v>
      </c>
      <c r="O39" s="19" t="s">
        <v>3507</v>
      </c>
      <c r="P39" s="19" t="s">
        <v>3508</v>
      </c>
      <c r="Q39" s="21"/>
      <c r="R39" s="19" t="s">
        <v>3509</v>
      </c>
      <c r="S39" s="19" t="s">
        <v>3510</v>
      </c>
      <c r="T39" s="19" t="s">
        <v>3549</v>
      </c>
      <c r="U39" s="19" t="s">
        <v>3512</v>
      </c>
      <c r="V39" s="19" t="s">
        <v>3513</v>
      </c>
      <c r="W39" s="19" t="s">
        <v>3514</v>
      </c>
      <c r="X39" s="19" t="s">
        <v>3515</v>
      </c>
      <c r="Y39" s="19" t="s">
        <v>3680</v>
      </c>
      <c r="Z39" s="19" t="s">
        <v>3517</v>
      </c>
      <c r="AA39" s="19" t="s">
        <v>3518</v>
      </c>
      <c r="AB39" s="19" t="s">
        <v>3519</v>
      </c>
      <c r="AC39" s="19" t="s">
        <v>3520</v>
      </c>
      <c r="AD39" s="19" t="s">
        <v>3521</v>
      </c>
      <c r="AE39" s="19" t="s">
        <v>3522</v>
      </c>
      <c r="AF39" s="19" t="s">
        <v>3681</v>
      </c>
      <c r="AG39" s="19" t="s">
        <v>3524</v>
      </c>
      <c r="AH39" s="19" t="s">
        <v>3525</v>
      </c>
      <c r="AI39" s="19" t="s">
        <v>3526</v>
      </c>
      <c r="AJ39" s="19" t="s">
        <v>3527</v>
      </c>
      <c r="AK39" s="19" t="s">
        <v>3528</v>
      </c>
      <c r="AL39" s="19" t="s">
        <v>3529</v>
      </c>
      <c r="AM39" s="19" t="s">
        <v>3530</v>
      </c>
      <c r="AN39" s="19" t="s">
        <v>3531</v>
      </c>
      <c r="AO39" s="19" t="s">
        <v>3658</v>
      </c>
      <c r="AP39" s="19" t="s">
        <v>3533</v>
      </c>
      <c r="AQ39" s="19" t="s">
        <v>3534</v>
      </c>
      <c r="AR39" s="19" t="s">
        <v>3535</v>
      </c>
      <c r="AS39" s="19" t="s">
        <v>3536</v>
      </c>
      <c r="AT39" s="19" t="s">
        <v>3537</v>
      </c>
      <c r="AU39" s="19" t="s">
        <v>6</v>
      </c>
      <c r="AV39" s="19" t="s">
        <v>3538</v>
      </c>
      <c r="AW39" s="19" t="s">
        <v>3558</v>
      </c>
      <c r="AX39" s="19" t="s">
        <v>3540</v>
      </c>
      <c r="AY39" s="19" t="s">
        <v>3541</v>
      </c>
      <c r="AZ39" s="19" t="s">
        <v>3542</v>
      </c>
      <c r="BA39" s="19" t="s">
        <v>3543</v>
      </c>
      <c r="BB39" s="19" t="s">
        <v>3544</v>
      </c>
      <c r="BC39" s="23"/>
    </row>
    <row r="40" ht="22.5" customHeight="1">
      <c r="A40" s="11">
        <v>46180.890322164356</v>
      </c>
      <c r="B40" s="12" t="s">
        <v>3309</v>
      </c>
      <c r="C40" s="13">
        <v>37.0</v>
      </c>
      <c r="D40" s="14" t="s">
        <v>3682</v>
      </c>
      <c r="E40" s="15">
        <f t="shared" si="1"/>
        <v>42</v>
      </c>
      <c r="F40" s="12" t="s">
        <v>3447</v>
      </c>
      <c r="G40" s="12" t="s">
        <v>3446</v>
      </c>
      <c r="H40" s="12" t="s">
        <v>3309</v>
      </c>
      <c r="I40" s="15">
        <v>9.629296324E9</v>
      </c>
      <c r="J40" s="12" t="s">
        <v>3547</v>
      </c>
      <c r="K40" s="12" t="s">
        <v>3504</v>
      </c>
      <c r="L40" s="12" t="s">
        <v>3556</v>
      </c>
      <c r="M40" s="16"/>
      <c r="N40" s="12" t="s">
        <v>3506</v>
      </c>
      <c r="O40" s="12" t="s">
        <v>3507</v>
      </c>
      <c r="P40" s="12" t="s">
        <v>3508</v>
      </c>
      <c r="Q40" s="16"/>
      <c r="R40" s="12" t="s">
        <v>3509</v>
      </c>
      <c r="S40" s="12" t="s">
        <v>3510</v>
      </c>
      <c r="T40" s="12" t="s">
        <v>3511</v>
      </c>
      <c r="U40" s="12" t="s">
        <v>3512</v>
      </c>
      <c r="V40" s="12" t="s">
        <v>3513</v>
      </c>
      <c r="W40" s="12" t="s">
        <v>3514</v>
      </c>
      <c r="X40" s="12" t="s">
        <v>3515</v>
      </c>
      <c r="Y40" s="12" t="s">
        <v>3576</v>
      </c>
      <c r="Z40" s="12" t="s">
        <v>3517</v>
      </c>
      <c r="AA40" s="12" t="s">
        <v>3518</v>
      </c>
      <c r="AB40" s="12" t="s">
        <v>3683</v>
      </c>
      <c r="AC40" s="12" t="s">
        <v>3520</v>
      </c>
      <c r="AD40" s="12" t="s">
        <v>3521</v>
      </c>
      <c r="AE40" s="12" t="s">
        <v>3522</v>
      </c>
      <c r="AF40" s="12" t="s">
        <v>3523</v>
      </c>
      <c r="AG40" s="12" t="s">
        <v>3524</v>
      </c>
      <c r="AH40" s="12" t="s">
        <v>3525</v>
      </c>
      <c r="AI40" s="12" t="s">
        <v>3526</v>
      </c>
      <c r="AJ40" s="12" t="s">
        <v>3527</v>
      </c>
      <c r="AK40" s="12" t="s">
        <v>3684</v>
      </c>
      <c r="AL40" s="12" t="s">
        <v>3529</v>
      </c>
      <c r="AM40" s="12" t="s">
        <v>3530</v>
      </c>
      <c r="AN40" s="12" t="s">
        <v>3531</v>
      </c>
      <c r="AO40" s="12" t="s">
        <v>3557</v>
      </c>
      <c r="AP40" s="12" t="s">
        <v>3533</v>
      </c>
      <c r="AQ40" s="12" t="s">
        <v>3534</v>
      </c>
      <c r="AR40" s="12" t="s">
        <v>3535</v>
      </c>
      <c r="AS40" s="12" t="s">
        <v>3536</v>
      </c>
      <c r="AT40" s="12" t="s">
        <v>3643</v>
      </c>
      <c r="AU40" s="12" t="s">
        <v>6</v>
      </c>
      <c r="AV40" s="12" t="s">
        <v>3538</v>
      </c>
      <c r="AW40" s="12" t="s">
        <v>3539</v>
      </c>
      <c r="AX40" s="12" t="s">
        <v>3540</v>
      </c>
      <c r="AY40" s="12" t="s">
        <v>3541</v>
      </c>
      <c r="AZ40" s="12" t="s">
        <v>3542</v>
      </c>
      <c r="BA40" s="12" t="s">
        <v>3543</v>
      </c>
      <c r="BB40" s="12" t="s">
        <v>3544</v>
      </c>
      <c r="BC40" s="17"/>
    </row>
    <row r="41" ht="22.5" customHeight="1">
      <c r="A41" s="18">
        <v>46180.97242680556</v>
      </c>
      <c r="B41" s="19" t="s">
        <v>1923</v>
      </c>
      <c r="C41" s="20">
        <v>38.0</v>
      </c>
      <c r="D41" s="24" t="s">
        <v>3685</v>
      </c>
      <c r="E41" s="22">
        <f t="shared" si="1"/>
        <v>43</v>
      </c>
      <c r="F41" s="19" t="s">
        <v>3686</v>
      </c>
      <c r="G41" s="19" t="s">
        <v>3687</v>
      </c>
      <c r="H41" s="19" t="s">
        <v>1923</v>
      </c>
      <c r="I41" s="22">
        <v>9.635820768E9</v>
      </c>
      <c r="J41" s="19" t="s">
        <v>3547</v>
      </c>
      <c r="K41" s="19" t="s">
        <v>3504</v>
      </c>
      <c r="L41" s="19" t="s">
        <v>3505</v>
      </c>
      <c r="M41" s="21"/>
      <c r="N41" s="19" t="s">
        <v>3569</v>
      </c>
      <c r="O41" s="19" t="s">
        <v>3507</v>
      </c>
      <c r="P41" s="19" t="s">
        <v>3508</v>
      </c>
      <c r="Q41" s="21"/>
      <c r="R41" s="19" t="s">
        <v>3509</v>
      </c>
      <c r="S41" s="19" t="s">
        <v>3510</v>
      </c>
      <c r="T41" s="19" t="s">
        <v>3549</v>
      </c>
      <c r="U41" s="19" t="s">
        <v>3550</v>
      </c>
      <c r="V41" s="19" t="s">
        <v>3513</v>
      </c>
      <c r="W41" s="19" t="s">
        <v>3587</v>
      </c>
      <c r="X41" s="19" t="s">
        <v>3515</v>
      </c>
      <c r="Y41" s="19" t="s">
        <v>3516</v>
      </c>
      <c r="Z41" s="19" t="s">
        <v>3517</v>
      </c>
      <c r="AA41" s="19" t="s">
        <v>3518</v>
      </c>
      <c r="AB41" s="19" t="s">
        <v>3519</v>
      </c>
      <c r="AC41" s="19" t="s">
        <v>3520</v>
      </c>
      <c r="AD41" s="19" t="s">
        <v>3521</v>
      </c>
      <c r="AE41" s="19" t="s">
        <v>3522</v>
      </c>
      <c r="AF41" s="19" t="s">
        <v>3523</v>
      </c>
      <c r="AG41" s="19" t="s">
        <v>3524</v>
      </c>
      <c r="AH41" s="19" t="s">
        <v>3525</v>
      </c>
      <c r="AI41" s="19" t="s">
        <v>3526</v>
      </c>
      <c r="AJ41" s="19" t="s">
        <v>3527</v>
      </c>
      <c r="AK41" s="19" t="s">
        <v>3528</v>
      </c>
      <c r="AL41" s="19" t="s">
        <v>3529</v>
      </c>
      <c r="AM41" s="19" t="s">
        <v>3530</v>
      </c>
      <c r="AN41" s="19" t="s">
        <v>3531</v>
      </c>
      <c r="AO41" s="19" t="s">
        <v>3551</v>
      </c>
      <c r="AP41" s="19" t="s">
        <v>3533</v>
      </c>
      <c r="AQ41" s="19" t="s">
        <v>3534</v>
      </c>
      <c r="AR41" s="19" t="s">
        <v>3535</v>
      </c>
      <c r="AS41" s="19" t="s">
        <v>3536</v>
      </c>
      <c r="AT41" s="19" t="s">
        <v>3537</v>
      </c>
      <c r="AU41" s="19" t="s">
        <v>6</v>
      </c>
      <c r="AV41" s="19" t="s">
        <v>3538</v>
      </c>
      <c r="AW41" s="19" t="s">
        <v>3539</v>
      </c>
      <c r="AX41" s="19" t="s">
        <v>3540</v>
      </c>
      <c r="AY41" s="19" t="s">
        <v>3541</v>
      </c>
      <c r="AZ41" s="19" t="s">
        <v>3542</v>
      </c>
      <c r="BA41" s="19" t="s">
        <v>3543</v>
      </c>
      <c r="BB41" s="19" t="s">
        <v>3544</v>
      </c>
      <c r="BC41" s="23"/>
    </row>
    <row r="42" ht="22.5" customHeight="1">
      <c r="A42" s="11">
        <v>46180.98440248842</v>
      </c>
      <c r="B42" s="12" t="s">
        <v>3688</v>
      </c>
      <c r="C42" s="13">
        <v>42.0</v>
      </c>
      <c r="D42" s="14" t="s">
        <v>3689</v>
      </c>
      <c r="E42" s="15">
        <f t="shared" si="1"/>
        <v>47</v>
      </c>
      <c r="F42" s="12" t="s">
        <v>3690</v>
      </c>
      <c r="G42" s="12" t="s">
        <v>3691</v>
      </c>
      <c r="H42" s="12" t="s">
        <v>3688</v>
      </c>
      <c r="I42" s="15">
        <v>9.219727319E9</v>
      </c>
      <c r="J42" s="12" t="s">
        <v>3547</v>
      </c>
      <c r="K42" s="12" t="s">
        <v>3504</v>
      </c>
      <c r="L42" s="12" t="s">
        <v>3556</v>
      </c>
      <c r="M42" s="16"/>
      <c r="N42" s="12" t="s">
        <v>3506</v>
      </c>
      <c r="O42" s="12" t="s">
        <v>3507</v>
      </c>
      <c r="P42" s="12" t="s">
        <v>3508</v>
      </c>
      <c r="Q42" s="16"/>
      <c r="R42" s="12" t="s">
        <v>3509</v>
      </c>
      <c r="S42" s="12" t="s">
        <v>3510</v>
      </c>
      <c r="T42" s="12" t="s">
        <v>3549</v>
      </c>
      <c r="U42" s="12" t="s">
        <v>3550</v>
      </c>
      <c r="V42" s="12" t="s">
        <v>3513</v>
      </c>
      <c r="W42" s="12" t="s">
        <v>3514</v>
      </c>
      <c r="X42" s="12" t="s">
        <v>3515</v>
      </c>
      <c r="Y42" s="12" t="s">
        <v>3516</v>
      </c>
      <c r="Z42" s="12" t="s">
        <v>3517</v>
      </c>
      <c r="AA42" s="12" t="s">
        <v>3518</v>
      </c>
      <c r="AB42" s="12" t="s">
        <v>3519</v>
      </c>
      <c r="AC42" s="12" t="s">
        <v>3520</v>
      </c>
      <c r="AD42" s="12" t="s">
        <v>3521</v>
      </c>
      <c r="AE42" s="12" t="s">
        <v>3522</v>
      </c>
      <c r="AF42" s="12" t="s">
        <v>3523</v>
      </c>
      <c r="AG42" s="12" t="s">
        <v>3524</v>
      </c>
      <c r="AH42" s="12" t="s">
        <v>3525</v>
      </c>
      <c r="AI42" s="12" t="s">
        <v>3526</v>
      </c>
      <c r="AJ42" s="12" t="s">
        <v>3527</v>
      </c>
      <c r="AK42" s="12" t="s">
        <v>3528</v>
      </c>
      <c r="AL42" s="12" t="s">
        <v>3529</v>
      </c>
      <c r="AM42" s="12" t="s">
        <v>3530</v>
      </c>
      <c r="AN42" s="12" t="s">
        <v>3531</v>
      </c>
      <c r="AO42" s="12" t="s">
        <v>3557</v>
      </c>
      <c r="AP42" s="12" t="s">
        <v>3533</v>
      </c>
      <c r="AQ42" s="12" t="s">
        <v>3534</v>
      </c>
      <c r="AR42" s="12" t="s">
        <v>3535</v>
      </c>
      <c r="AS42" s="12" t="s">
        <v>3536</v>
      </c>
      <c r="AT42" s="12" t="s">
        <v>3537</v>
      </c>
      <c r="AU42" s="12" t="s">
        <v>6</v>
      </c>
      <c r="AV42" s="12" t="s">
        <v>3538</v>
      </c>
      <c r="AW42" s="12" t="s">
        <v>3539</v>
      </c>
      <c r="AX42" s="12" t="s">
        <v>3540</v>
      </c>
      <c r="AY42" s="12" t="s">
        <v>3541</v>
      </c>
      <c r="AZ42" s="12" t="s">
        <v>3542</v>
      </c>
      <c r="BA42" s="12" t="s">
        <v>3543</v>
      </c>
      <c r="BB42" s="12" t="s">
        <v>3544</v>
      </c>
      <c r="BC42" s="17"/>
    </row>
    <row r="43" ht="22.5" customHeight="1">
      <c r="A43" s="18">
        <v>46181.01609435186</v>
      </c>
      <c r="B43" s="19" t="s">
        <v>1685</v>
      </c>
      <c r="C43" s="20">
        <v>35.0</v>
      </c>
      <c r="D43" s="24" t="s">
        <v>3692</v>
      </c>
      <c r="E43" s="22">
        <f t="shared" si="1"/>
        <v>40</v>
      </c>
      <c r="F43" s="19" t="s">
        <v>3693</v>
      </c>
      <c r="G43" s="19" t="s">
        <v>1686</v>
      </c>
      <c r="H43" s="19" t="s">
        <v>1685</v>
      </c>
      <c r="I43" s="19" t="s">
        <v>1687</v>
      </c>
      <c r="J43" s="19" t="s">
        <v>3503</v>
      </c>
      <c r="K43" s="19" t="s">
        <v>3504</v>
      </c>
      <c r="L43" s="19" t="s">
        <v>3505</v>
      </c>
      <c r="M43" s="21"/>
      <c r="N43" s="19" t="s">
        <v>3506</v>
      </c>
      <c r="O43" s="19" t="s">
        <v>3507</v>
      </c>
      <c r="P43" s="19" t="s">
        <v>3508</v>
      </c>
      <c r="Q43" s="21"/>
      <c r="R43" s="19" t="s">
        <v>3509</v>
      </c>
      <c r="S43" s="19" t="s">
        <v>3510</v>
      </c>
      <c r="T43" s="19" t="s">
        <v>3549</v>
      </c>
      <c r="U43" s="19" t="s">
        <v>3550</v>
      </c>
      <c r="V43" s="19" t="s">
        <v>3513</v>
      </c>
      <c r="W43" s="19" t="s">
        <v>3514</v>
      </c>
      <c r="X43" s="19" t="s">
        <v>3515</v>
      </c>
      <c r="Y43" s="19" t="s">
        <v>3516</v>
      </c>
      <c r="Z43" s="19" t="s">
        <v>3517</v>
      </c>
      <c r="AA43" s="19" t="s">
        <v>3518</v>
      </c>
      <c r="AB43" s="19" t="s">
        <v>3519</v>
      </c>
      <c r="AC43" s="19" t="s">
        <v>3520</v>
      </c>
      <c r="AD43" s="19" t="s">
        <v>3521</v>
      </c>
      <c r="AE43" s="19" t="s">
        <v>3630</v>
      </c>
      <c r="AF43" s="19" t="s">
        <v>3523</v>
      </c>
      <c r="AG43" s="19" t="s">
        <v>3524</v>
      </c>
      <c r="AH43" s="19" t="s">
        <v>3525</v>
      </c>
      <c r="AI43" s="19" t="s">
        <v>3526</v>
      </c>
      <c r="AJ43" s="19" t="s">
        <v>3527</v>
      </c>
      <c r="AK43" s="19" t="s">
        <v>3528</v>
      </c>
      <c r="AL43" s="19" t="s">
        <v>3529</v>
      </c>
      <c r="AM43" s="19" t="s">
        <v>3530</v>
      </c>
      <c r="AN43" s="19" t="s">
        <v>3531</v>
      </c>
      <c r="AO43" s="19" t="s">
        <v>3557</v>
      </c>
      <c r="AP43" s="19" t="s">
        <v>3533</v>
      </c>
      <c r="AQ43" s="19" t="s">
        <v>3534</v>
      </c>
      <c r="AR43" s="19" t="s">
        <v>3535</v>
      </c>
      <c r="AS43" s="19" t="s">
        <v>3536</v>
      </c>
      <c r="AT43" s="19" t="s">
        <v>3537</v>
      </c>
      <c r="AU43" s="22">
        <v>2.0</v>
      </c>
      <c r="AV43" s="19" t="s">
        <v>3538</v>
      </c>
      <c r="AW43" s="19" t="s">
        <v>3558</v>
      </c>
      <c r="AX43" s="19" t="s">
        <v>3694</v>
      </c>
      <c r="AY43" s="19" t="s">
        <v>3570</v>
      </c>
      <c r="AZ43" s="19" t="s">
        <v>3542</v>
      </c>
      <c r="BA43" s="19" t="s">
        <v>3543</v>
      </c>
      <c r="BB43" s="19" t="s">
        <v>3544</v>
      </c>
      <c r="BC43" s="23"/>
    </row>
    <row r="44" ht="22.5" customHeight="1">
      <c r="A44" s="11">
        <v>46181.025233946755</v>
      </c>
      <c r="B44" s="12" t="s">
        <v>3695</v>
      </c>
      <c r="C44" s="13">
        <v>38.0</v>
      </c>
      <c r="D44" s="14" t="s">
        <v>3696</v>
      </c>
      <c r="E44" s="15">
        <f t="shared" si="1"/>
        <v>43</v>
      </c>
      <c r="F44" s="12" t="s">
        <v>3697</v>
      </c>
      <c r="G44" s="12" t="s">
        <v>1564</v>
      </c>
      <c r="H44" s="12" t="s">
        <v>1563</v>
      </c>
      <c r="I44" s="15">
        <v>9.209386147E9</v>
      </c>
      <c r="J44" s="12" t="s">
        <v>3547</v>
      </c>
      <c r="K44" s="12" t="s">
        <v>3504</v>
      </c>
      <c r="L44" s="12" t="s">
        <v>3556</v>
      </c>
      <c r="M44" s="16"/>
      <c r="N44" s="12" t="s">
        <v>3613</v>
      </c>
      <c r="O44" s="12" t="s">
        <v>3507</v>
      </c>
      <c r="P44" s="12" t="s">
        <v>3508</v>
      </c>
      <c r="Q44" s="16"/>
      <c r="R44" s="12" t="s">
        <v>3509</v>
      </c>
      <c r="S44" s="12" t="s">
        <v>3510</v>
      </c>
      <c r="T44" s="12" t="s">
        <v>3549</v>
      </c>
      <c r="U44" s="12" t="s">
        <v>3512</v>
      </c>
      <c r="V44" s="12" t="s">
        <v>3513</v>
      </c>
      <c r="W44" s="12" t="s">
        <v>3514</v>
      </c>
      <c r="X44" s="12" t="s">
        <v>3515</v>
      </c>
      <c r="Y44" s="12" t="s">
        <v>3516</v>
      </c>
      <c r="Z44" s="12" t="s">
        <v>3517</v>
      </c>
      <c r="AA44" s="12" t="s">
        <v>3518</v>
      </c>
      <c r="AB44" s="12" t="s">
        <v>3519</v>
      </c>
      <c r="AC44" s="12" t="s">
        <v>3520</v>
      </c>
      <c r="AD44" s="12" t="s">
        <v>3521</v>
      </c>
      <c r="AE44" s="12" t="s">
        <v>3522</v>
      </c>
      <c r="AF44" s="12" t="s">
        <v>3523</v>
      </c>
      <c r="AG44" s="12" t="s">
        <v>3524</v>
      </c>
      <c r="AH44" s="12" t="s">
        <v>3525</v>
      </c>
      <c r="AI44" s="12" t="s">
        <v>3526</v>
      </c>
      <c r="AJ44" s="12" t="s">
        <v>3527</v>
      </c>
      <c r="AK44" s="12" t="s">
        <v>3528</v>
      </c>
      <c r="AL44" s="12" t="s">
        <v>3529</v>
      </c>
      <c r="AM44" s="12" t="s">
        <v>3698</v>
      </c>
      <c r="AN44" s="12" t="s">
        <v>3531</v>
      </c>
      <c r="AO44" s="12" t="s">
        <v>3557</v>
      </c>
      <c r="AP44" s="12" t="s">
        <v>3533</v>
      </c>
      <c r="AQ44" s="12" t="s">
        <v>3534</v>
      </c>
      <c r="AR44" s="12" t="s">
        <v>3535</v>
      </c>
      <c r="AS44" s="12" t="s">
        <v>3536</v>
      </c>
      <c r="AT44" s="12" t="s">
        <v>3537</v>
      </c>
      <c r="AU44" s="12" t="s">
        <v>6</v>
      </c>
      <c r="AV44" s="12" t="s">
        <v>3538</v>
      </c>
      <c r="AW44" s="12" t="s">
        <v>3539</v>
      </c>
      <c r="AX44" s="12" t="s">
        <v>3540</v>
      </c>
      <c r="AY44" s="12" t="s">
        <v>3541</v>
      </c>
      <c r="AZ44" s="12" t="s">
        <v>3542</v>
      </c>
      <c r="BA44" s="12" t="s">
        <v>3699</v>
      </c>
      <c r="BB44" s="12" t="s">
        <v>3544</v>
      </c>
      <c r="BC44" s="17"/>
    </row>
    <row r="45" ht="22.5" customHeight="1">
      <c r="A45" s="18">
        <v>46181.04829449074</v>
      </c>
      <c r="B45" s="19" t="s">
        <v>2210</v>
      </c>
      <c r="C45" s="20">
        <v>31.0</v>
      </c>
      <c r="D45" s="24" t="s">
        <v>3700</v>
      </c>
      <c r="E45" s="22">
        <f t="shared" si="1"/>
        <v>36</v>
      </c>
      <c r="F45" s="19" t="s">
        <v>3701</v>
      </c>
      <c r="G45" s="19" t="s">
        <v>3702</v>
      </c>
      <c r="H45" s="19" t="s">
        <v>2210</v>
      </c>
      <c r="I45" s="22">
        <v>7.276853124E9</v>
      </c>
      <c r="J45" s="19" t="s">
        <v>3503</v>
      </c>
      <c r="K45" s="19" t="s">
        <v>3504</v>
      </c>
      <c r="L45" s="19" t="s">
        <v>3556</v>
      </c>
      <c r="M45" s="21"/>
      <c r="N45" s="19" t="s">
        <v>3506</v>
      </c>
      <c r="O45" s="19" t="s">
        <v>3507</v>
      </c>
      <c r="P45" s="19" t="s">
        <v>3508</v>
      </c>
      <c r="Q45" s="21"/>
      <c r="R45" s="19" t="s">
        <v>3509</v>
      </c>
      <c r="S45" s="19" t="s">
        <v>3510</v>
      </c>
      <c r="T45" s="19" t="s">
        <v>3511</v>
      </c>
      <c r="U45" s="19" t="s">
        <v>3512</v>
      </c>
      <c r="V45" s="19" t="s">
        <v>3513</v>
      </c>
      <c r="W45" s="19" t="s">
        <v>3587</v>
      </c>
      <c r="X45" s="19" t="s">
        <v>3515</v>
      </c>
      <c r="Y45" s="19" t="s">
        <v>3516</v>
      </c>
      <c r="Z45" s="19" t="s">
        <v>3517</v>
      </c>
      <c r="AA45" s="19" t="s">
        <v>3703</v>
      </c>
      <c r="AB45" s="19" t="s">
        <v>3519</v>
      </c>
      <c r="AC45" s="19" t="s">
        <v>3520</v>
      </c>
      <c r="AD45" s="19" t="s">
        <v>3521</v>
      </c>
      <c r="AE45" s="19" t="s">
        <v>3704</v>
      </c>
      <c r="AF45" s="19" t="s">
        <v>3523</v>
      </c>
      <c r="AG45" s="19" t="s">
        <v>3589</v>
      </c>
      <c r="AH45" s="19" t="s">
        <v>3525</v>
      </c>
      <c r="AI45" s="19" t="s">
        <v>3526</v>
      </c>
      <c r="AJ45" s="19" t="s">
        <v>3527</v>
      </c>
      <c r="AK45" s="19" t="s">
        <v>3528</v>
      </c>
      <c r="AL45" s="19" t="s">
        <v>3529</v>
      </c>
      <c r="AM45" s="19" t="s">
        <v>3530</v>
      </c>
      <c r="AN45" s="19" t="s">
        <v>3531</v>
      </c>
      <c r="AO45" s="19" t="s">
        <v>3557</v>
      </c>
      <c r="AP45" s="19" t="s">
        <v>3533</v>
      </c>
      <c r="AQ45" s="19" t="s">
        <v>3534</v>
      </c>
      <c r="AR45" s="19" t="s">
        <v>3535</v>
      </c>
      <c r="AS45" s="19" t="s">
        <v>3536</v>
      </c>
      <c r="AT45" s="19" t="s">
        <v>3537</v>
      </c>
      <c r="AU45" s="19" t="s">
        <v>6</v>
      </c>
      <c r="AV45" s="19" t="s">
        <v>3538</v>
      </c>
      <c r="AW45" s="19" t="s">
        <v>3705</v>
      </c>
      <c r="AX45" s="19" t="s">
        <v>3694</v>
      </c>
      <c r="AY45" s="19" t="s">
        <v>3541</v>
      </c>
      <c r="AZ45" s="19" t="s">
        <v>3706</v>
      </c>
      <c r="BA45" s="19" t="s">
        <v>3579</v>
      </c>
      <c r="BB45" s="19" t="s">
        <v>3544</v>
      </c>
      <c r="BC45" s="23"/>
    </row>
    <row r="46" ht="22.5" customHeight="1">
      <c r="A46" s="11">
        <v>46181.086239282406</v>
      </c>
      <c r="B46" s="12" t="s">
        <v>2695</v>
      </c>
      <c r="C46" s="13">
        <v>26.0</v>
      </c>
      <c r="D46" s="14" t="s">
        <v>3707</v>
      </c>
      <c r="E46" s="15">
        <f t="shared" si="1"/>
        <v>31</v>
      </c>
      <c r="F46" s="12" t="s">
        <v>3708</v>
      </c>
      <c r="G46" s="12" t="s">
        <v>2696</v>
      </c>
      <c r="H46" s="12" t="s">
        <v>2695</v>
      </c>
      <c r="I46" s="15">
        <v>8.267861027E9</v>
      </c>
      <c r="J46" s="12" t="s">
        <v>3547</v>
      </c>
      <c r="K46" s="12" t="s">
        <v>3504</v>
      </c>
      <c r="L46" s="12" t="s">
        <v>3505</v>
      </c>
      <c r="M46" s="16"/>
      <c r="N46" s="12" t="s">
        <v>3569</v>
      </c>
      <c r="O46" s="12" t="s">
        <v>3614</v>
      </c>
      <c r="P46" s="12" t="s">
        <v>3508</v>
      </c>
      <c r="Q46" s="16"/>
      <c r="R46" s="12" t="s">
        <v>3509</v>
      </c>
      <c r="S46" s="12" t="s">
        <v>3674</v>
      </c>
      <c r="T46" s="12" t="s">
        <v>3709</v>
      </c>
      <c r="U46" s="12" t="s">
        <v>3512</v>
      </c>
      <c r="V46" s="12" t="s">
        <v>3599</v>
      </c>
      <c r="W46" s="12" t="s">
        <v>3587</v>
      </c>
      <c r="X46" s="12" t="s">
        <v>3515</v>
      </c>
      <c r="Y46" s="12" t="s">
        <v>3516</v>
      </c>
      <c r="Z46" s="12" t="s">
        <v>3517</v>
      </c>
      <c r="AA46" s="12" t="s">
        <v>3518</v>
      </c>
      <c r="AB46" s="12" t="s">
        <v>3519</v>
      </c>
      <c r="AC46" s="12" t="s">
        <v>3520</v>
      </c>
      <c r="AD46" s="12" t="s">
        <v>3615</v>
      </c>
      <c r="AE46" s="12" t="s">
        <v>3522</v>
      </c>
      <c r="AF46" s="12" t="s">
        <v>3523</v>
      </c>
      <c r="AG46" s="12" t="s">
        <v>3524</v>
      </c>
      <c r="AH46" s="12" t="s">
        <v>3600</v>
      </c>
      <c r="AI46" s="12" t="s">
        <v>3526</v>
      </c>
      <c r="AJ46" s="12" t="s">
        <v>3527</v>
      </c>
      <c r="AK46" s="12" t="s">
        <v>3528</v>
      </c>
      <c r="AL46" s="12" t="s">
        <v>3590</v>
      </c>
      <c r="AM46" s="12" t="s">
        <v>3530</v>
      </c>
      <c r="AN46" s="12" t="s">
        <v>3710</v>
      </c>
      <c r="AO46" s="12" t="s">
        <v>3557</v>
      </c>
      <c r="AP46" s="12" t="s">
        <v>3577</v>
      </c>
      <c r="AQ46" s="12" t="s">
        <v>3534</v>
      </c>
      <c r="AR46" s="12" t="s">
        <v>3535</v>
      </c>
      <c r="AS46" s="12" t="s">
        <v>3536</v>
      </c>
      <c r="AT46" s="12" t="s">
        <v>3537</v>
      </c>
      <c r="AU46" s="12" t="s">
        <v>6</v>
      </c>
      <c r="AV46" s="12" t="s">
        <v>3536</v>
      </c>
      <c r="AW46" s="12" t="s">
        <v>3558</v>
      </c>
      <c r="AX46" s="12" t="s">
        <v>3711</v>
      </c>
      <c r="AY46" s="12" t="s">
        <v>3541</v>
      </c>
      <c r="AZ46" s="12" t="s">
        <v>3542</v>
      </c>
      <c r="BA46" s="12" t="s">
        <v>3543</v>
      </c>
      <c r="BB46" s="12" t="s">
        <v>3544</v>
      </c>
      <c r="BC46" s="17"/>
    </row>
    <row r="47" ht="22.5" customHeight="1">
      <c r="A47" s="18">
        <v>46181.34772489584</v>
      </c>
      <c r="B47" s="19" t="s">
        <v>3123</v>
      </c>
      <c r="C47" s="20">
        <v>40.0</v>
      </c>
      <c r="D47" s="24" t="s">
        <v>3712</v>
      </c>
      <c r="E47" s="22">
        <f t="shared" si="1"/>
        <v>45</v>
      </c>
      <c r="F47" s="19" t="s">
        <v>3713</v>
      </c>
      <c r="G47" s="19" t="s">
        <v>3124</v>
      </c>
      <c r="H47" s="19" t="s">
        <v>3123</v>
      </c>
      <c r="I47" s="22">
        <v>6.23510868E9</v>
      </c>
      <c r="J47" s="19" t="s">
        <v>3547</v>
      </c>
      <c r="K47" s="19" t="s">
        <v>3504</v>
      </c>
      <c r="L47" s="19" t="s">
        <v>3556</v>
      </c>
      <c r="M47" s="21"/>
      <c r="N47" s="19" t="s">
        <v>3506</v>
      </c>
      <c r="O47" s="19" t="s">
        <v>3507</v>
      </c>
      <c r="P47" s="19" t="s">
        <v>3508</v>
      </c>
      <c r="Q47" s="21"/>
      <c r="R47" s="19" t="s">
        <v>3509</v>
      </c>
      <c r="S47" s="19" t="s">
        <v>3510</v>
      </c>
      <c r="T47" s="19" t="s">
        <v>3511</v>
      </c>
      <c r="U47" s="19" t="s">
        <v>3550</v>
      </c>
      <c r="V47" s="19" t="s">
        <v>3513</v>
      </c>
      <c r="W47" s="19" t="s">
        <v>3514</v>
      </c>
      <c r="X47" s="19" t="s">
        <v>3515</v>
      </c>
      <c r="Y47" s="19" t="s">
        <v>3516</v>
      </c>
      <c r="Z47" s="19" t="s">
        <v>3517</v>
      </c>
      <c r="AA47" s="19" t="s">
        <v>3518</v>
      </c>
      <c r="AB47" s="19" t="s">
        <v>3519</v>
      </c>
      <c r="AC47" s="19" t="s">
        <v>3520</v>
      </c>
      <c r="AD47" s="19" t="s">
        <v>3521</v>
      </c>
      <c r="AE47" s="19" t="s">
        <v>3522</v>
      </c>
      <c r="AF47" s="19" t="s">
        <v>3523</v>
      </c>
      <c r="AG47" s="19" t="s">
        <v>3524</v>
      </c>
      <c r="AH47" s="19" t="s">
        <v>3525</v>
      </c>
      <c r="AI47" s="19" t="s">
        <v>3526</v>
      </c>
      <c r="AJ47" s="19" t="s">
        <v>3527</v>
      </c>
      <c r="AK47" s="19" t="s">
        <v>3528</v>
      </c>
      <c r="AL47" s="19" t="s">
        <v>3529</v>
      </c>
      <c r="AM47" s="19" t="s">
        <v>3530</v>
      </c>
      <c r="AN47" s="19" t="s">
        <v>3531</v>
      </c>
      <c r="AO47" s="19" t="s">
        <v>3557</v>
      </c>
      <c r="AP47" s="19" t="s">
        <v>3533</v>
      </c>
      <c r="AQ47" s="19" t="s">
        <v>3534</v>
      </c>
      <c r="AR47" s="19" t="s">
        <v>3535</v>
      </c>
      <c r="AS47" s="19" t="s">
        <v>3536</v>
      </c>
      <c r="AT47" s="19" t="s">
        <v>3562</v>
      </c>
      <c r="AU47" s="19" t="s">
        <v>6</v>
      </c>
      <c r="AV47" s="19" t="s">
        <v>3538</v>
      </c>
      <c r="AW47" s="19" t="s">
        <v>3539</v>
      </c>
      <c r="AX47" s="19" t="s">
        <v>3540</v>
      </c>
      <c r="AY47" s="19" t="s">
        <v>3541</v>
      </c>
      <c r="AZ47" s="19" t="s">
        <v>3542</v>
      </c>
      <c r="BA47" s="19" t="s">
        <v>3543</v>
      </c>
      <c r="BB47" s="19" t="s">
        <v>3544</v>
      </c>
      <c r="BC47" s="23"/>
    </row>
    <row r="48" ht="22.5" customHeight="1">
      <c r="A48" s="11">
        <v>46181.364001145834</v>
      </c>
      <c r="B48" s="12" t="s">
        <v>3714</v>
      </c>
      <c r="C48" s="13">
        <v>38.0</v>
      </c>
      <c r="D48" s="14" t="s">
        <v>3715</v>
      </c>
      <c r="E48" s="15">
        <f t="shared" si="1"/>
        <v>43</v>
      </c>
      <c r="F48" s="12" t="s">
        <v>3716</v>
      </c>
      <c r="G48" s="12" t="s">
        <v>3717</v>
      </c>
      <c r="H48" s="12" t="s">
        <v>3714</v>
      </c>
      <c r="I48" s="15">
        <v>91033.0</v>
      </c>
      <c r="J48" s="12" t="s">
        <v>3547</v>
      </c>
      <c r="K48" s="12" t="s">
        <v>3504</v>
      </c>
      <c r="L48" s="12" t="s">
        <v>3556</v>
      </c>
      <c r="M48" s="16"/>
      <c r="N48" s="12" t="s">
        <v>3569</v>
      </c>
      <c r="O48" s="12" t="s">
        <v>3507</v>
      </c>
      <c r="P48" s="12" t="s">
        <v>3508</v>
      </c>
      <c r="Q48" s="16"/>
      <c r="R48" s="12" t="s">
        <v>3509</v>
      </c>
      <c r="S48" s="12" t="s">
        <v>3510</v>
      </c>
      <c r="T48" s="12" t="s">
        <v>3511</v>
      </c>
      <c r="U48" s="12" t="s">
        <v>3512</v>
      </c>
      <c r="V48" s="12" t="s">
        <v>3513</v>
      </c>
      <c r="W48" s="12" t="s">
        <v>3514</v>
      </c>
      <c r="X48" s="12" t="s">
        <v>3515</v>
      </c>
      <c r="Y48" s="12" t="s">
        <v>3516</v>
      </c>
      <c r="Z48" s="12" t="s">
        <v>3517</v>
      </c>
      <c r="AA48" s="12" t="s">
        <v>3518</v>
      </c>
      <c r="AB48" s="12" t="s">
        <v>3519</v>
      </c>
      <c r="AC48" s="12" t="s">
        <v>3520</v>
      </c>
      <c r="AD48" s="12" t="s">
        <v>3521</v>
      </c>
      <c r="AE48" s="12" t="s">
        <v>3522</v>
      </c>
      <c r="AF48" s="12" t="s">
        <v>3523</v>
      </c>
      <c r="AG48" s="12" t="s">
        <v>3524</v>
      </c>
      <c r="AH48" s="12" t="s">
        <v>3525</v>
      </c>
      <c r="AI48" s="12" t="s">
        <v>3526</v>
      </c>
      <c r="AJ48" s="12" t="s">
        <v>3527</v>
      </c>
      <c r="AK48" s="12" t="s">
        <v>3528</v>
      </c>
      <c r="AL48" s="12" t="s">
        <v>3529</v>
      </c>
      <c r="AM48" s="12" t="s">
        <v>3530</v>
      </c>
      <c r="AN48" s="12" t="s">
        <v>3531</v>
      </c>
      <c r="AO48" s="12" t="s">
        <v>3557</v>
      </c>
      <c r="AP48" s="12" t="s">
        <v>3533</v>
      </c>
      <c r="AQ48" s="12" t="s">
        <v>3534</v>
      </c>
      <c r="AR48" s="12" t="s">
        <v>3535</v>
      </c>
      <c r="AS48" s="12" t="s">
        <v>3536</v>
      </c>
      <c r="AT48" s="12" t="s">
        <v>3537</v>
      </c>
      <c r="AU48" s="12" t="s">
        <v>6</v>
      </c>
      <c r="AV48" s="12" t="s">
        <v>3538</v>
      </c>
      <c r="AW48" s="12" t="s">
        <v>3558</v>
      </c>
      <c r="AX48" s="12" t="s">
        <v>3540</v>
      </c>
      <c r="AY48" s="12" t="s">
        <v>3541</v>
      </c>
      <c r="AZ48" s="12" t="s">
        <v>3542</v>
      </c>
      <c r="BA48" s="12" t="s">
        <v>3543</v>
      </c>
      <c r="BB48" s="12" t="s">
        <v>3544</v>
      </c>
      <c r="BC48" s="17"/>
    </row>
    <row r="49" ht="22.5" customHeight="1">
      <c r="A49" s="18">
        <v>46181.37959077547</v>
      </c>
      <c r="B49" s="19" t="s">
        <v>2698</v>
      </c>
      <c r="C49" s="20">
        <v>35.0</v>
      </c>
      <c r="D49" s="24" t="s">
        <v>3718</v>
      </c>
      <c r="E49" s="22">
        <f t="shared" si="1"/>
        <v>40</v>
      </c>
      <c r="F49" s="19" t="s">
        <v>3719</v>
      </c>
      <c r="G49" s="19" t="s">
        <v>2699</v>
      </c>
      <c r="H49" s="19" t="s">
        <v>3720</v>
      </c>
      <c r="I49" s="22">
        <v>7.789940029E9</v>
      </c>
      <c r="J49" s="19" t="s">
        <v>3547</v>
      </c>
      <c r="K49" s="19" t="s">
        <v>3504</v>
      </c>
      <c r="L49" s="19" t="s">
        <v>3556</v>
      </c>
      <c r="M49" s="21"/>
      <c r="N49" s="19" t="s">
        <v>3548</v>
      </c>
      <c r="O49" s="19" t="s">
        <v>3507</v>
      </c>
      <c r="P49" s="19" t="s">
        <v>3508</v>
      </c>
      <c r="Q49" s="21"/>
      <c r="R49" s="19" t="s">
        <v>3509</v>
      </c>
      <c r="S49" s="19" t="s">
        <v>3510</v>
      </c>
      <c r="T49" s="19" t="s">
        <v>3511</v>
      </c>
      <c r="U49" s="19" t="s">
        <v>3512</v>
      </c>
      <c r="V49" s="19" t="s">
        <v>3513</v>
      </c>
      <c r="W49" s="19" t="s">
        <v>3514</v>
      </c>
      <c r="X49" s="19" t="s">
        <v>3515</v>
      </c>
      <c r="Y49" s="19" t="s">
        <v>3516</v>
      </c>
      <c r="Z49" s="19" t="s">
        <v>3517</v>
      </c>
      <c r="AA49" s="19" t="s">
        <v>3518</v>
      </c>
      <c r="AB49" s="19" t="s">
        <v>3519</v>
      </c>
      <c r="AC49" s="19" t="s">
        <v>3520</v>
      </c>
      <c r="AD49" s="19" t="s">
        <v>3521</v>
      </c>
      <c r="AE49" s="19" t="s">
        <v>3522</v>
      </c>
      <c r="AF49" s="19" t="s">
        <v>3523</v>
      </c>
      <c r="AG49" s="19" t="s">
        <v>3524</v>
      </c>
      <c r="AH49" s="19" t="s">
        <v>3525</v>
      </c>
      <c r="AI49" s="19" t="s">
        <v>3526</v>
      </c>
      <c r="AJ49" s="19" t="s">
        <v>3527</v>
      </c>
      <c r="AK49" s="19" t="s">
        <v>3528</v>
      </c>
      <c r="AL49" s="19" t="s">
        <v>3529</v>
      </c>
      <c r="AM49" s="19" t="s">
        <v>3530</v>
      </c>
      <c r="AN49" s="19" t="s">
        <v>3531</v>
      </c>
      <c r="AO49" s="19" t="s">
        <v>3551</v>
      </c>
      <c r="AP49" s="19" t="s">
        <v>3533</v>
      </c>
      <c r="AQ49" s="19" t="s">
        <v>3534</v>
      </c>
      <c r="AR49" s="19" t="s">
        <v>3535</v>
      </c>
      <c r="AS49" s="19" t="s">
        <v>3536</v>
      </c>
      <c r="AT49" s="19" t="s">
        <v>3643</v>
      </c>
      <c r="AU49" s="19" t="s">
        <v>6</v>
      </c>
      <c r="AV49" s="19" t="s">
        <v>3536</v>
      </c>
      <c r="AW49" s="19" t="s">
        <v>3558</v>
      </c>
      <c r="AX49" s="19" t="s">
        <v>3540</v>
      </c>
      <c r="AY49" s="19" t="s">
        <v>3541</v>
      </c>
      <c r="AZ49" s="19" t="s">
        <v>3542</v>
      </c>
      <c r="BA49" s="19" t="s">
        <v>3543</v>
      </c>
      <c r="BB49" s="19" t="s">
        <v>3544</v>
      </c>
      <c r="BC49" s="23"/>
    </row>
    <row r="50" ht="22.5" customHeight="1">
      <c r="A50" s="11">
        <v>46181.423424953704</v>
      </c>
      <c r="B50" s="12" t="s">
        <v>2254</v>
      </c>
      <c r="C50" s="13">
        <v>28.0</v>
      </c>
      <c r="D50" s="14" t="s">
        <v>3721</v>
      </c>
      <c r="E50" s="15">
        <f t="shared" si="1"/>
        <v>33</v>
      </c>
      <c r="F50" s="12" t="s">
        <v>3722</v>
      </c>
      <c r="G50" s="12" t="s">
        <v>2255</v>
      </c>
      <c r="H50" s="12" t="s">
        <v>2254</v>
      </c>
      <c r="I50" s="15">
        <v>8.105862076E9</v>
      </c>
      <c r="J50" s="12" t="s">
        <v>3503</v>
      </c>
      <c r="K50" s="12" t="s">
        <v>3504</v>
      </c>
      <c r="L50" s="12" t="s">
        <v>3505</v>
      </c>
      <c r="M50" s="16"/>
      <c r="N50" s="12" t="s">
        <v>3569</v>
      </c>
      <c r="O50" s="12" t="s">
        <v>3507</v>
      </c>
      <c r="P50" s="12" t="s">
        <v>3508</v>
      </c>
      <c r="Q50" s="16"/>
      <c r="R50" s="12" t="s">
        <v>3509</v>
      </c>
      <c r="S50" s="12" t="s">
        <v>3723</v>
      </c>
      <c r="T50" s="12" t="s">
        <v>3549</v>
      </c>
      <c r="U50" s="12" t="s">
        <v>3550</v>
      </c>
      <c r="V50" s="12" t="s">
        <v>3724</v>
      </c>
      <c r="W50" s="12" t="s">
        <v>3587</v>
      </c>
      <c r="X50" s="12" t="s">
        <v>3515</v>
      </c>
      <c r="Y50" s="12" t="s">
        <v>3725</v>
      </c>
      <c r="Z50" s="12" t="s">
        <v>3517</v>
      </c>
      <c r="AA50" s="12" t="s">
        <v>3518</v>
      </c>
      <c r="AB50" s="12" t="s">
        <v>3519</v>
      </c>
      <c r="AC50" s="12" t="s">
        <v>3520</v>
      </c>
      <c r="AD50" s="12" t="s">
        <v>3521</v>
      </c>
      <c r="AE50" s="12" t="s">
        <v>3630</v>
      </c>
      <c r="AF50" s="12" t="s">
        <v>3639</v>
      </c>
      <c r="AG50" s="12" t="s">
        <v>3589</v>
      </c>
      <c r="AH50" s="12" t="s">
        <v>3525</v>
      </c>
      <c r="AI50" s="12" t="s">
        <v>3526</v>
      </c>
      <c r="AJ50" s="12" t="s">
        <v>3527</v>
      </c>
      <c r="AK50" s="12" t="s">
        <v>3528</v>
      </c>
      <c r="AL50" s="12" t="s">
        <v>3529</v>
      </c>
      <c r="AM50" s="12" t="s">
        <v>3530</v>
      </c>
      <c r="AN50" s="12" t="s">
        <v>3531</v>
      </c>
      <c r="AO50" s="12" t="s">
        <v>3557</v>
      </c>
      <c r="AP50" s="12" t="s">
        <v>3533</v>
      </c>
      <c r="AQ50" s="12" t="s">
        <v>3534</v>
      </c>
      <c r="AR50" s="12" t="s">
        <v>3535</v>
      </c>
      <c r="AS50" s="12" t="s">
        <v>3538</v>
      </c>
      <c r="AT50" s="12" t="s">
        <v>3562</v>
      </c>
      <c r="AU50" s="12" t="s">
        <v>6</v>
      </c>
      <c r="AV50" s="12" t="s">
        <v>3538</v>
      </c>
      <c r="AW50" s="12" t="s">
        <v>3558</v>
      </c>
      <c r="AX50" s="12" t="s">
        <v>3540</v>
      </c>
      <c r="AY50" s="12" t="s">
        <v>3541</v>
      </c>
      <c r="AZ50" s="12" t="s">
        <v>3726</v>
      </c>
      <c r="BA50" s="12" t="s">
        <v>3579</v>
      </c>
      <c r="BB50" s="12" t="s">
        <v>3544</v>
      </c>
      <c r="BC50" s="17"/>
    </row>
    <row r="51" ht="22.5" customHeight="1">
      <c r="A51" s="18">
        <v>46181.44306871528</v>
      </c>
      <c r="B51" s="19" t="s">
        <v>2936</v>
      </c>
      <c r="C51" s="20">
        <v>36.0</v>
      </c>
      <c r="D51" s="24" t="s">
        <v>3727</v>
      </c>
      <c r="E51" s="22">
        <f t="shared" si="1"/>
        <v>41</v>
      </c>
      <c r="F51" s="19" t="s">
        <v>3728</v>
      </c>
      <c r="G51" s="19" t="s">
        <v>3729</v>
      </c>
      <c r="H51" s="19" t="s">
        <v>2936</v>
      </c>
      <c r="I51" s="22">
        <v>8.019491131E9</v>
      </c>
      <c r="J51" s="19" t="s">
        <v>3547</v>
      </c>
      <c r="K51" s="19" t="s">
        <v>3504</v>
      </c>
      <c r="L51" s="19" t="s">
        <v>3505</v>
      </c>
      <c r="M51" s="21"/>
      <c r="N51" s="19" t="s">
        <v>3506</v>
      </c>
      <c r="O51" s="19" t="s">
        <v>3507</v>
      </c>
      <c r="P51" s="19" t="s">
        <v>3508</v>
      </c>
      <c r="Q51" s="21"/>
      <c r="R51" s="19" t="s">
        <v>3509</v>
      </c>
      <c r="S51" s="19" t="s">
        <v>3510</v>
      </c>
      <c r="T51" s="19" t="s">
        <v>3709</v>
      </c>
      <c r="U51" s="19" t="s">
        <v>3512</v>
      </c>
      <c r="V51" s="19" t="s">
        <v>3513</v>
      </c>
      <c r="W51" s="19" t="s">
        <v>3587</v>
      </c>
      <c r="X51" s="19" t="s">
        <v>3515</v>
      </c>
      <c r="Y51" s="19" t="s">
        <v>3516</v>
      </c>
      <c r="Z51" s="19" t="s">
        <v>3517</v>
      </c>
      <c r="AA51" s="19" t="s">
        <v>3518</v>
      </c>
      <c r="AB51" s="19" t="s">
        <v>3519</v>
      </c>
      <c r="AC51" s="19" t="s">
        <v>3520</v>
      </c>
      <c r="AD51" s="19" t="s">
        <v>3521</v>
      </c>
      <c r="AE51" s="19" t="s">
        <v>3522</v>
      </c>
      <c r="AF51" s="19" t="s">
        <v>3523</v>
      </c>
      <c r="AG51" s="19" t="s">
        <v>3524</v>
      </c>
      <c r="AH51" s="19" t="s">
        <v>3525</v>
      </c>
      <c r="AI51" s="19" t="s">
        <v>3526</v>
      </c>
      <c r="AJ51" s="19" t="s">
        <v>3527</v>
      </c>
      <c r="AK51" s="19" t="s">
        <v>3528</v>
      </c>
      <c r="AL51" s="19" t="s">
        <v>3529</v>
      </c>
      <c r="AM51" s="19" t="s">
        <v>3530</v>
      </c>
      <c r="AN51" s="19" t="s">
        <v>3531</v>
      </c>
      <c r="AO51" s="19" t="s">
        <v>3551</v>
      </c>
      <c r="AP51" s="19" t="s">
        <v>3533</v>
      </c>
      <c r="AQ51" s="19" t="s">
        <v>3534</v>
      </c>
      <c r="AR51" s="19" t="s">
        <v>3535</v>
      </c>
      <c r="AS51" s="19" t="s">
        <v>3536</v>
      </c>
      <c r="AT51" s="19" t="s">
        <v>3537</v>
      </c>
      <c r="AU51" s="19" t="s">
        <v>6</v>
      </c>
      <c r="AV51" s="19" t="s">
        <v>3538</v>
      </c>
      <c r="AW51" s="19" t="s">
        <v>3539</v>
      </c>
      <c r="AX51" s="19" t="s">
        <v>3540</v>
      </c>
      <c r="AY51" s="19" t="s">
        <v>3541</v>
      </c>
      <c r="AZ51" s="19" t="s">
        <v>3542</v>
      </c>
      <c r="BA51" s="19" t="s">
        <v>3631</v>
      </c>
      <c r="BB51" s="19" t="s">
        <v>3544</v>
      </c>
      <c r="BC51" s="23"/>
    </row>
    <row r="52" ht="22.5" customHeight="1">
      <c r="A52" s="11">
        <v>46181.45593810185</v>
      </c>
      <c r="B52" s="12" t="s">
        <v>2580</v>
      </c>
      <c r="C52" s="13">
        <v>40.0</v>
      </c>
      <c r="D52" s="16"/>
      <c r="E52" s="15">
        <f t="shared" si="1"/>
        <v>40</v>
      </c>
      <c r="F52" s="12" t="s">
        <v>3730</v>
      </c>
      <c r="G52" s="12" t="s">
        <v>3731</v>
      </c>
      <c r="H52" s="12" t="s">
        <v>2580</v>
      </c>
      <c r="I52" s="12" t="s">
        <v>3732</v>
      </c>
      <c r="J52" s="12" t="s">
        <v>3547</v>
      </c>
      <c r="K52" s="12" t="s">
        <v>3504</v>
      </c>
      <c r="L52" s="12" t="s">
        <v>3556</v>
      </c>
      <c r="M52" s="16"/>
      <c r="N52" s="12" t="s">
        <v>3506</v>
      </c>
      <c r="O52" s="12" t="s">
        <v>3507</v>
      </c>
      <c r="P52" s="12" t="s">
        <v>3508</v>
      </c>
      <c r="Q52" s="16"/>
      <c r="R52" s="12" t="s">
        <v>3509</v>
      </c>
      <c r="S52" s="12" t="s">
        <v>3510</v>
      </c>
      <c r="T52" s="12" t="s">
        <v>3511</v>
      </c>
      <c r="U52" s="12" t="s">
        <v>3550</v>
      </c>
      <c r="V52" s="12" t="s">
        <v>3513</v>
      </c>
      <c r="W52" s="12" t="s">
        <v>3514</v>
      </c>
      <c r="X52" s="12" t="s">
        <v>3515</v>
      </c>
      <c r="Y52" s="12" t="s">
        <v>3576</v>
      </c>
      <c r="Z52" s="12" t="s">
        <v>3517</v>
      </c>
      <c r="AA52" s="12" t="s">
        <v>3518</v>
      </c>
      <c r="AB52" s="12" t="s">
        <v>3519</v>
      </c>
      <c r="AC52" s="12" t="s">
        <v>3520</v>
      </c>
      <c r="AD52" s="12" t="s">
        <v>3521</v>
      </c>
      <c r="AE52" s="12" t="s">
        <v>3522</v>
      </c>
      <c r="AF52" s="12" t="s">
        <v>3523</v>
      </c>
      <c r="AG52" s="12" t="s">
        <v>3524</v>
      </c>
      <c r="AH52" s="12" t="s">
        <v>3525</v>
      </c>
      <c r="AI52" s="12" t="s">
        <v>3526</v>
      </c>
      <c r="AJ52" s="12" t="s">
        <v>3527</v>
      </c>
      <c r="AK52" s="12" t="s">
        <v>3528</v>
      </c>
      <c r="AL52" s="12" t="s">
        <v>3529</v>
      </c>
      <c r="AM52" s="12" t="s">
        <v>3530</v>
      </c>
      <c r="AN52" s="12" t="s">
        <v>3531</v>
      </c>
      <c r="AO52" s="12" t="s">
        <v>3557</v>
      </c>
      <c r="AP52" s="12" t="s">
        <v>3533</v>
      </c>
      <c r="AQ52" s="12" t="s">
        <v>3534</v>
      </c>
      <c r="AR52" s="12" t="s">
        <v>3535</v>
      </c>
      <c r="AS52" s="12" t="s">
        <v>3536</v>
      </c>
      <c r="AT52" s="12" t="s">
        <v>3537</v>
      </c>
      <c r="AU52" s="12" t="s">
        <v>6</v>
      </c>
      <c r="AV52" s="12" t="s">
        <v>3538</v>
      </c>
      <c r="AW52" s="12" t="s">
        <v>3539</v>
      </c>
      <c r="AX52" s="12" t="s">
        <v>3540</v>
      </c>
      <c r="AY52" s="12" t="s">
        <v>3541</v>
      </c>
      <c r="AZ52" s="12" t="s">
        <v>3706</v>
      </c>
      <c r="BA52" s="12" t="s">
        <v>3543</v>
      </c>
      <c r="BB52" s="12" t="s">
        <v>3544</v>
      </c>
      <c r="BC52" s="17"/>
    </row>
    <row r="53" ht="22.5" customHeight="1">
      <c r="A53" s="18">
        <v>46181.47515814815</v>
      </c>
      <c r="B53" s="19" t="s">
        <v>3733</v>
      </c>
      <c r="C53" s="20">
        <v>38.0</v>
      </c>
      <c r="D53" s="24" t="s">
        <v>3734</v>
      </c>
      <c r="E53" s="22">
        <f t="shared" si="1"/>
        <v>43</v>
      </c>
      <c r="F53" s="19" t="s">
        <v>3735</v>
      </c>
      <c r="G53" s="19" t="s">
        <v>675</v>
      </c>
      <c r="H53" s="19" t="s">
        <v>3733</v>
      </c>
      <c r="I53" s="22">
        <v>8.47090406E9</v>
      </c>
      <c r="J53" s="19" t="s">
        <v>3547</v>
      </c>
      <c r="K53" s="19" t="s">
        <v>3504</v>
      </c>
      <c r="L53" s="19" t="s">
        <v>3556</v>
      </c>
      <c r="M53" s="21"/>
      <c r="N53" s="19" t="s">
        <v>3506</v>
      </c>
      <c r="O53" s="19" t="s">
        <v>3507</v>
      </c>
      <c r="P53" s="19" t="s">
        <v>3508</v>
      </c>
      <c r="Q53" s="21"/>
      <c r="R53" s="19" t="s">
        <v>3509</v>
      </c>
      <c r="S53" s="19" t="s">
        <v>3510</v>
      </c>
      <c r="T53" s="19" t="s">
        <v>3511</v>
      </c>
      <c r="U53" s="19" t="s">
        <v>3550</v>
      </c>
      <c r="V53" s="19" t="s">
        <v>3513</v>
      </c>
      <c r="W53" s="19" t="s">
        <v>3514</v>
      </c>
      <c r="X53" s="19" t="s">
        <v>3515</v>
      </c>
      <c r="Y53" s="19" t="s">
        <v>3516</v>
      </c>
      <c r="Z53" s="19" t="s">
        <v>3517</v>
      </c>
      <c r="AA53" s="19" t="s">
        <v>3518</v>
      </c>
      <c r="AB53" s="19" t="s">
        <v>3519</v>
      </c>
      <c r="AC53" s="19" t="s">
        <v>3520</v>
      </c>
      <c r="AD53" s="19" t="s">
        <v>3521</v>
      </c>
      <c r="AE53" s="19" t="s">
        <v>3522</v>
      </c>
      <c r="AF53" s="19" t="s">
        <v>3523</v>
      </c>
      <c r="AG53" s="19" t="s">
        <v>3524</v>
      </c>
      <c r="AH53" s="19" t="s">
        <v>3525</v>
      </c>
      <c r="AI53" s="19" t="s">
        <v>3526</v>
      </c>
      <c r="AJ53" s="19" t="s">
        <v>3527</v>
      </c>
      <c r="AK53" s="19" t="s">
        <v>3528</v>
      </c>
      <c r="AL53" s="19" t="s">
        <v>3529</v>
      </c>
      <c r="AM53" s="19" t="s">
        <v>3530</v>
      </c>
      <c r="AN53" s="19" t="s">
        <v>3531</v>
      </c>
      <c r="AO53" s="19" t="s">
        <v>3557</v>
      </c>
      <c r="AP53" s="19" t="s">
        <v>3533</v>
      </c>
      <c r="AQ53" s="19" t="s">
        <v>3534</v>
      </c>
      <c r="AR53" s="19" t="s">
        <v>3535</v>
      </c>
      <c r="AS53" s="19" t="s">
        <v>3536</v>
      </c>
      <c r="AT53" s="19" t="s">
        <v>3562</v>
      </c>
      <c r="AU53" s="19" t="s">
        <v>2802</v>
      </c>
      <c r="AV53" s="19" t="s">
        <v>3538</v>
      </c>
      <c r="AW53" s="19" t="s">
        <v>3558</v>
      </c>
      <c r="AX53" s="19" t="s">
        <v>3540</v>
      </c>
      <c r="AY53" s="19" t="s">
        <v>3541</v>
      </c>
      <c r="AZ53" s="19" t="s">
        <v>3542</v>
      </c>
      <c r="BA53" s="19" t="s">
        <v>3543</v>
      </c>
      <c r="BB53" s="19" t="s">
        <v>3544</v>
      </c>
      <c r="BC53" s="23"/>
    </row>
    <row r="54" ht="22.5" customHeight="1">
      <c r="A54" s="11">
        <v>46181.483715891205</v>
      </c>
      <c r="B54" s="12" t="s">
        <v>3736</v>
      </c>
      <c r="C54" s="13">
        <v>38.0</v>
      </c>
      <c r="D54" s="14" t="s">
        <v>3737</v>
      </c>
      <c r="E54" s="15">
        <f t="shared" si="1"/>
        <v>43</v>
      </c>
      <c r="F54" s="12" t="s">
        <v>3738</v>
      </c>
      <c r="G54" s="12" t="s">
        <v>1289</v>
      </c>
      <c r="H54" s="12" t="s">
        <v>1288</v>
      </c>
      <c r="I54" s="15">
        <v>7.675001782E9</v>
      </c>
      <c r="J54" s="12" t="s">
        <v>3503</v>
      </c>
      <c r="K54" s="12" t="s">
        <v>3504</v>
      </c>
      <c r="L54" s="12" t="s">
        <v>3556</v>
      </c>
      <c r="M54" s="16"/>
      <c r="N54" s="12" t="s">
        <v>3506</v>
      </c>
      <c r="O54" s="12" t="s">
        <v>3507</v>
      </c>
      <c r="P54" s="12" t="s">
        <v>3508</v>
      </c>
      <c r="Q54" s="16"/>
      <c r="R54" s="12" t="s">
        <v>3509</v>
      </c>
      <c r="S54" s="12" t="s">
        <v>3510</v>
      </c>
      <c r="T54" s="12" t="s">
        <v>3549</v>
      </c>
      <c r="U54" s="12" t="s">
        <v>3512</v>
      </c>
      <c r="V54" s="12" t="s">
        <v>3513</v>
      </c>
      <c r="W54" s="12" t="s">
        <v>3514</v>
      </c>
      <c r="X54" s="12" t="s">
        <v>3515</v>
      </c>
      <c r="Y54" s="12" t="s">
        <v>3516</v>
      </c>
      <c r="Z54" s="12" t="s">
        <v>3517</v>
      </c>
      <c r="AA54" s="12" t="s">
        <v>3518</v>
      </c>
      <c r="AB54" s="12" t="s">
        <v>3519</v>
      </c>
      <c r="AC54" s="12" t="s">
        <v>3520</v>
      </c>
      <c r="AD54" s="12" t="s">
        <v>3521</v>
      </c>
      <c r="AE54" s="12" t="s">
        <v>3704</v>
      </c>
      <c r="AF54" s="12" t="s">
        <v>3523</v>
      </c>
      <c r="AG54" s="12" t="s">
        <v>3524</v>
      </c>
      <c r="AH54" s="12" t="s">
        <v>3525</v>
      </c>
      <c r="AI54" s="12" t="s">
        <v>3526</v>
      </c>
      <c r="AJ54" s="12" t="s">
        <v>3527</v>
      </c>
      <c r="AK54" s="12" t="s">
        <v>3528</v>
      </c>
      <c r="AL54" s="12" t="s">
        <v>3529</v>
      </c>
      <c r="AM54" s="12" t="s">
        <v>3530</v>
      </c>
      <c r="AN54" s="12" t="s">
        <v>3531</v>
      </c>
      <c r="AO54" s="12" t="s">
        <v>3557</v>
      </c>
      <c r="AP54" s="12" t="s">
        <v>3533</v>
      </c>
      <c r="AQ54" s="12" t="s">
        <v>3534</v>
      </c>
      <c r="AR54" s="12" t="s">
        <v>3535</v>
      </c>
      <c r="AS54" s="12" t="s">
        <v>3536</v>
      </c>
      <c r="AT54" s="12" t="s">
        <v>3537</v>
      </c>
      <c r="AU54" s="12" t="s">
        <v>6</v>
      </c>
      <c r="AV54" s="12" t="s">
        <v>3538</v>
      </c>
      <c r="AW54" s="12" t="s">
        <v>3539</v>
      </c>
      <c r="AX54" s="12" t="s">
        <v>3540</v>
      </c>
      <c r="AY54" s="12" t="s">
        <v>3541</v>
      </c>
      <c r="AZ54" s="12" t="s">
        <v>3706</v>
      </c>
      <c r="BA54" s="12" t="s">
        <v>3543</v>
      </c>
      <c r="BB54" s="12" t="s">
        <v>3544</v>
      </c>
      <c r="BC54" s="17"/>
    </row>
    <row r="55" ht="22.5" customHeight="1">
      <c r="A55" s="18">
        <v>46181.486565451385</v>
      </c>
      <c r="B55" s="19" t="s">
        <v>51</v>
      </c>
      <c r="C55" s="20">
        <v>27.0</v>
      </c>
      <c r="D55" s="21"/>
      <c r="E55" s="22">
        <f t="shared" si="1"/>
        <v>27</v>
      </c>
      <c r="F55" s="19" t="s">
        <v>3739</v>
      </c>
      <c r="G55" s="19" t="s">
        <v>52</v>
      </c>
      <c r="H55" s="19" t="s">
        <v>51</v>
      </c>
      <c r="I55" s="22">
        <v>8.118800749E9</v>
      </c>
      <c r="J55" s="19" t="s">
        <v>3547</v>
      </c>
      <c r="K55" s="21"/>
      <c r="L55" s="19" t="s">
        <v>3505</v>
      </c>
      <c r="M55" s="21"/>
      <c r="N55" s="19" t="s">
        <v>3506</v>
      </c>
      <c r="O55" s="19" t="s">
        <v>3507</v>
      </c>
      <c r="P55" s="19" t="s">
        <v>3508</v>
      </c>
      <c r="Q55" s="21"/>
      <c r="R55" s="19" t="s">
        <v>3509</v>
      </c>
      <c r="S55" s="19" t="s">
        <v>3510</v>
      </c>
      <c r="T55" s="19" t="s">
        <v>3549</v>
      </c>
      <c r="U55" s="19" t="s">
        <v>3512</v>
      </c>
      <c r="V55" s="19" t="s">
        <v>3513</v>
      </c>
      <c r="W55" s="21"/>
      <c r="X55" s="19" t="s">
        <v>3740</v>
      </c>
      <c r="Y55" s="19" t="s">
        <v>3725</v>
      </c>
      <c r="Z55" s="19" t="s">
        <v>3517</v>
      </c>
      <c r="AA55" s="19" t="s">
        <v>3518</v>
      </c>
      <c r="AB55" s="19" t="s">
        <v>3519</v>
      </c>
      <c r="AC55" s="19" t="s">
        <v>3520</v>
      </c>
      <c r="AD55" s="21"/>
      <c r="AE55" s="19" t="s">
        <v>3522</v>
      </c>
      <c r="AF55" s="19" t="s">
        <v>3594</v>
      </c>
      <c r="AG55" s="19" t="s">
        <v>3524</v>
      </c>
      <c r="AH55" s="19" t="s">
        <v>3525</v>
      </c>
      <c r="AI55" s="19" t="s">
        <v>3526</v>
      </c>
      <c r="AJ55" s="21"/>
      <c r="AK55" s="19" t="s">
        <v>3528</v>
      </c>
      <c r="AL55" s="19" t="s">
        <v>3529</v>
      </c>
      <c r="AM55" s="19" t="s">
        <v>3530</v>
      </c>
      <c r="AN55" s="19" t="s">
        <v>3531</v>
      </c>
      <c r="AO55" s="19" t="s">
        <v>3557</v>
      </c>
      <c r="AP55" s="19" t="s">
        <v>3533</v>
      </c>
      <c r="AQ55" s="19" t="s">
        <v>3534</v>
      </c>
      <c r="AR55" s="21"/>
      <c r="AS55" s="21"/>
      <c r="AT55" s="21"/>
      <c r="AU55" s="21"/>
      <c r="AV55" s="21"/>
      <c r="AW55" s="19" t="s">
        <v>3558</v>
      </c>
      <c r="AX55" s="21"/>
      <c r="AY55" s="19" t="s">
        <v>3541</v>
      </c>
      <c r="AZ55" s="19" t="s">
        <v>3542</v>
      </c>
      <c r="BA55" s="19" t="s">
        <v>3543</v>
      </c>
      <c r="BB55" s="19" t="s">
        <v>3544</v>
      </c>
      <c r="BC55" s="23"/>
    </row>
    <row r="56" ht="22.5" customHeight="1">
      <c r="A56" s="11">
        <v>46181.49466787037</v>
      </c>
      <c r="B56" s="12" t="s">
        <v>2971</v>
      </c>
      <c r="C56" s="13">
        <v>36.0</v>
      </c>
      <c r="D56" s="14" t="s">
        <v>3741</v>
      </c>
      <c r="E56" s="15">
        <f t="shared" si="1"/>
        <v>41</v>
      </c>
      <c r="F56" s="12" t="s">
        <v>3742</v>
      </c>
      <c r="G56" s="12" t="s">
        <v>2972</v>
      </c>
      <c r="H56" s="12" t="s">
        <v>2971</v>
      </c>
      <c r="I56" s="15">
        <v>9.531562329E9</v>
      </c>
      <c r="J56" s="12" t="s">
        <v>3547</v>
      </c>
      <c r="K56" s="12" t="s">
        <v>3504</v>
      </c>
      <c r="L56" s="12" t="s">
        <v>3556</v>
      </c>
      <c r="M56" s="16"/>
      <c r="N56" s="12" t="s">
        <v>3569</v>
      </c>
      <c r="O56" s="12" t="s">
        <v>3507</v>
      </c>
      <c r="P56" s="12" t="s">
        <v>3508</v>
      </c>
      <c r="Q56" s="16"/>
      <c r="R56" s="12" t="s">
        <v>3509</v>
      </c>
      <c r="S56" s="12" t="s">
        <v>3510</v>
      </c>
      <c r="T56" s="12" t="s">
        <v>3549</v>
      </c>
      <c r="U56" s="12" t="s">
        <v>3512</v>
      </c>
      <c r="V56" s="12" t="s">
        <v>3513</v>
      </c>
      <c r="W56" s="12" t="s">
        <v>3514</v>
      </c>
      <c r="X56" s="12" t="s">
        <v>3515</v>
      </c>
      <c r="Y56" s="12" t="s">
        <v>3516</v>
      </c>
      <c r="Z56" s="12" t="s">
        <v>3517</v>
      </c>
      <c r="AA56" s="12" t="s">
        <v>3518</v>
      </c>
      <c r="AB56" s="12" t="s">
        <v>3519</v>
      </c>
      <c r="AC56" s="12" t="s">
        <v>3638</v>
      </c>
      <c r="AD56" s="12" t="s">
        <v>3521</v>
      </c>
      <c r="AE56" s="12" t="s">
        <v>3522</v>
      </c>
      <c r="AF56" s="12" t="s">
        <v>3523</v>
      </c>
      <c r="AG56" s="12" t="s">
        <v>3524</v>
      </c>
      <c r="AH56" s="12" t="s">
        <v>3525</v>
      </c>
      <c r="AI56" s="12" t="s">
        <v>3526</v>
      </c>
      <c r="AJ56" s="12" t="s">
        <v>3527</v>
      </c>
      <c r="AK56" s="12" t="s">
        <v>3528</v>
      </c>
      <c r="AL56" s="12" t="s">
        <v>3529</v>
      </c>
      <c r="AM56" s="12" t="s">
        <v>3530</v>
      </c>
      <c r="AN56" s="12" t="s">
        <v>3531</v>
      </c>
      <c r="AO56" s="12" t="s">
        <v>3557</v>
      </c>
      <c r="AP56" s="12" t="s">
        <v>3743</v>
      </c>
      <c r="AQ56" s="12" t="s">
        <v>3534</v>
      </c>
      <c r="AR56" s="12" t="s">
        <v>3535</v>
      </c>
      <c r="AS56" s="12" t="s">
        <v>3536</v>
      </c>
      <c r="AT56" s="12" t="s">
        <v>3537</v>
      </c>
      <c r="AU56" s="12" t="s">
        <v>6</v>
      </c>
      <c r="AV56" s="12" t="s">
        <v>3536</v>
      </c>
      <c r="AW56" s="12" t="s">
        <v>3558</v>
      </c>
      <c r="AX56" s="12" t="s">
        <v>3540</v>
      </c>
      <c r="AY56" s="12" t="s">
        <v>3541</v>
      </c>
      <c r="AZ56" s="12" t="s">
        <v>3542</v>
      </c>
      <c r="BA56" s="12" t="s">
        <v>3543</v>
      </c>
      <c r="BB56" s="12" t="s">
        <v>3544</v>
      </c>
      <c r="BC56" s="17"/>
    </row>
    <row r="57" ht="22.5" customHeight="1">
      <c r="A57" s="18">
        <v>46181.51208596065</v>
      </c>
      <c r="B57" s="19" t="s">
        <v>2496</v>
      </c>
      <c r="C57" s="20">
        <v>40.0</v>
      </c>
      <c r="D57" s="24" t="s">
        <v>3744</v>
      </c>
      <c r="E57" s="22">
        <f t="shared" si="1"/>
        <v>45</v>
      </c>
      <c r="F57" s="19" t="s">
        <v>3745</v>
      </c>
      <c r="G57" s="19" t="s">
        <v>2497</v>
      </c>
      <c r="H57" s="19" t="s">
        <v>2496</v>
      </c>
      <c r="I57" s="19" t="s">
        <v>2498</v>
      </c>
      <c r="J57" s="19" t="s">
        <v>3547</v>
      </c>
      <c r="K57" s="19" t="s">
        <v>3504</v>
      </c>
      <c r="L57" s="19" t="s">
        <v>3556</v>
      </c>
      <c r="M57" s="21"/>
      <c r="N57" s="19" t="s">
        <v>3569</v>
      </c>
      <c r="O57" s="19" t="s">
        <v>3507</v>
      </c>
      <c r="P57" s="19" t="s">
        <v>3508</v>
      </c>
      <c r="Q57" s="21"/>
      <c r="R57" s="19" t="s">
        <v>3509</v>
      </c>
      <c r="S57" s="19" t="s">
        <v>3510</v>
      </c>
      <c r="T57" s="19" t="s">
        <v>3511</v>
      </c>
      <c r="U57" s="19" t="s">
        <v>3550</v>
      </c>
      <c r="V57" s="19" t="s">
        <v>3513</v>
      </c>
      <c r="W57" s="19" t="s">
        <v>3514</v>
      </c>
      <c r="X57" s="19" t="s">
        <v>3515</v>
      </c>
      <c r="Y57" s="19" t="s">
        <v>3516</v>
      </c>
      <c r="Z57" s="19" t="s">
        <v>3517</v>
      </c>
      <c r="AA57" s="19" t="s">
        <v>3518</v>
      </c>
      <c r="AB57" s="19" t="s">
        <v>3519</v>
      </c>
      <c r="AC57" s="19" t="s">
        <v>3520</v>
      </c>
      <c r="AD57" s="19" t="s">
        <v>3521</v>
      </c>
      <c r="AE57" s="19" t="s">
        <v>3522</v>
      </c>
      <c r="AF57" s="19" t="s">
        <v>3523</v>
      </c>
      <c r="AG57" s="19" t="s">
        <v>3524</v>
      </c>
      <c r="AH57" s="19" t="s">
        <v>3525</v>
      </c>
      <c r="AI57" s="19" t="s">
        <v>3526</v>
      </c>
      <c r="AJ57" s="19" t="s">
        <v>3527</v>
      </c>
      <c r="AK57" s="19" t="s">
        <v>3528</v>
      </c>
      <c r="AL57" s="19" t="s">
        <v>3529</v>
      </c>
      <c r="AM57" s="19" t="s">
        <v>3530</v>
      </c>
      <c r="AN57" s="19" t="s">
        <v>3531</v>
      </c>
      <c r="AO57" s="19" t="s">
        <v>3557</v>
      </c>
      <c r="AP57" s="19" t="s">
        <v>3533</v>
      </c>
      <c r="AQ57" s="19" t="s">
        <v>3534</v>
      </c>
      <c r="AR57" s="19" t="s">
        <v>3535</v>
      </c>
      <c r="AS57" s="19" t="s">
        <v>3536</v>
      </c>
      <c r="AT57" s="19" t="s">
        <v>3537</v>
      </c>
      <c r="AU57" s="19" t="s">
        <v>6</v>
      </c>
      <c r="AV57" s="19" t="s">
        <v>3538</v>
      </c>
      <c r="AW57" s="19" t="s">
        <v>3539</v>
      </c>
      <c r="AX57" s="19" t="s">
        <v>3540</v>
      </c>
      <c r="AY57" s="19" t="s">
        <v>3541</v>
      </c>
      <c r="AZ57" s="19" t="s">
        <v>3542</v>
      </c>
      <c r="BA57" s="19" t="s">
        <v>3543</v>
      </c>
      <c r="BB57" s="19" t="s">
        <v>3544</v>
      </c>
      <c r="BC57" s="23"/>
    </row>
    <row r="58" ht="22.5" customHeight="1">
      <c r="A58" s="11">
        <v>46181.51669777778</v>
      </c>
      <c r="B58" s="12" t="s">
        <v>3333</v>
      </c>
      <c r="C58" s="13">
        <v>39.0</v>
      </c>
      <c r="D58" s="16"/>
      <c r="E58" s="15">
        <f t="shared" si="1"/>
        <v>39</v>
      </c>
      <c r="F58" s="12" t="s">
        <v>3746</v>
      </c>
      <c r="G58" s="12" t="s">
        <v>3334</v>
      </c>
      <c r="H58" s="12" t="s">
        <v>3333</v>
      </c>
      <c r="I58" s="15">
        <v>9.20786441E9</v>
      </c>
      <c r="J58" s="12" t="s">
        <v>3547</v>
      </c>
      <c r="K58" s="12" t="s">
        <v>3504</v>
      </c>
      <c r="L58" s="12" t="s">
        <v>3556</v>
      </c>
      <c r="M58" s="16"/>
      <c r="N58" s="12" t="s">
        <v>3569</v>
      </c>
      <c r="O58" s="12" t="s">
        <v>3507</v>
      </c>
      <c r="P58" s="12" t="s">
        <v>3508</v>
      </c>
      <c r="Q58" s="16"/>
      <c r="R58" s="12" t="s">
        <v>3509</v>
      </c>
      <c r="S58" s="12" t="s">
        <v>3510</v>
      </c>
      <c r="T58" s="12" t="s">
        <v>3511</v>
      </c>
      <c r="U58" s="12" t="s">
        <v>3512</v>
      </c>
      <c r="V58" s="12" t="s">
        <v>3513</v>
      </c>
      <c r="W58" s="12" t="s">
        <v>3514</v>
      </c>
      <c r="X58" s="12" t="s">
        <v>3515</v>
      </c>
      <c r="Y58" s="12" t="s">
        <v>3516</v>
      </c>
      <c r="Z58" s="12" t="s">
        <v>3517</v>
      </c>
      <c r="AA58" s="12" t="s">
        <v>3518</v>
      </c>
      <c r="AB58" s="12" t="s">
        <v>3519</v>
      </c>
      <c r="AC58" s="12" t="s">
        <v>3520</v>
      </c>
      <c r="AD58" s="12" t="s">
        <v>3521</v>
      </c>
      <c r="AE58" s="12" t="s">
        <v>3522</v>
      </c>
      <c r="AF58" s="12" t="s">
        <v>3523</v>
      </c>
      <c r="AG58" s="12" t="s">
        <v>3524</v>
      </c>
      <c r="AH58" s="12" t="s">
        <v>3525</v>
      </c>
      <c r="AI58" s="12" t="s">
        <v>3526</v>
      </c>
      <c r="AJ58" s="12" t="s">
        <v>3527</v>
      </c>
      <c r="AK58" s="12" t="s">
        <v>3528</v>
      </c>
      <c r="AL58" s="12" t="s">
        <v>3529</v>
      </c>
      <c r="AM58" s="12" t="s">
        <v>3530</v>
      </c>
      <c r="AN58" s="12" t="s">
        <v>3531</v>
      </c>
      <c r="AO58" s="12" t="s">
        <v>3557</v>
      </c>
      <c r="AP58" s="12" t="s">
        <v>3533</v>
      </c>
      <c r="AQ58" s="12" t="s">
        <v>3534</v>
      </c>
      <c r="AR58" s="12" t="s">
        <v>3535</v>
      </c>
      <c r="AS58" s="12" t="s">
        <v>3536</v>
      </c>
      <c r="AT58" s="12" t="s">
        <v>3537</v>
      </c>
      <c r="AU58" s="12" t="s">
        <v>6</v>
      </c>
      <c r="AV58" s="12" t="s">
        <v>3538</v>
      </c>
      <c r="AW58" s="12" t="s">
        <v>3539</v>
      </c>
      <c r="AX58" s="12" t="s">
        <v>3540</v>
      </c>
      <c r="AY58" s="12" t="s">
        <v>3541</v>
      </c>
      <c r="AZ58" s="12" t="s">
        <v>3542</v>
      </c>
      <c r="BA58" s="12" t="s">
        <v>3543</v>
      </c>
      <c r="BB58" s="12" t="s">
        <v>3544</v>
      </c>
      <c r="BC58" s="17"/>
    </row>
    <row r="59" ht="22.5" customHeight="1">
      <c r="A59" s="18">
        <v>46181.52834767361</v>
      </c>
      <c r="B59" s="19" t="s">
        <v>97</v>
      </c>
      <c r="C59" s="20">
        <v>22.0</v>
      </c>
      <c r="D59" s="21"/>
      <c r="E59" s="22">
        <f t="shared" si="1"/>
        <v>22</v>
      </c>
      <c r="F59" s="19" t="s">
        <v>3747</v>
      </c>
      <c r="G59" s="19" t="s">
        <v>3748</v>
      </c>
      <c r="H59" s="19" t="s">
        <v>97</v>
      </c>
      <c r="I59" s="22">
        <v>9.441467276E9</v>
      </c>
      <c r="J59" s="19" t="s">
        <v>3547</v>
      </c>
      <c r="K59" s="19" t="s">
        <v>3504</v>
      </c>
      <c r="L59" s="19" t="s">
        <v>3505</v>
      </c>
      <c r="M59" s="21"/>
      <c r="N59" s="19" t="s">
        <v>3569</v>
      </c>
      <c r="O59" s="19" t="s">
        <v>3507</v>
      </c>
      <c r="P59" s="19" t="s">
        <v>3508</v>
      </c>
      <c r="Q59" s="21"/>
      <c r="R59" s="19" t="s">
        <v>3509</v>
      </c>
      <c r="S59" s="21"/>
      <c r="T59" s="19" t="s">
        <v>3549</v>
      </c>
      <c r="U59" s="19" t="s">
        <v>3550</v>
      </c>
      <c r="V59" s="19" t="s">
        <v>3513</v>
      </c>
      <c r="W59" s="19" t="s">
        <v>3514</v>
      </c>
      <c r="X59" s="19" t="s">
        <v>3515</v>
      </c>
      <c r="Y59" s="19" t="s">
        <v>3516</v>
      </c>
      <c r="Z59" s="19" t="s">
        <v>3517</v>
      </c>
      <c r="AA59" s="19" t="s">
        <v>3518</v>
      </c>
      <c r="AB59" s="19" t="s">
        <v>3519</v>
      </c>
      <c r="AC59" s="19" t="s">
        <v>3520</v>
      </c>
      <c r="AD59" s="19" t="s">
        <v>3521</v>
      </c>
      <c r="AE59" s="21"/>
      <c r="AF59" s="21"/>
      <c r="AG59" s="21"/>
      <c r="AH59" s="19" t="s">
        <v>3525</v>
      </c>
      <c r="AI59" s="19" t="s">
        <v>3749</v>
      </c>
      <c r="AJ59" s="19" t="s">
        <v>3527</v>
      </c>
      <c r="AK59" s="19" t="s">
        <v>3684</v>
      </c>
      <c r="AL59" s="19" t="s">
        <v>3590</v>
      </c>
      <c r="AM59" s="19" t="s">
        <v>3750</v>
      </c>
      <c r="AN59" s="19" t="s">
        <v>3751</v>
      </c>
      <c r="AO59" s="19" t="s">
        <v>3658</v>
      </c>
      <c r="AP59" s="19" t="s">
        <v>3577</v>
      </c>
      <c r="AQ59" s="19" t="s">
        <v>3752</v>
      </c>
      <c r="AR59" s="19" t="s">
        <v>3753</v>
      </c>
      <c r="AS59" s="19" t="s">
        <v>6</v>
      </c>
      <c r="AT59" s="19" t="s">
        <v>3537</v>
      </c>
      <c r="AU59" s="19" t="s">
        <v>6</v>
      </c>
      <c r="AV59" s="19" t="s">
        <v>3536</v>
      </c>
      <c r="AW59" s="19" t="s">
        <v>3558</v>
      </c>
      <c r="AX59" s="19" t="s">
        <v>3540</v>
      </c>
      <c r="AY59" s="19" t="s">
        <v>3570</v>
      </c>
      <c r="AZ59" s="19" t="s">
        <v>3542</v>
      </c>
      <c r="BA59" s="19" t="s">
        <v>3699</v>
      </c>
      <c r="BB59" s="19" t="s">
        <v>3544</v>
      </c>
      <c r="BC59" s="23"/>
    </row>
    <row r="60" ht="22.5" customHeight="1">
      <c r="A60" s="11">
        <v>46181.5432478125</v>
      </c>
      <c r="B60" s="12" t="s">
        <v>3754</v>
      </c>
      <c r="C60" s="13">
        <v>41.0</v>
      </c>
      <c r="D60" s="16"/>
      <c r="E60" s="15">
        <f t="shared" si="1"/>
        <v>41</v>
      </c>
      <c r="F60" s="12" t="s">
        <v>3755</v>
      </c>
      <c r="G60" s="12" t="s">
        <v>893</v>
      </c>
      <c r="H60" s="12" t="s">
        <v>892</v>
      </c>
      <c r="I60" s="15">
        <v>7.085789572E9</v>
      </c>
      <c r="J60" s="12" t="s">
        <v>3547</v>
      </c>
      <c r="K60" s="12" t="s">
        <v>3504</v>
      </c>
      <c r="L60" s="12" t="s">
        <v>3556</v>
      </c>
      <c r="M60" s="16"/>
      <c r="N60" s="12" t="s">
        <v>3548</v>
      </c>
      <c r="O60" s="12" t="s">
        <v>3507</v>
      </c>
      <c r="P60" s="12" t="s">
        <v>3508</v>
      </c>
      <c r="Q60" s="16"/>
      <c r="R60" s="12" t="s">
        <v>3509</v>
      </c>
      <c r="S60" s="12" t="s">
        <v>3510</v>
      </c>
      <c r="T60" s="12" t="s">
        <v>3549</v>
      </c>
      <c r="U60" s="12" t="s">
        <v>3550</v>
      </c>
      <c r="V60" s="12" t="s">
        <v>3513</v>
      </c>
      <c r="W60" s="12" t="s">
        <v>3514</v>
      </c>
      <c r="X60" s="12" t="s">
        <v>3515</v>
      </c>
      <c r="Y60" s="12" t="s">
        <v>3516</v>
      </c>
      <c r="Z60" s="12" t="s">
        <v>3517</v>
      </c>
      <c r="AA60" s="12" t="s">
        <v>3518</v>
      </c>
      <c r="AB60" s="12" t="s">
        <v>3519</v>
      </c>
      <c r="AC60" s="12" t="s">
        <v>3520</v>
      </c>
      <c r="AD60" s="12" t="s">
        <v>3521</v>
      </c>
      <c r="AE60" s="12" t="s">
        <v>3522</v>
      </c>
      <c r="AF60" s="12" t="s">
        <v>3523</v>
      </c>
      <c r="AG60" s="12" t="s">
        <v>3524</v>
      </c>
      <c r="AH60" s="12" t="s">
        <v>3525</v>
      </c>
      <c r="AI60" s="12" t="s">
        <v>3526</v>
      </c>
      <c r="AJ60" s="12" t="s">
        <v>3527</v>
      </c>
      <c r="AK60" s="12" t="s">
        <v>3528</v>
      </c>
      <c r="AL60" s="12" t="s">
        <v>3529</v>
      </c>
      <c r="AM60" s="12" t="s">
        <v>3530</v>
      </c>
      <c r="AN60" s="12" t="s">
        <v>3531</v>
      </c>
      <c r="AO60" s="12" t="s">
        <v>3557</v>
      </c>
      <c r="AP60" s="12" t="s">
        <v>3533</v>
      </c>
      <c r="AQ60" s="12" t="s">
        <v>3534</v>
      </c>
      <c r="AR60" s="12" t="s">
        <v>3535</v>
      </c>
      <c r="AS60" s="12" t="s">
        <v>3536</v>
      </c>
      <c r="AT60" s="12" t="s">
        <v>3537</v>
      </c>
      <c r="AU60" s="12" t="s">
        <v>6</v>
      </c>
      <c r="AV60" s="12" t="s">
        <v>3538</v>
      </c>
      <c r="AW60" s="12" t="s">
        <v>3539</v>
      </c>
      <c r="AX60" s="12" t="s">
        <v>3540</v>
      </c>
      <c r="AY60" s="12" t="s">
        <v>3541</v>
      </c>
      <c r="AZ60" s="12" t="s">
        <v>3542</v>
      </c>
      <c r="BA60" s="12" t="s">
        <v>3543</v>
      </c>
      <c r="BB60" s="12" t="s">
        <v>3544</v>
      </c>
      <c r="BC60" s="17"/>
    </row>
    <row r="61" ht="22.5" customHeight="1">
      <c r="A61" s="18">
        <v>46181.57414412037</v>
      </c>
      <c r="B61" s="19" t="s">
        <v>2236</v>
      </c>
      <c r="C61" s="20">
        <v>39.0</v>
      </c>
      <c r="D61" s="24" t="s">
        <v>3756</v>
      </c>
      <c r="E61" s="22">
        <f t="shared" si="1"/>
        <v>44</v>
      </c>
      <c r="F61" s="19" t="s">
        <v>3757</v>
      </c>
      <c r="G61" s="19" t="s">
        <v>2237</v>
      </c>
      <c r="H61" s="19" t="s">
        <v>2236</v>
      </c>
      <c r="I61" s="22">
        <v>8.415936891E9</v>
      </c>
      <c r="J61" s="19" t="s">
        <v>3547</v>
      </c>
      <c r="K61" s="19" t="s">
        <v>3504</v>
      </c>
      <c r="L61" s="19" t="s">
        <v>3556</v>
      </c>
      <c r="M61" s="21"/>
      <c r="N61" s="19" t="s">
        <v>3506</v>
      </c>
      <c r="O61" s="19" t="s">
        <v>3507</v>
      </c>
      <c r="P61" s="19" t="s">
        <v>3508</v>
      </c>
      <c r="Q61" s="21"/>
      <c r="R61" s="19" t="s">
        <v>3509</v>
      </c>
      <c r="S61" s="19" t="s">
        <v>3510</v>
      </c>
      <c r="T61" s="19" t="s">
        <v>3549</v>
      </c>
      <c r="U61" s="19" t="s">
        <v>3582</v>
      </c>
      <c r="V61" s="19" t="s">
        <v>3513</v>
      </c>
      <c r="W61" s="19" t="s">
        <v>3514</v>
      </c>
      <c r="X61" s="19" t="s">
        <v>3515</v>
      </c>
      <c r="Y61" s="19" t="s">
        <v>3516</v>
      </c>
      <c r="Z61" s="19" t="s">
        <v>3517</v>
      </c>
      <c r="AA61" s="19" t="s">
        <v>3518</v>
      </c>
      <c r="AB61" s="19" t="s">
        <v>3519</v>
      </c>
      <c r="AC61" s="19" t="s">
        <v>3520</v>
      </c>
      <c r="AD61" s="19" t="s">
        <v>3521</v>
      </c>
      <c r="AE61" s="19" t="s">
        <v>3522</v>
      </c>
      <c r="AF61" s="19" t="s">
        <v>3523</v>
      </c>
      <c r="AG61" s="19" t="s">
        <v>3524</v>
      </c>
      <c r="AH61" s="19" t="s">
        <v>3525</v>
      </c>
      <c r="AI61" s="19" t="s">
        <v>3526</v>
      </c>
      <c r="AJ61" s="19" t="s">
        <v>3527</v>
      </c>
      <c r="AK61" s="19" t="s">
        <v>3528</v>
      </c>
      <c r="AL61" s="19" t="s">
        <v>3529</v>
      </c>
      <c r="AM61" s="19" t="s">
        <v>3530</v>
      </c>
      <c r="AN61" s="19" t="s">
        <v>3531</v>
      </c>
      <c r="AO61" s="19" t="s">
        <v>3532</v>
      </c>
      <c r="AP61" s="19" t="s">
        <v>3577</v>
      </c>
      <c r="AQ61" s="19" t="s">
        <v>3534</v>
      </c>
      <c r="AR61" s="19" t="s">
        <v>3535</v>
      </c>
      <c r="AS61" s="19" t="s">
        <v>3536</v>
      </c>
      <c r="AT61" s="19" t="s">
        <v>3537</v>
      </c>
      <c r="AU61" s="19" t="s">
        <v>6</v>
      </c>
      <c r="AV61" s="19" t="s">
        <v>3538</v>
      </c>
      <c r="AW61" s="19" t="s">
        <v>3539</v>
      </c>
      <c r="AX61" s="19" t="s">
        <v>3540</v>
      </c>
      <c r="AY61" s="19" t="s">
        <v>3541</v>
      </c>
      <c r="AZ61" s="19" t="s">
        <v>3542</v>
      </c>
      <c r="BA61" s="19" t="s">
        <v>3543</v>
      </c>
      <c r="BB61" s="19" t="s">
        <v>3544</v>
      </c>
      <c r="BC61" s="23"/>
    </row>
    <row r="62" ht="22.5" customHeight="1">
      <c r="A62" s="11">
        <v>46181.66868069445</v>
      </c>
      <c r="B62" s="12" t="s">
        <v>1555</v>
      </c>
      <c r="C62" s="13">
        <v>41.0</v>
      </c>
      <c r="D62" s="14" t="s">
        <v>3758</v>
      </c>
      <c r="E62" s="15">
        <f t="shared" si="1"/>
        <v>46</v>
      </c>
      <c r="F62" s="12" t="s">
        <v>3759</v>
      </c>
      <c r="G62" s="12" t="s">
        <v>1556</v>
      </c>
      <c r="H62" s="12" t="s">
        <v>1555</v>
      </c>
      <c r="I62" s="15">
        <v>9.72770775E9</v>
      </c>
      <c r="J62" s="12" t="s">
        <v>3547</v>
      </c>
      <c r="K62" s="12" t="s">
        <v>3504</v>
      </c>
      <c r="L62" s="12" t="s">
        <v>3556</v>
      </c>
      <c r="M62" s="16"/>
      <c r="N62" s="12" t="s">
        <v>3506</v>
      </c>
      <c r="O62" s="12" t="s">
        <v>3507</v>
      </c>
      <c r="P62" s="12" t="s">
        <v>3508</v>
      </c>
      <c r="Q62" s="16"/>
      <c r="R62" s="12" t="s">
        <v>3509</v>
      </c>
      <c r="S62" s="12" t="s">
        <v>3510</v>
      </c>
      <c r="T62" s="12" t="s">
        <v>3549</v>
      </c>
      <c r="U62" s="12" t="s">
        <v>3512</v>
      </c>
      <c r="V62" s="12" t="s">
        <v>3513</v>
      </c>
      <c r="W62" s="12" t="s">
        <v>3514</v>
      </c>
      <c r="X62" s="12" t="s">
        <v>3515</v>
      </c>
      <c r="Y62" s="12" t="s">
        <v>3516</v>
      </c>
      <c r="Z62" s="12" t="s">
        <v>3517</v>
      </c>
      <c r="AA62" s="12" t="s">
        <v>3518</v>
      </c>
      <c r="AB62" s="12" t="s">
        <v>3519</v>
      </c>
      <c r="AC62" s="12" t="s">
        <v>3520</v>
      </c>
      <c r="AD62" s="12" t="s">
        <v>3521</v>
      </c>
      <c r="AE62" s="12" t="s">
        <v>3522</v>
      </c>
      <c r="AF62" s="12" t="s">
        <v>3523</v>
      </c>
      <c r="AG62" s="12" t="s">
        <v>3524</v>
      </c>
      <c r="AH62" s="12" t="s">
        <v>3525</v>
      </c>
      <c r="AI62" s="12" t="s">
        <v>3526</v>
      </c>
      <c r="AJ62" s="12" t="s">
        <v>3527</v>
      </c>
      <c r="AK62" s="12" t="s">
        <v>3528</v>
      </c>
      <c r="AL62" s="12" t="s">
        <v>3529</v>
      </c>
      <c r="AM62" s="12" t="s">
        <v>3530</v>
      </c>
      <c r="AN62" s="12" t="s">
        <v>3531</v>
      </c>
      <c r="AO62" s="12" t="s">
        <v>3557</v>
      </c>
      <c r="AP62" s="12" t="s">
        <v>3533</v>
      </c>
      <c r="AQ62" s="12" t="s">
        <v>3534</v>
      </c>
      <c r="AR62" s="12" t="s">
        <v>3535</v>
      </c>
      <c r="AS62" s="12" t="s">
        <v>3536</v>
      </c>
      <c r="AT62" s="12" t="s">
        <v>3537</v>
      </c>
      <c r="AU62" s="12" t="s">
        <v>6</v>
      </c>
      <c r="AV62" s="12" t="s">
        <v>3538</v>
      </c>
      <c r="AW62" s="12" t="s">
        <v>3539</v>
      </c>
      <c r="AX62" s="12" t="s">
        <v>3540</v>
      </c>
      <c r="AY62" s="12" t="s">
        <v>3541</v>
      </c>
      <c r="AZ62" s="12" t="s">
        <v>3542</v>
      </c>
      <c r="BA62" s="12" t="s">
        <v>3543</v>
      </c>
      <c r="BB62" s="12" t="s">
        <v>3544</v>
      </c>
      <c r="BC62" s="17"/>
    </row>
    <row r="63" ht="22.5" customHeight="1">
      <c r="A63" s="18">
        <v>46181.690988125</v>
      </c>
      <c r="B63" s="19" t="s">
        <v>537</v>
      </c>
      <c r="C63" s="20">
        <v>39.0</v>
      </c>
      <c r="D63" s="24" t="s">
        <v>3760</v>
      </c>
      <c r="E63" s="22">
        <f t="shared" si="1"/>
        <v>44</v>
      </c>
      <c r="F63" s="19" t="s">
        <v>3761</v>
      </c>
      <c r="G63" s="19" t="s">
        <v>3762</v>
      </c>
      <c r="H63" s="19" t="s">
        <v>537</v>
      </c>
      <c r="I63" s="22">
        <v>8.292785587E9</v>
      </c>
      <c r="J63" s="19" t="s">
        <v>3547</v>
      </c>
      <c r="K63" s="19" t="s">
        <v>3504</v>
      </c>
      <c r="L63" s="19" t="s">
        <v>3556</v>
      </c>
      <c r="M63" s="21"/>
      <c r="N63" s="19" t="s">
        <v>3569</v>
      </c>
      <c r="O63" s="19" t="s">
        <v>3507</v>
      </c>
      <c r="P63" s="19" t="s">
        <v>3508</v>
      </c>
      <c r="Q63" s="21"/>
      <c r="R63" s="19" t="s">
        <v>3509</v>
      </c>
      <c r="S63" s="19" t="s">
        <v>3510</v>
      </c>
      <c r="T63" s="19" t="s">
        <v>3511</v>
      </c>
      <c r="U63" s="19" t="s">
        <v>3582</v>
      </c>
      <c r="V63" s="19" t="s">
        <v>3513</v>
      </c>
      <c r="W63" s="19" t="s">
        <v>3514</v>
      </c>
      <c r="X63" s="19" t="s">
        <v>3515</v>
      </c>
      <c r="Y63" s="19" t="s">
        <v>3516</v>
      </c>
      <c r="Z63" s="19" t="s">
        <v>3517</v>
      </c>
      <c r="AA63" s="19" t="s">
        <v>3518</v>
      </c>
      <c r="AB63" s="19" t="s">
        <v>3519</v>
      </c>
      <c r="AC63" s="19" t="s">
        <v>3520</v>
      </c>
      <c r="AD63" s="19" t="s">
        <v>3521</v>
      </c>
      <c r="AE63" s="19" t="s">
        <v>3522</v>
      </c>
      <c r="AF63" s="19" t="s">
        <v>3523</v>
      </c>
      <c r="AG63" s="19" t="s">
        <v>3524</v>
      </c>
      <c r="AH63" s="19" t="s">
        <v>3525</v>
      </c>
      <c r="AI63" s="19" t="s">
        <v>3526</v>
      </c>
      <c r="AJ63" s="19" t="s">
        <v>3527</v>
      </c>
      <c r="AK63" s="19" t="s">
        <v>3528</v>
      </c>
      <c r="AL63" s="19" t="s">
        <v>3529</v>
      </c>
      <c r="AM63" s="19" t="s">
        <v>3530</v>
      </c>
      <c r="AN63" s="19" t="s">
        <v>3531</v>
      </c>
      <c r="AO63" s="19" t="s">
        <v>3557</v>
      </c>
      <c r="AP63" s="19" t="s">
        <v>3533</v>
      </c>
      <c r="AQ63" s="19" t="s">
        <v>3534</v>
      </c>
      <c r="AR63" s="19" t="s">
        <v>3535</v>
      </c>
      <c r="AS63" s="19" t="s">
        <v>3536</v>
      </c>
      <c r="AT63" s="19" t="s">
        <v>3537</v>
      </c>
      <c r="AU63" s="19" t="s">
        <v>6</v>
      </c>
      <c r="AV63" s="19" t="s">
        <v>3538</v>
      </c>
      <c r="AW63" s="19" t="s">
        <v>3539</v>
      </c>
      <c r="AX63" s="19" t="s">
        <v>3540</v>
      </c>
      <c r="AY63" s="19" t="s">
        <v>3541</v>
      </c>
      <c r="AZ63" s="19" t="s">
        <v>3542</v>
      </c>
      <c r="BA63" s="19" t="s">
        <v>3543</v>
      </c>
      <c r="BB63" s="19" t="s">
        <v>3544</v>
      </c>
      <c r="BC63" s="23"/>
    </row>
    <row r="64" ht="22.5" customHeight="1">
      <c r="A64" s="11">
        <v>46181.69838746528</v>
      </c>
      <c r="B64" s="12" t="s">
        <v>3074</v>
      </c>
      <c r="C64" s="13">
        <v>36.0</v>
      </c>
      <c r="D64" s="16"/>
      <c r="E64" s="15">
        <f t="shared" si="1"/>
        <v>36</v>
      </c>
      <c r="F64" s="12" t="s">
        <v>3763</v>
      </c>
      <c r="G64" s="12" t="s">
        <v>3075</v>
      </c>
      <c r="H64" s="12" t="s">
        <v>3074</v>
      </c>
      <c r="I64" s="15">
        <v>9.56773735E9</v>
      </c>
      <c r="J64" s="12" t="s">
        <v>3561</v>
      </c>
      <c r="K64" s="12" t="s">
        <v>3504</v>
      </c>
      <c r="L64" s="12" t="s">
        <v>3556</v>
      </c>
      <c r="M64" s="16"/>
      <c r="N64" s="12" t="s">
        <v>3506</v>
      </c>
      <c r="O64" s="12" t="s">
        <v>3507</v>
      </c>
      <c r="P64" s="12" t="s">
        <v>3508</v>
      </c>
      <c r="Q64" s="16"/>
      <c r="R64" s="12" t="s">
        <v>3509</v>
      </c>
      <c r="S64" s="12" t="s">
        <v>3510</v>
      </c>
      <c r="T64" s="12" t="s">
        <v>3549</v>
      </c>
      <c r="U64" s="12" t="s">
        <v>3512</v>
      </c>
      <c r="V64" s="12" t="s">
        <v>3513</v>
      </c>
      <c r="W64" s="12" t="s">
        <v>3587</v>
      </c>
      <c r="X64" s="12" t="s">
        <v>3588</v>
      </c>
      <c r="Y64" s="12" t="s">
        <v>3516</v>
      </c>
      <c r="Z64" s="12" t="s">
        <v>3517</v>
      </c>
      <c r="AA64" s="12" t="s">
        <v>3518</v>
      </c>
      <c r="AB64" s="12" t="s">
        <v>3519</v>
      </c>
      <c r="AC64" s="12" t="s">
        <v>3520</v>
      </c>
      <c r="AD64" s="12" t="s">
        <v>3521</v>
      </c>
      <c r="AE64" s="12" t="s">
        <v>3522</v>
      </c>
      <c r="AF64" s="12" t="s">
        <v>3523</v>
      </c>
      <c r="AG64" s="12" t="s">
        <v>3524</v>
      </c>
      <c r="AH64" s="12" t="s">
        <v>3525</v>
      </c>
      <c r="AI64" s="12" t="s">
        <v>3526</v>
      </c>
      <c r="AJ64" s="12" t="s">
        <v>3527</v>
      </c>
      <c r="AK64" s="12" t="s">
        <v>3528</v>
      </c>
      <c r="AL64" s="12" t="s">
        <v>3529</v>
      </c>
      <c r="AM64" s="12" t="s">
        <v>3530</v>
      </c>
      <c r="AN64" s="12" t="s">
        <v>3531</v>
      </c>
      <c r="AO64" s="12" t="s">
        <v>3557</v>
      </c>
      <c r="AP64" s="12" t="s">
        <v>3533</v>
      </c>
      <c r="AQ64" s="12" t="s">
        <v>3534</v>
      </c>
      <c r="AR64" s="12" t="s">
        <v>3535</v>
      </c>
      <c r="AS64" s="12" t="s">
        <v>6</v>
      </c>
      <c r="AT64" s="12" t="s">
        <v>3537</v>
      </c>
      <c r="AU64" s="12" t="s">
        <v>6</v>
      </c>
      <c r="AV64" s="12" t="s">
        <v>3538</v>
      </c>
      <c r="AW64" s="12" t="s">
        <v>3617</v>
      </c>
      <c r="AX64" s="12" t="s">
        <v>3540</v>
      </c>
      <c r="AY64" s="12" t="s">
        <v>3541</v>
      </c>
      <c r="AZ64" s="12" t="s">
        <v>3542</v>
      </c>
      <c r="BA64" s="12" t="s">
        <v>3543</v>
      </c>
      <c r="BB64" s="12" t="s">
        <v>3544</v>
      </c>
      <c r="BC64" s="17"/>
    </row>
    <row r="65" ht="22.5" customHeight="1">
      <c r="A65" s="18">
        <v>46181.72163295139</v>
      </c>
      <c r="B65" s="19" t="s">
        <v>2357</v>
      </c>
      <c r="C65" s="20">
        <v>32.0</v>
      </c>
      <c r="D65" s="24" t="s">
        <v>3764</v>
      </c>
      <c r="E65" s="22">
        <f t="shared" si="1"/>
        <v>37</v>
      </c>
      <c r="F65" s="19" t="s">
        <v>3765</v>
      </c>
      <c r="G65" s="19" t="s">
        <v>2358</v>
      </c>
      <c r="H65" s="19" t="s">
        <v>2357</v>
      </c>
      <c r="I65" s="22">
        <v>9.375666637E9</v>
      </c>
      <c r="J65" s="19" t="s">
        <v>3503</v>
      </c>
      <c r="K65" s="19" t="s">
        <v>3504</v>
      </c>
      <c r="L65" s="19" t="s">
        <v>3556</v>
      </c>
      <c r="M65" s="21"/>
      <c r="N65" s="19" t="s">
        <v>3506</v>
      </c>
      <c r="O65" s="19" t="s">
        <v>3507</v>
      </c>
      <c r="P65" s="19" t="s">
        <v>3508</v>
      </c>
      <c r="Q65" s="21"/>
      <c r="R65" s="19" t="s">
        <v>3509</v>
      </c>
      <c r="S65" s="19" t="s">
        <v>3510</v>
      </c>
      <c r="T65" s="19" t="s">
        <v>3549</v>
      </c>
      <c r="U65" s="19" t="s">
        <v>3512</v>
      </c>
      <c r="V65" s="19" t="s">
        <v>3513</v>
      </c>
      <c r="W65" s="19" t="s">
        <v>3587</v>
      </c>
      <c r="X65" s="19" t="s">
        <v>3515</v>
      </c>
      <c r="Y65" s="19" t="s">
        <v>3725</v>
      </c>
      <c r="Z65" s="19" t="s">
        <v>3517</v>
      </c>
      <c r="AA65" s="19" t="s">
        <v>3518</v>
      </c>
      <c r="AB65" s="19" t="s">
        <v>3519</v>
      </c>
      <c r="AC65" s="19" t="s">
        <v>3520</v>
      </c>
      <c r="AD65" s="19" t="s">
        <v>3521</v>
      </c>
      <c r="AE65" s="19" t="s">
        <v>3704</v>
      </c>
      <c r="AF65" s="19" t="s">
        <v>3639</v>
      </c>
      <c r="AG65" s="19" t="s">
        <v>3524</v>
      </c>
      <c r="AH65" s="19" t="s">
        <v>3525</v>
      </c>
      <c r="AI65" s="19" t="s">
        <v>3526</v>
      </c>
      <c r="AJ65" s="19" t="s">
        <v>3527</v>
      </c>
      <c r="AK65" s="19" t="s">
        <v>3528</v>
      </c>
      <c r="AL65" s="19" t="s">
        <v>3529</v>
      </c>
      <c r="AM65" s="21"/>
      <c r="AN65" s="19" t="s">
        <v>3531</v>
      </c>
      <c r="AO65" s="21"/>
      <c r="AP65" s="19" t="s">
        <v>3533</v>
      </c>
      <c r="AQ65" s="19" t="s">
        <v>3616</v>
      </c>
      <c r="AR65" s="19" t="s">
        <v>3535</v>
      </c>
      <c r="AS65" s="19" t="s">
        <v>3536</v>
      </c>
      <c r="AT65" s="19" t="s">
        <v>3562</v>
      </c>
      <c r="AU65" s="19" t="s">
        <v>6</v>
      </c>
      <c r="AV65" s="19" t="s">
        <v>3538</v>
      </c>
      <c r="AW65" s="21"/>
      <c r="AX65" s="19" t="s">
        <v>3540</v>
      </c>
      <c r="AY65" s="19" t="s">
        <v>3541</v>
      </c>
      <c r="AZ65" s="19" t="s">
        <v>3542</v>
      </c>
      <c r="BA65" s="19" t="s">
        <v>3543</v>
      </c>
      <c r="BB65" s="19" t="s">
        <v>3544</v>
      </c>
      <c r="BC65" s="23"/>
    </row>
    <row r="66" ht="22.5" customHeight="1">
      <c r="A66" s="11">
        <v>46181.72249622685</v>
      </c>
      <c r="B66" s="12" t="s">
        <v>242</v>
      </c>
      <c r="C66" s="13">
        <v>39.0</v>
      </c>
      <c r="D66" s="14" t="s">
        <v>3766</v>
      </c>
      <c r="E66" s="15">
        <f t="shared" si="1"/>
        <v>44</v>
      </c>
      <c r="F66" s="12" t="s">
        <v>3767</v>
      </c>
      <c r="G66" s="12" t="s">
        <v>243</v>
      </c>
      <c r="H66" s="12" t="s">
        <v>242</v>
      </c>
      <c r="I66" s="15">
        <v>9.870444706E9</v>
      </c>
      <c r="J66" s="12" t="s">
        <v>3547</v>
      </c>
      <c r="K66" s="12" t="s">
        <v>3504</v>
      </c>
      <c r="L66" s="12" t="s">
        <v>3556</v>
      </c>
      <c r="M66" s="16"/>
      <c r="N66" s="12" t="s">
        <v>3506</v>
      </c>
      <c r="O66" s="12" t="s">
        <v>3507</v>
      </c>
      <c r="P66" s="12" t="s">
        <v>3508</v>
      </c>
      <c r="Q66" s="16"/>
      <c r="R66" s="12" t="s">
        <v>3509</v>
      </c>
      <c r="S66" s="12" t="s">
        <v>3510</v>
      </c>
      <c r="T66" s="12" t="s">
        <v>3549</v>
      </c>
      <c r="U66" s="12" t="s">
        <v>3512</v>
      </c>
      <c r="V66" s="12" t="s">
        <v>3513</v>
      </c>
      <c r="W66" s="12" t="s">
        <v>3514</v>
      </c>
      <c r="X66" s="12" t="s">
        <v>3515</v>
      </c>
      <c r="Y66" s="12" t="s">
        <v>3516</v>
      </c>
      <c r="Z66" s="12" t="s">
        <v>3517</v>
      </c>
      <c r="AA66" s="12" t="s">
        <v>3518</v>
      </c>
      <c r="AB66" s="12" t="s">
        <v>3519</v>
      </c>
      <c r="AC66" s="12" t="s">
        <v>3520</v>
      </c>
      <c r="AD66" s="12" t="s">
        <v>3521</v>
      </c>
      <c r="AE66" s="12" t="s">
        <v>3522</v>
      </c>
      <c r="AF66" s="12" t="s">
        <v>3523</v>
      </c>
      <c r="AG66" s="12" t="s">
        <v>3524</v>
      </c>
      <c r="AH66" s="12" t="s">
        <v>3525</v>
      </c>
      <c r="AI66" s="12" t="s">
        <v>3526</v>
      </c>
      <c r="AJ66" s="12" t="s">
        <v>3527</v>
      </c>
      <c r="AK66" s="12" t="s">
        <v>3528</v>
      </c>
      <c r="AL66" s="12" t="s">
        <v>3529</v>
      </c>
      <c r="AM66" s="12" t="s">
        <v>3750</v>
      </c>
      <c r="AN66" s="12" t="s">
        <v>3710</v>
      </c>
      <c r="AO66" s="12" t="s">
        <v>3557</v>
      </c>
      <c r="AP66" s="12" t="s">
        <v>3533</v>
      </c>
      <c r="AQ66" s="12" t="s">
        <v>3534</v>
      </c>
      <c r="AR66" s="12" t="s">
        <v>3535</v>
      </c>
      <c r="AS66" s="12" t="s">
        <v>3536</v>
      </c>
      <c r="AT66" s="12" t="s">
        <v>3537</v>
      </c>
      <c r="AU66" s="12" t="s">
        <v>6</v>
      </c>
      <c r="AV66" s="12" t="s">
        <v>3538</v>
      </c>
      <c r="AW66" s="12" t="s">
        <v>3539</v>
      </c>
      <c r="AX66" s="12" t="s">
        <v>3540</v>
      </c>
      <c r="AY66" s="12" t="s">
        <v>3541</v>
      </c>
      <c r="AZ66" s="12" t="s">
        <v>3542</v>
      </c>
      <c r="BA66" s="12" t="s">
        <v>3543</v>
      </c>
      <c r="BB66" s="12" t="s">
        <v>3544</v>
      </c>
      <c r="BC66" s="17"/>
    </row>
    <row r="67" ht="22.5" customHeight="1">
      <c r="A67" s="18">
        <v>46181.73278846065</v>
      </c>
      <c r="B67" s="19" t="s">
        <v>3768</v>
      </c>
      <c r="C67" s="20">
        <v>19.0</v>
      </c>
      <c r="D67" s="21"/>
      <c r="E67" s="22">
        <f t="shared" si="1"/>
        <v>19</v>
      </c>
      <c r="F67" s="19" t="s">
        <v>3769</v>
      </c>
      <c r="G67" s="19" t="s">
        <v>2940</v>
      </c>
      <c r="H67" s="19" t="s">
        <v>3770</v>
      </c>
      <c r="I67" s="22">
        <v>9.25081952E9</v>
      </c>
      <c r="J67" s="19" t="s">
        <v>3561</v>
      </c>
      <c r="K67" s="19" t="s">
        <v>3504</v>
      </c>
      <c r="L67" s="19" t="s">
        <v>3771</v>
      </c>
      <c r="M67" s="21"/>
      <c r="N67" s="19" t="s">
        <v>3506</v>
      </c>
      <c r="O67" s="21"/>
      <c r="P67" s="21"/>
      <c r="Q67" s="21"/>
      <c r="R67" s="19" t="s">
        <v>3509</v>
      </c>
      <c r="S67" s="21"/>
      <c r="T67" s="19" t="s">
        <v>3549</v>
      </c>
      <c r="U67" s="19" t="s">
        <v>3512</v>
      </c>
      <c r="V67" s="19" t="s">
        <v>3513</v>
      </c>
      <c r="W67" s="21"/>
      <c r="X67" s="19" t="s">
        <v>3515</v>
      </c>
      <c r="Y67" s="19" t="s">
        <v>3516</v>
      </c>
      <c r="Z67" s="19" t="s">
        <v>3517</v>
      </c>
      <c r="AA67" s="19" t="s">
        <v>3518</v>
      </c>
      <c r="AB67" s="19" t="s">
        <v>3519</v>
      </c>
      <c r="AC67" s="19" t="s">
        <v>3520</v>
      </c>
      <c r="AD67" s="19" t="s">
        <v>3521</v>
      </c>
      <c r="AE67" s="21"/>
      <c r="AF67" s="21"/>
      <c r="AG67" s="21"/>
      <c r="AH67" s="19" t="s">
        <v>3600</v>
      </c>
      <c r="AI67" s="19" t="s">
        <v>3772</v>
      </c>
      <c r="AJ67" s="19" t="s">
        <v>3773</v>
      </c>
      <c r="AK67" s="19" t="s">
        <v>3528</v>
      </c>
      <c r="AL67" s="19" t="s">
        <v>3529</v>
      </c>
      <c r="AM67" s="21"/>
      <c r="AN67" s="19" t="s">
        <v>3531</v>
      </c>
      <c r="AO67" s="19" t="s">
        <v>3551</v>
      </c>
      <c r="AP67" s="19" t="s">
        <v>3743</v>
      </c>
      <c r="AQ67" s="21"/>
      <c r="AR67" s="19" t="s">
        <v>3535</v>
      </c>
      <c r="AS67" s="19" t="s">
        <v>3536</v>
      </c>
      <c r="AT67" s="19" t="s">
        <v>3578</v>
      </c>
      <c r="AU67" s="19" t="s">
        <v>2802</v>
      </c>
      <c r="AV67" s="19" t="s">
        <v>3536</v>
      </c>
      <c r="AW67" s="19" t="s">
        <v>3705</v>
      </c>
      <c r="AX67" s="19" t="s">
        <v>3774</v>
      </c>
      <c r="AY67" s="19" t="s">
        <v>3541</v>
      </c>
      <c r="AZ67" s="19" t="s">
        <v>3542</v>
      </c>
      <c r="BA67" s="19" t="s">
        <v>3579</v>
      </c>
      <c r="BB67" s="19" t="s">
        <v>3544</v>
      </c>
      <c r="BC67" s="23"/>
    </row>
    <row r="68" ht="22.5" customHeight="1">
      <c r="A68" s="11">
        <v>46181.73823971065</v>
      </c>
      <c r="B68" s="12" t="s">
        <v>459</v>
      </c>
      <c r="C68" s="13">
        <v>39.0</v>
      </c>
      <c r="D68" s="16"/>
      <c r="E68" s="15">
        <f t="shared" si="1"/>
        <v>39</v>
      </c>
      <c r="F68" s="12" t="s">
        <v>3775</v>
      </c>
      <c r="G68" s="12" t="s">
        <v>3776</v>
      </c>
      <c r="H68" s="12" t="s">
        <v>459</v>
      </c>
      <c r="I68" s="15">
        <v>8.059073452E9</v>
      </c>
      <c r="J68" s="12" t="s">
        <v>3547</v>
      </c>
      <c r="K68" s="12" t="s">
        <v>3504</v>
      </c>
      <c r="L68" s="12" t="s">
        <v>3556</v>
      </c>
      <c r="M68" s="16"/>
      <c r="N68" s="12" t="s">
        <v>3548</v>
      </c>
      <c r="O68" s="12" t="s">
        <v>3507</v>
      </c>
      <c r="P68" s="12" t="s">
        <v>3508</v>
      </c>
      <c r="Q68" s="16"/>
      <c r="R68" s="12" t="s">
        <v>3509</v>
      </c>
      <c r="S68" s="12" t="s">
        <v>3510</v>
      </c>
      <c r="T68" s="12" t="s">
        <v>3549</v>
      </c>
      <c r="U68" s="12" t="s">
        <v>3512</v>
      </c>
      <c r="V68" s="12" t="s">
        <v>3513</v>
      </c>
      <c r="W68" s="12" t="s">
        <v>3514</v>
      </c>
      <c r="X68" s="12" t="s">
        <v>3515</v>
      </c>
      <c r="Y68" s="12" t="s">
        <v>3516</v>
      </c>
      <c r="Z68" s="12" t="s">
        <v>3517</v>
      </c>
      <c r="AA68" s="12" t="s">
        <v>3518</v>
      </c>
      <c r="AB68" s="12" t="s">
        <v>3519</v>
      </c>
      <c r="AC68" s="12" t="s">
        <v>3520</v>
      </c>
      <c r="AD68" s="12" t="s">
        <v>3521</v>
      </c>
      <c r="AE68" s="12" t="s">
        <v>3522</v>
      </c>
      <c r="AF68" s="12" t="s">
        <v>3523</v>
      </c>
      <c r="AG68" s="12" t="s">
        <v>3524</v>
      </c>
      <c r="AH68" s="12" t="s">
        <v>3525</v>
      </c>
      <c r="AI68" s="12" t="s">
        <v>3526</v>
      </c>
      <c r="AJ68" s="12" t="s">
        <v>3527</v>
      </c>
      <c r="AK68" s="12" t="s">
        <v>3528</v>
      </c>
      <c r="AL68" s="12" t="s">
        <v>3529</v>
      </c>
      <c r="AM68" s="12" t="s">
        <v>3530</v>
      </c>
      <c r="AN68" s="12" t="s">
        <v>3531</v>
      </c>
      <c r="AO68" s="12" t="s">
        <v>3557</v>
      </c>
      <c r="AP68" s="12" t="s">
        <v>3533</v>
      </c>
      <c r="AQ68" s="12" t="s">
        <v>3534</v>
      </c>
      <c r="AR68" s="12" t="s">
        <v>3535</v>
      </c>
      <c r="AS68" s="12" t="s">
        <v>3536</v>
      </c>
      <c r="AT68" s="12" t="s">
        <v>3537</v>
      </c>
      <c r="AU68" s="12" t="s">
        <v>6</v>
      </c>
      <c r="AV68" s="12" t="s">
        <v>3538</v>
      </c>
      <c r="AW68" s="12" t="s">
        <v>3558</v>
      </c>
      <c r="AX68" s="12" t="s">
        <v>3540</v>
      </c>
      <c r="AY68" s="12" t="s">
        <v>3541</v>
      </c>
      <c r="AZ68" s="12" t="s">
        <v>3542</v>
      </c>
      <c r="BA68" s="12" t="s">
        <v>3543</v>
      </c>
      <c r="BB68" s="12" t="s">
        <v>3544</v>
      </c>
      <c r="BC68" s="17"/>
    </row>
    <row r="69" ht="22.5" customHeight="1">
      <c r="A69" s="18">
        <v>46181.744437800924</v>
      </c>
      <c r="B69" s="19" t="s">
        <v>1081</v>
      </c>
      <c r="C69" s="20">
        <v>18.0</v>
      </c>
      <c r="D69" s="24" t="s">
        <v>3777</v>
      </c>
      <c r="E69" s="22">
        <f t="shared" si="1"/>
        <v>23</v>
      </c>
      <c r="F69" s="19" t="s">
        <v>3778</v>
      </c>
      <c r="G69" s="19" t="s">
        <v>1082</v>
      </c>
      <c r="H69" s="19" t="s">
        <v>1081</v>
      </c>
      <c r="I69" s="22">
        <v>8.200823526E9</v>
      </c>
      <c r="J69" s="19" t="s">
        <v>3561</v>
      </c>
      <c r="K69" s="19" t="s">
        <v>3504</v>
      </c>
      <c r="L69" s="19" t="s">
        <v>3556</v>
      </c>
      <c r="M69" s="21"/>
      <c r="N69" s="19" t="s">
        <v>3506</v>
      </c>
      <c r="O69" s="19" t="s">
        <v>3779</v>
      </c>
      <c r="P69" s="19" t="s">
        <v>3637</v>
      </c>
      <c r="Q69" s="21"/>
      <c r="R69" s="19" t="s">
        <v>3780</v>
      </c>
      <c r="S69" s="19" t="s">
        <v>3781</v>
      </c>
      <c r="T69" s="19" t="s">
        <v>3709</v>
      </c>
      <c r="U69" s="19" t="s">
        <v>3512</v>
      </c>
      <c r="V69" s="19" t="s">
        <v>3593</v>
      </c>
      <c r="W69" s="19" t="s">
        <v>3575</v>
      </c>
      <c r="X69" s="19" t="s">
        <v>3515</v>
      </c>
      <c r="Y69" s="19" t="s">
        <v>3725</v>
      </c>
      <c r="Z69" s="19" t="s">
        <v>3517</v>
      </c>
      <c r="AA69" s="19" t="s">
        <v>3518</v>
      </c>
      <c r="AB69" s="19" t="s">
        <v>3519</v>
      </c>
      <c r="AC69" s="19" t="s">
        <v>3520</v>
      </c>
      <c r="AD69" s="19" t="s">
        <v>3521</v>
      </c>
      <c r="AE69" s="19" t="s">
        <v>3522</v>
      </c>
      <c r="AF69" s="19" t="s">
        <v>3594</v>
      </c>
      <c r="AG69" s="19" t="s">
        <v>3782</v>
      </c>
      <c r="AH69" s="19" t="s">
        <v>3600</v>
      </c>
      <c r="AI69" s="19" t="s">
        <v>3526</v>
      </c>
      <c r="AJ69" s="19" t="s">
        <v>3527</v>
      </c>
      <c r="AK69" s="19" t="s">
        <v>3528</v>
      </c>
      <c r="AL69" s="19" t="s">
        <v>3590</v>
      </c>
      <c r="AM69" s="19" t="s">
        <v>3530</v>
      </c>
      <c r="AN69" s="19" t="s">
        <v>3710</v>
      </c>
      <c r="AO69" s="19" t="s">
        <v>3532</v>
      </c>
      <c r="AP69" s="19" t="s">
        <v>3577</v>
      </c>
      <c r="AQ69" s="19" t="s">
        <v>3534</v>
      </c>
      <c r="AR69" s="19" t="s">
        <v>3535</v>
      </c>
      <c r="AS69" s="19" t="s">
        <v>3536</v>
      </c>
      <c r="AT69" s="19" t="s">
        <v>3562</v>
      </c>
      <c r="AU69" s="19" t="s">
        <v>6</v>
      </c>
      <c r="AV69" s="19" t="s">
        <v>3536</v>
      </c>
      <c r="AW69" s="19" t="s">
        <v>3705</v>
      </c>
      <c r="AX69" s="19" t="s">
        <v>3774</v>
      </c>
      <c r="AY69" s="19" t="s">
        <v>3570</v>
      </c>
      <c r="AZ69" s="19" t="s">
        <v>3706</v>
      </c>
      <c r="BA69" s="19" t="s">
        <v>3579</v>
      </c>
      <c r="BB69" s="19" t="s">
        <v>3783</v>
      </c>
      <c r="BC69" s="23"/>
    </row>
    <row r="70" ht="22.5" customHeight="1">
      <c r="A70" s="11">
        <v>46181.75027655093</v>
      </c>
      <c r="B70" s="12" t="s">
        <v>3784</v>
      </c>
      <c r="C70" s="13">
        <v>4.0</v>
      </c>
      <c r="D70" s="14" t="s">
        <v>3785</v>
      </c>
      <c r="E70" s="15">
        <f t="shared" si="1"/>
        <v>9</v>
      </c>
      <c r="F70" s="12" t="s">
        <v>3786</v>
      </c>
      <c r="G70" s="12" t="s">
        <v>3787</v>
      </c>
      <c r="H70" s="12" t="s">
        <v>3784</v>
      </c>
      <c r="I70" s="15">
        <v>8.109517118E9</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2" t="s">
        <v>3535</v>
      </c>
      <c r="AS70" s="12" t="s">
        <v>3536</v>
      </c>
      <c r="AT70" s="12" t="s">
        <v>3537</v>
      </c>
      <c r="AU70" s="12" t="s">
        <v>6</v>
      </c>
      <c r="AV70" s="12" t="s">
        <v>3536</v>
      </c>
      <c r="AW70" s="16"/>
      <c r="AX70" s="16"/>
      <c r="AY70" s="16"/>
      <c r="AZ70" s="16"/>
      <c r="BA70" s="16"/>
      <c r="BB70" s="16"/>
      <c r="BC70" s="17"/>
    </row>
    <row r="71" ht="22.5" customHeight="1">
      <c r="A71" s="18">
        <v>46181.757491296295</v>
      </c>
      <c r="B71" s="19" t="s">
        <v>2807</v>
      </c>
      <c r="C71" s="20">
        <v>40.0</v>
      </c>
      <c r="D71" s="24" t="s">
        <v>3788</v>
      </c>
      <c r="E71" s="22">
        <f t="shared" si="1"/>
        <v>45</v>
      </c>
      <c r="F71" s="19" t="s">
        <v>3789</v>
      </c>
      <c r="G71" s="19" t="s">
        <v>2808</v>
      </c>
      <c r="H71" s="19" t="s">
        <v>2807</v>
      </c>
      <c r="I71" s="22">
        <v>7.507200772E9</v>
      </c>
      <c r="J71" s="19" t="s">
        <v>3547</v>
      </c>
      <c r="K71" s="19" t="s">
        <v>3504</v>
      </c>
      <c r="L71" s="19" t="s">
        <v>3556</v>
      </c>
      <c r="M71" s="21"/>
      <c r="N71" s="19" t="s">
        <v>3506</v>
      </c>
      <c r="O71" s="19" t="s">
        <v>3507</v>
      </c>
      <c r="P71" s="19" t="s">
        <v>3508</v>
      </c>
      <c r="Q71" s="21"/>
      <c r="R71" s="19" t="s">
        <v>3509</v>
      </c>
      <c r="S71" s="19" t="s">
        <v>3510</v>
      </c>
      <c r="T71" s="19" t="s">
        <v>3511</v>
      </c>
      <c r="U71" s="19" t="s">
        <v>3550</v>
      </c>
      <c r="V71" s="19" t="s">
        <v>3513</v>
      </c>
      <c r="W71" s="19" t="s">
        <v>3514</v>
      </c>
      <c r="X71" s="19" t="s">
        <v>3515</v>
      </c>
      <c r="Y71" s="19" t="s">
        <v>3516</v>
      </c>
      <c r="Z71" s="19" t="s">
        <v>3517</v>
      </c>
      <c r="AA71" s="19" t="s">
        <v>3518</v>
      </c>
      <c r="AB71" s="19" t="s">
        <v>3519</v>
      </c>
      <c r="AC71" s="19" t="s">
        <v>3520</v>
      </c>
      <c r="AD71" s="19" t="s">
        <v>3521</v>
      </c>
      <c r="AE71" s="19" t="s">
        <v>3522</v>
      </c>
      <c r="AF71" s="19" t="s">
        <v>3523</v>
      </c>
      <c r="AG71" s="19" t="s">
        <v>3524</v>
      </c>
      <c r="AH71" s="19" t="s">
        <v>3525</v>
      </c>
      <c r="AI71" s="19" t="s">
        <v>3526</v>
      </c>
      <c r="AJ71" s="19" t="s">
        <v>3527</v>
      </c>
      <c r="AK71" s="19" t="s">
        <v>3528</v>
      </c>
      <c r="AL71" s="19" t="s">
        <v>3529</v>
      </c>
      <c r="AM71" s="19" t="s">
        <v>3530</v>
      </c>
      <c r="AN71" s="19" t="s">
        <v>3531</v>
      </c>
      <c r="AO71" s="19" t="s">
        <v>3551</v>
      </c>
      <c r="AP71" s="19" t="s">
        <v>3533</v>
      </c>
      <c r="AQ71" s="19" t="s">
        <v>3534</v>
      </c>
      <c r="AR71" s="19" t="s">
        <v>3535</v>
      </c>
      <c r="AS71" s="19" t="s">
        <v>3536</v>
      </c>
      <c r="AT71" s="19" t="s">
        <v>3537</v>
      </c>
      <c r="AU71" s="19" t="s">
        <v>6</v>
      </c>
      <c r="AV71" s="19" t="s">
        <v>3538</v>
      </c>
      <c r="AW71" s="19" t="s">
        <v>3539</v>
      </c>
      <c r="AX71" s="19" t="s">
        <v>3540</v>
      </c>
      <c r="AY71" s="19" t="s">
        <v>3541</v>
      </c>
      <c r="AZ71" s="19" t="s">
        <v>3542</v>
      </c>
      <c r="BA71" s="19" t="s">
        <v>3543</v>
      </c>
      <c r="BB71" s="19" t="s">
        <v>3544</v>
      </c>
      <c r="BC71" s="23"/>
    </row>
    <row r="72" ht="22.5" customHeight="1">
      <c r="A72" s="11">
        <v>46181.76281157407</v>
      </c>
      <c r="B72" s="12" t="s">
        <v>2012</v>
      </c>
      <c r="C72" s="13">
        <v>26.0</v>
      </c>
      <c r="D72" s="16"/>
      <c r="E72" s="15">
        <f t="shared" si="1"/>
        <v>26</v>
      </c>
      <c r="F72" s="12" t="s">
        <v>3790</v>
      </c>
      <c r="G72" s="12" t="s">
        <v>2013</v>
      </c>
      <c r="H72" s="12" t="s">
        <v>2012</v>
      </c>
      <c r="I72" s="12" t="s">
        <v>2014</v>
      </c>
      <c r="J72" s="12" t="s">
        <v>3547</v>
      </c>
      <c r="K72" s="12" t="s">
        <v>3791</v>
      </c>
      <c r="L72" s="12" t="s">
        <v>3556</v>
      </c>
      <c r="M72" s="16"/>
      <c r="N72" s="12" t="s">
        <v>3506</v>
      </c>
      <c r="O72" s="12" t="s">
        <v>3614</v>
      </c>
      <c r="P72" s="12" t="s">
        <v>3508</v>
      </c>
      <c r="Q72" s="16"/>
      <c r="R72" s="12" t="s">
        <v>3509</v>
      </c>
      <c r="S72" s="12" t="s">
        <v>3510</v>
      </c>
      <c r="T72" s="12" t="s">
        <v>3549</v>
      </c>
      <c r="U72" s="12" t="s">
        <v>3582</v>
      </c>
      <c r="V72" s="12" t="s">
        <v>3513</v>
      </c>
      <c r="W72" s="12" t="s">
        <v>3575</v>
      </c>
      <c r="X72" s="12" t="s">
        <v>3740</v>
      </c>
      <c r="Y72" s="12" t="s">
        <v>3516</v>
      </c>
      <c r="Z72" s="12" t="s">
        <v>3517</v>
      </c>
      <c r="AA72" s="12" t="s">
        <v>3518</v>
      </c>
      <c r="AB72" s="12" t="s">
        <v>3519</v>
      </c>
      <c r="AC72" s="12" t="s">
        <v>3520</v>
      </c>
      <c r="AD72" s="12" t="s">
        <v>3792</v>
      </c>
      <c r="AE72" s="12" t="s">
        <v>3522</v>
      </c>
      <c r="AF72" s="12" t="s">
        <v>3594</v>
      </c>
      <c r="AG72" s="12" t="s">
        <v>3524</v>
      </c>
      <c r="AH72" s="12" t="s">
        <v>3525</v>
      </c>
      <c r="AI72" s="12" t="s">
        <v>3526</v>
      </c>
      <c r="AJ72" s="12" t="s">
        <v>3527</v>
      </c>
      <c r="AK72" s="12" t="s">
        <v>3528</v>
      </c>
      <c r="AL72" s="12" t="s">
        <v>3529</v>
      </c>
      <c r="AM72" s="12" t="s">
        <v>3530</v>
      </c>
      <c r="AN72" s="12" t="s">
        <v>3531</v>
      </c>
      <c r="AO72" s="12" t="s">
        <v>3532</v>
      </c>
      <c r="AP72" s="12" t="s">
        <v>3533</v>
      </c>
      <c r="AQ72" s="12" t="s">
        <v>3616</v>
      </c>
      <c r="AR72" s="16"/>
      <c r="AS72" s="16"/>
      <c r="AT72" s="16"/>
      <c r="AU72" s="16"/>
      <c r="AV72" s="16"/>
      <c r="AW72" s="12" t="s">
        <v>3539</v>
      </c>
      <c r="AX72" s="12" t="s">
        <v>3774</v>
      </c>
      <c r="AY72" s="12" t="s">
        <v>3541</v>
      </c>
      <c r="AZ72" s="12" t="s">
        <v>3542</v>
      </c>
      <c r="BA72" s="12" t="s">
        <v>3543</v>
      </c>
      <c r="BB72" s="12" t="s">
        <v>3793</v>
      </c>
      <c r="BC72" s="17"/>
    </row>
    <row r="73" ht="22.5" customHeight="1">
      <c r="A73" s="18">
        <v>46181.77092548611</v>
      </c>
      <c r="B73" s="19" t="s">
        <v>2349</v>
      </c>
      <c r="C73" s="20">
        <v>42.0</v>
      </c>
      <c r="D73" s="24" t="s">
        <v>3794</v>
      </c>
      <c r="E73" s="22">
        <f t="shared" si="1"/>
        <v>47</v>
      </c>
      <c r="F73" s="19" t="s">
        <v>3795</v>
      </c>
      <c r="G73" s="19" t="s">
        <v>3796</v>
      </c>
      <c r="H73" s="19" t="s">
        <v>2349</v>
      </c>
      <c r="I73" s="22">
        <v>8.017420281E9</v>
      </c>
      <c r="J73" s="19" t="s">
        <v>3547</v>
      </c>
      <c r="K73" s="19" t="s">
        <v>3504</v>
      </c>
      <c r="L73" s="19" t="s">
        <v>3556</v>
      </c>
      <c r="M73" s="21"/>
      <c r="N73" s="19" t="s">
        <v>3506</v>
      </c>
      <c r="O73" s="19" t="s">
        <v>3507</v>
      </c>
      <c r="P73" s="19" t="s">
        <v>3508</v>
      </c>
      <c r="Q73" s="21"/>
      <c r="R73" s="19" t="s">
        <v>3509</v>
      </c>
      <c r="S73" s="19" t="s">
        <v>3510</v>
      </c>
      <c r="T73" s="19" t="s">
        <v>3549</v>
      </c>
      <c r="U73" s="19" t="s">
        <v>3550</v>
      </c>
      <c r="V73" s="19" t="s">
        <v>3513</v>
      </c>
      <c r="W73" s="19" t="s">
        <v>3514</v>
      </c>
      <c r="X73" s="19" t="s">
        <v>3515</v>
      </c>
      <c r="Y73" s="19" t="s">
        <v>3725</v>
      </c>
      <c r="Z73" s="19" t="s">
        <v>3517</v>
      </c>
      <c r="AA73" s="19" t="s">
        <v>3518</v>
      </c>
      <c r="AB73" s="19" t="s">
        <v>3519</v>
      </c>
      <c r="AC73" s="19" t="s">
        <v>3520</v>
      </c>
      <c r="AD73" s="19" t="s">
        <v>3521</v>
      </c>
      <c r="AE73" s="19" t="s">
        <v>3522</v>
      </c>
      <c r="AF73" s="19" t="s">
        <v>3523</v>
      </c>
      <c r="AG73" s="19" t="s">
        <v>3524</v>
      </c>
      <c r="AH73" s="19" t="s">
        <v>3525</v>
      </c>
      <c r="AI73" s="19" t="s">
        <v>3526</v>
      </c>
      <c r="AJ73" s="19" t="s">
        <v>3527</v>
      </c>
      <c r="AK73" s="19" t="s">
        <v>3528</v>
      </c>
      <c r="AL73" s="19" t="s">
        <v>3529</v>
      </c>
      <c r="AM73" s="19" t="s">
        <v>3530</v>
      </c>
      <c r="AN73" s="19" t="s">
        <v>3531</v>
      </c>
      <c r="AO73" s="19" t="s">
        <v>3557</v>
      </c>
      <c r="AP73" s="19" t="s">
        <v>3533</v>
      </c>
      <c r="AQ73" s="19" t="s">
        <v>3534</v>
      </c>
      <c r="AR73" s="19" t="s">
        <v>3535</v>
      </c>
      <c r="AS73" s="19" t="s">
        <v>3536</v>
      </c>
      <c r="AT73" s="19" t="s">
        <v>3537</v>
      </c>
      <c r="AU73" s="19" t="s">
        <v>6</v>
      </c>
      <c r="AV73" s="19" t="s">
        <v>3538</v>
      </c>
      <c r="AW73" s="19" t="s">
        <v>3539</v>
      </c>
      <c r="AX73" s="19" t="s">
        <v>3540</v>
      </c>
      <c r="AY73" s="19" t="s">
        <v>3541</v>
      </c>
      <c r="AZ73" s="19" t="s">
        <v>3542</v>
      </c>
      <c r="BA73" s="19" t="s">
        <v>3543</v>
      </c>
      <c r="BB73" s="19" t="s">
        <v>3544</v>
      </c>
      <c r="BC73" s="23"/>
    </row>
    <row r="74" ht="22.5" customHeight="1">
      <c r="A74" s="11">
        <v>46181.780379710646</v>
      </c>
      <c r="B74" s="12" t="s">
        <v>1037</v>
      </c>
      <c r="C74" s="13">
        <v>28.0</v>
      </c>
      <c r="D74" s="16"/>
      <c r="E74" s="15">
        <f t="shared" si="1"/>
        <v>28</v>
      </c>
      <c r="F74" s="12" t="s">
        <v>3797</v>
      </c>
      <c r="G74" s="12" t="s">
        <v>1038</v>
      </c>
      <c r="H74" s="12" t="s">
        <v>1037</v>
      </c>
      <c r="I74" s="15">
        <v>9.426180706E9</v>
      </c>
      <c r="J74" s="12" t="s">
        <v>3547</v>
      </c>
      <c r="K74" s="12" t="s">
        <v>3504</v>
      </c>
      <c r="L74" s="12" t="s">
        <v>3505</v>
      </c>
      <c r="M74" s="16"/>
      <c r="N74" s="12" t="s">
        <v>3506</v>
      </c>
      <c r="O74" s="12" t="s">
        <v>3507</v>
      </c>
      <c r="P74" s="12" t="s">
        <v>3508</v>
      </c>
      <c r="Q74" s="16"/>
      <c r="R74" s="12" t="s">
        <v>3509</v>
      </c>
      <c r="S74" s="12" t="s">
        <v>3510</v>
      </c>
      <c r="T74" s="12" t="s">
        <v>3549</v>
      </c>
      <c r="U74" s="12" t="s">
        <v>3512</v>
      </c>
      <c r="V74" s="12" t="s">
        <v>3513</v>
      </c>
      <c r="W74" s="12" t="s">
        <v>3514</v>
      </c>
      <c r="X74" s="12" t="s">
        <v>3515</v>
      </c>
      <c r="Y74" s="12" t="s">
        <v>3725</v>
      </c>
      <c r="Z74" s="12" t="s">
        <v>3517</v>
      </c>
      <c r="AA74" s="12" t="s">
        <v>3703</v>
      </c>
      <c r="AB74" s="12" t="s">
        <v>3519</v>
      </c>
      <c r="AC74" s="12" t="s">
        <v>3520</v>
      </c>
      <c r="AD74" s="12" t="s">
        <v>3521</v>
      </c>
      <c r="AE74" s="12" t="s">
        <v>3704</v>
      </c>
      <c r="AF74" s="12" t="s">
        <v>3523</v>
      </c>
      <c r="AG74" s="12" t="s">
        <v>3589</v>
      </c>
      <c r="AH74" s="12" t="s">
        <v>3525</v>
      </c>
      <c r="AI74" s="12" t="s">
        <v>3526</v>
      </c>
      <c r="AJ74" s="12" t="s">
        <v>3527</v>
      </c>
      <c r="AK74" s="12" t="s">
        <v>3528</v>
      </c>
      <c r="AL74" s="12" t="s">
        <v>3590</v>
      </c>
      <c r="AM74" s="12" t="s">
        <v>3530</v>
      </c>
      <c r="AN74" s="12" t="s">
        <v>3531</v>
      </c>
      <c r="AO74" s="12" t="s">
        <v>3557</v>
      </c>
      <c r="AP74" s="12" t="s">
        <v>3533</v>
      </c>
      <c r="AQ74" s="12" t="s">
        <v>3534</v>
      </c>
      <c r="AR74" s="16"/>
      <c r="AS74" s="16"/>
      <c r="AT74" s="16"/>
      <c r="AU74" s="16"/>
      <c r="AV74" s="16"/>
      <c r="AW74" s="12" t="s">
        <v>3558</v>
      </c>
      <c r="AX74" s="12" t="s">
        <v>3540</v>
      </c>
      <c r="AY74" s="12" t="s">
        <v>3570</v>
      </c>
      <c r="AZ74" s="12" t="s">
        <v>3542</v>
      </c>
      <c r="BA74" s="12" t="s">
        <v>3579</v>
      </c>
      <c r="BB74" s="12" t="s">
        <v>3544</v>
      </c>
      <c r="BC74" s="17"/>
    </row>
    <row r="75" ht="22.5" customHeight="1">
      <c r="A75" s="18">
        <v>46181.78604398148</v>
      </c>
      <c r="B75" s="19" t="s">
        <v>3798</v>
      </c>
      <c r="C75" s="20">
        <v>38.0</v>
      </c>
      <c r="D75" s="24" t="s">
        <v>3799</v>
      </c>
      <c r="E75" s="22">
        <f t="shared" si="1"/>
        <v>43</v>
      </c>
      <c r="F75" s="19" t="s">
        <v>3800</v>
      </c>
      <c r="G75" s="19" t="s">
        <v>778</v>
      </c>
      <c r="H75" s="19" t="s">
        <v>777</v>
      </c>
      <c r="I75" s="22">
        <v>7.720079989E9</v>
      </c>
      <c r="J75" s="19" t="s">
        <v>3547</v>
      </c>
      <c r="K75" s="19" t="s">
        <v>3504</v>
      </c>
      <c r="L75" s="19" t="s">
        <v>3505</v>
      </c>
      <c r="M75" s="21"/>
      <c r="N75" s="19" t="s">
        <v>3548</v>
      </c>
      <c r="O75" s="19" t="s">
        <v>3507</v>
      </c>
      <c r="P75" s="19" t="s">
        <v>3508</v>
      </c>
      <c r="Q75" s="21"/>
      <c r="R75" s="19" t="s">
        <v>3509</v>
      </c>
      <c r="S75" s="19" t="s">
        <v>3510</v>
      </c>
      <c r="T75" s="19" t="s">
        <v>3549</v>
      </c>
      <c r="U75" s="19" t="s">
        <v>3512</v>
      </c>
      <c r="V75" s="19" t="s">
        <v>3513</v>
      </c>
      <c r="W75" s="19" t="s">
        <v>3514</v>
      </c>
      <c r="X75" s="19" t="s">
        <v>3515</v>
      </c>
      <c r="Y75" s="19" t="s">
        <v>3516</v>
      </c>
      <c r="Z75" s="19" t="s">
        <v>3517</v>
      </c>
      <c r="AA75" s="19" t="s">
        <v>3518</v>
      </c>
      <c r="AB75" s="19" t="s">
        <v>3519</v>
      </c>
      <c r="AC75" s="19" t="s">
        <v>3520</v>
      </c>
      <c r="AD75" s="19" t="s">
        <v>3521</v>
      </c>
      <c r="AE75" s="19" t="s">
        <v>3522</v>
      </c>
      <c r="AF75" s="19" t="s">
        <v>3523</v>
      </c>
      <c r="AG75" s="19" t="s">
        <v>3524</v>
      </c>
      <c r="AH75" s="19" t="s">
        <v>3525</v>
      </c>
      <c r="AI75" s="19" t="s">
        <v>3526</v>
      </c>
      <c r="AJ75" s="19" t="s">
        <v>3527</v>
      </c>
      <c r="AK75" s="19" t="s">
        <v>3528</v>
      </c>
      <c r="AL75" s="19" t="s">
        <v>3529</v>
      </c>
      <c r="AM75" s="19" t="s">
        <v>3530</v>
      </c>
      <c r="AN75" s="19" t="s">
        <v>3531</v>
      </c>
      <c r="AO75" s="19" t="s">
        <v>3557</v>
      </c>
      <c r="AP75" s="19" t="s">
        <v>3533</v>
      </c>
      <c r="AQ75" s="19" t="s">
        <v>3534</v>
      </c>
      <c r="AR75" s="19" t="s">
        <v>3535</v>
      </c>
      <c r="AS75" s="19" t="s">
        <v>3536</v>
      </c>
      <c r="AT75" s="19" t="s">
        <v>3537</v>
      </c>
      <c r="AU75" s="19" t="s">
        <v>6</v>
      </c>
      <c r="AV75" s="19" t="s">
        <v>3538</v>
      </c>
      <c r="AW75" s="19" t="s">
        <v>3558</v>
      </c>
      <c r="AX75" s="19" t="s">
        <v>3540</v>
      </c>
      <c r="AY75" s="19" t="s">
        <v>3541</v>
      </c>
      <c r="AZ75" s="19" t="s">
        <v>3542</v>
      </c>
      <c r="BA75" s="19" t="s">
        <v>3543</v>
      </c>
      <c r="BB75" s="19" t="s">
        <v>3544</v>
      </c>
      <c r="BC75" s="23"/>
    </row>
    <row r="76" ht="22.5" customHeight="1">
      <c r="A76" s="11">
        <v>46181.79631951389</v>
      </c>
      <c r="B76" s="12" t="s">
        <v>3801</v>
      </c>
      <c r="C76" s="13">
        <v>30.0</v>
      </c>
      <c r="D76" s="14" t="s">
        <v>3802</v>
      </c>
      <c r="E76" s="15">
        <f t="shared" si="1"/>
        <v>35</v>
      </c>
      <c r="F76" s="12" t="s">
        <v>3803</v>
      </c>
      <c r="G76" s="12" t="s">
        <v>1765</v>
      </c>
      <c r="H76" s="12" t="s">
        <v>3801</v>
      </c>
      <c r="I76" s="15">
        <v>8.96261234E9</v>
      </c>
      <c r="J76" s="12" t="s">
        <v>3503</v>
      </c>
      <c r="K76" s="12" t="s">
        <v>3504</v>
      </c>
      <c r="L76" s="12" t="s">
        <v>3556</v>
      </c>
      <c r="M76" s="16"/>
      <c r="N76" s="12" t="s">
        <v>3506</v>
      </c>
      <c r="O76" s="12" t="s">
        <v>3614</v>
      </c>
      <c r="P76" s="12" t="s">
        <v>3508</v>
      </c>
      <c r="Q76" s="16"/>
      <c r="R76" s="12" t="s">
        <v>3574</v>
      </c>
      <c r="S76" s="12" t="s">
        <v>3723</v>
      </c>
      <c r="T76" s="12" t="s">
        <v>3549</v>
      </c>
      <c r="U76" s="12" t="s">
        <v>3512</v>
      </c>
      <c r="V76" s="12" t="s">
        <v>3513</v>
      </c>
      <c r="W76" s="12" t="s">
        <v>3587</v>
      </c>
      <c r="X76" s="12" t="s">
        <v>3515</v>
      </c>
      <c r="Y76" s="12" t="s">
        <v>3516</v>
      </c>
      <c r="Z76" s="12" t="s">
        <v>3517</v>
      </c>
      <c r="AA76" s="12" t="s">
        <v>3518</v>
      </c>
      <c r="AB76" s="12" t="s">
        <v>3519</v>
      </c>
      <c r="AC76" s="12" t="s">
        <v>3520</v>
      </c>
      <c r="AD76" s="12" t="s">
        <v>3521</v>
      </c>
      <c r="AE76" s="12" t="s">
        <v>3522</v>
      </c>
      <c r="AF76" s="12" t="s">
        <v>3594</v>
      </c>
      <c r="AG76" s="12" t="s">
        <v>3524</v>
      </c>
      <c r="AH76" s="12" t="s">
        <v>3525</v>
      </c>
      <c r="AI76" s="12" t="s">
        <v>3526</v>
      </c>
      <c r="AJ76" s="12" t="s">
        <v>3527</v>
      </c>
      <c r="AK76" s="12" t="s">
        <v>3528</v>
      </c>
      <c r="AL76" s="12" t="s">
        <v>3529</v>
      </c>
      <c r="AM76" s="12" t="s">
        <v>3530</v>
      </c>
      <c r="AN76" s="12" t="s">
        <v>3531</v>
      </c>
      <c r="AO76" s="12" t="s">
        <v>3658</v>
      </c>
      <c r="AP76" s="12" t="s">
        <v>3533</v>
      </c>
      <c r="AQ76" s="12" t="s">
        <v>3534</v>
      </c>
      <c r="AR76" s="12" t="s">
        <v>2802</v>
      </c>
      <c r="AS76" s="12" t="s">
        <v>3536</v>
      </c>
      <c r="AT76" s="12" t="s">
        <v>3562</v>
      </c>
      <c r="AU76" s="12" t="s">
        <v>6</v>
      </c>
      <c r="AV76" s="12" t="s">
        <v>3536</v>
      </c>
      <c r="AW76" s="12" t="s">
        <v>3539</v>
      </c>
      <c r="AX76" s="12" t="s">
        <v>3540</v>
      </c>
      <c r="AY76" s="12" t="s">
        <v>3541</v>
      </c>
      <c r="AZ76" s="12" t="s">
        <v>3542</v>
      </c>
      <c r="BA76" s="12" t="s">
        <v>3543</v>
      </c>
      <c r="BB76" s="12" t="s">
        <v>3793</v>
      </c>
      <c r="BC76" s="17"/>
    </row>
    <row r="77" ht="22.5" customHeight="1">
      <c r="A77" s="18">
        <v>46181.798495243056</v>
      </c>
      <c r="B77" s="19" t="s">
        <v>632</v>
      </c>
      <c r="C77" s="20">
        <v>38.0</v>
      </c>
      <c r="D77" s="24" t="s">
        <v>3804</v>
      </c>
      <c r="E77" s="22">
        <f t="shared" si="1"/>
        <v>43</v>
      </c>
      <c r="F77" s="19" t="s">
        <v>3805</v>
      </c>
      <c r="G77" s="19" t="s">
        <v>3806</v>
      </c>
      <c r="H77" s="19" t="s">
        <v>632</v>
      </c>
      <c r="I77" s="19" t="s">
        <v>3807</v>
      </c>
      <c r="J77" s="19" t="s">
        <v>3503</v>
      </c>
      <c r="K77" s="19" t="s">
        <v>3504</v>
      </c>
      <c r="L77" s="19" t="s">
        <v>3556</v>
      </c>
      <c r="M77" s="21"/>
      <c r="N77" s="19" t="s">
        <v>3569</v>
      </c>
      <c r="O77" s="19" t="s">
        <v>3507</v>
      </c>
      <c r="P77" s="19" t="s">
        <v>3508</v>
      </c>
      <c r="Q77" s="21"/>
      <c r="R77" s="19" t="s">
        <v>3509</v>
      </c>
      <c r="S77" s="19" t="s">
        <v>3510</v>
      </c>
      <c r="T77" s="19" t="s">
        <v>3808</v>
      </c>
      <c r="U77" s="19" t="s">
        <v>3582</v>
      </c>
      <c r="V77" s="19" t="s">
        <v>3513</v>
      </c>
      <c r="W77" s="19" t="s">
        <v>3514</v>
      </c>
      <c r="X77" s="19" t="s">
        <v>3515</v>
      </c>
      <c r="Y77" s="19" t="s">
        <v>3516</v>
      </c>
      <c r="Z77" s="19" t="s">
        <v>3517</v>
      </c>
      <c r="AA77" s="19" t="s">
        <v>3518</v>
      </c>
      <c r="AB77" s="19" t="s">
        <v>3519</v>
      </c>
      <c r="AC77" s="19" t="s">
        <v>3520</v>
      </c>
      <c r="AD77" s="19" t="s">
        <v>3521</v>
      </c>
      <c r="AE77" s="19" t="s">
        <v>3522</v>
      </c>
      <c r="AF77" s="19" t="s">
        <v>3523</v>
      </c>
      <c r="AG77" s="19" t="s">
        <v>3524</v>
      </c>
      <c r="AH77" s="19" t="s">
        <v>3525</v>
      </c>
      <c r="AI77" s="19" t="s">
        <v>3526</v>
      </c>
      <c r="AJ77" s="19" t="s">
        <v>3527</v>
      </c>
      <c r="AK77" s="19" t="s">
        <v>3528</v>
      </c>
      <c r="AL77" s="19" t="s">
        <v>3529</v>
      </c>
      <c r="AM77" s="19" t="s">
        <v>3530</v>
      </c>
      <c r="AN77" s="19" t="s">
        <v>3531</v>
      </c>
      <c r="AO77" s="19" t="s">
        <v>3557</v>
      </c>
      <c r="AP77" s="19" t="s">
        <v>3533</v>
      </c>
      <c r="AQ77" s="19" t="s">
        <v>3534</v>
      </c>
      <c r="AR77" s="19" t="s">
        <v>3535</v>
      </c>
      <c r="AS77" s="19" t="s">
        <v>3536</v>
      </c>
      <c r="AT77" s="19" t="s">
        <v>3537</v>
      </c>
      <c r="AU77" s="19" t="s">
        <v>6</v>
      </c>
      <c r="AV77" s="19" t="s">
        <v>3538</v>
      </c>
      <c r="AW77" s="19" t="s">
        <v>3539</v>
      </c>
      <c r="AX77" s="19" t="s">
        <v>3540</v>
      </c>
      <c r="AY77" s="19" t="s">
        <v>3541</v>
      </c>
      <c r="AZ77" s="19" t="s">
        <v>3542</v>
      </c>
      <c r="BA77" s="19" t="s">
        <v>3543</v>
      </c>
      <c r="BB77" s="19" t="s">
        <v>3544</v>
      </c>
      <c r="BC77" s="23"/>
    </row>
    <row r="78" ht="22.5" customHeight="1">
      <c r="A78" s="11">
        <v>46181.80970236111</v>
      </c>
      <c r="B78" s="12" t="s">
        <v>2281</v>
      </c>
      <c r="C78" s="13">
        <v>39.0</v>
      </c>
      <c r="D78" s="14" t="s">
        <v>3809</v>
      </c>
      <c r="E78" s="15">
        <f t="shared" si="1"/>
        <v>44</v>
      </c>
      <c r="F78" s="12" t="s">
        <v>3810</v>
      </c>
      <c r="G78" s="12" t="s">
        <v>2282</v>
      </c>
      <c r="H78" s="12" t="s">
        <v>2281</v>
      </c>
      <c r="I78" s="15">
        <v>9.327873592E9</v>
      </c>
      <c r="J78" s="12" t="s">
        <v>3547</v>
      </c>
      <c r="K78" s="12" t="s">
        <v>3504</v>
      </c>
      <c r="L78" s="12" t="s">
        <v>3556</v>
      </c>
      <c r="M78" s="16"/>
      <c r="N78" s="12" t="s">
        <v>3569</v>
      </c>
      <c r="O78" s="12" t="s">
        <v>3507</v>
      </c>
      <c r="P78" s="12" t="s">
        <v>3508</v>
      </c>
      <c r="Q78" s="16"/>
      <c r="R78" s="12" t="s">
        <v>3509</v>
      </c>
      <c r="S78" s="12" t="s">
        <v>3510</v>
      </c>
      <c r="T78" s="12" t="s">
        <v>3549</v>
      </c>
      <c r="U78" s="12" t="s">
        <v>3512</v>
      </c>
      <c r="V78" s="12" t="s">
        <v>3513</v>
      </c>
      <c r="W78" s="12" t="s">
        <v>3514</v>
      </c>
      <c r="X78" s="12" t="s">
        <v>3515</v>
      </c>
      <c r="Y78" s="12" t="s">
        <v>3516</v>
      </c>
      <c r="Z78" s="12" t="s">
        <v>3517</v>
      </c>
      <c r="AA78" s="12" t="s">
        <v>3518</v>
      </c>
      <c r="AB78" s="12" t="s">
        <v>3519</v>
      </c>
      <c r="AC78" s="12" t="s">
        <v>3520</v>
      </c>
      <c r="AD78" s="12" t="s">
        <v>3521</v>
      </c>
      <c r="AE78" s="12" t="s">
        <v>3522</v>
      </c>
      <c r="AF78" s="12" t="s">
        <v>3523</v>
      </c>
      <c r="AG78" s="12" t="s">
        <v>3524</v>
      </c>
      <c r="AH78" s="12" t="s">
        <v>3525</v>
      </c>
      <c r="AI78" s="12" t="s">
        <v>3526</v>
      </c>
      <c r="AJ78" s="12" t="s">
        <v>3527</v>
      </c>
      <c r="AK78" s="12" t="s">
        <v>3528</v>
      </c>
      <c r="AL78" s="12" t="s">
        <v>3529</v>
      </c>
      <c r="AM78" s="12" t="s">
        <v>3530</v>
      </c>
      <c r="AN78" s="12" t="s">
        <v>3531</v>
      </c>
      <c r="AO78" s="12" t="s">
        <v>3557</v>
      </c>
      <c r="AP78" s="12" t="s">
        <v>3533</v>
      </c>
      <c r="AQ78" s="12" t="s">
        <v>3534</v>
      </c>
      <c r="AR78" s="12" t="s">
        <v>3535</v>
      </c>
      <c r="AS78" s="12" t="s">
        <v>3536</v>
      </c>
      <c r="AT78" s="12" t="s">
        <v>3537</v>
      </c>
      <c r="AU78" s="12" t="s">
        <v>6</v>
      </c>
      <c r="AV78" s="12" t="s">
        <v>3538</v>
      </c>
      <c r="AW78" s="12" t="s">
        <v>3558</v>
      </c>
      <c r="AX78" s="12" t="s">
        <v>3540</v>
      </c>
      <c r="AY78" s="12" t="s">
        <v>3541</v>
      </c>
      <c r="AZ78" s="12" t="s">
        <v>3542</v>
      </c>
      <c r="BA78" s="12" t="s">
        <v>3543</v>
      </c>
      <c r="BB78" s="12" t="s">
        <v>3544</v>
      </c>
      <c r="BC78" s="17"/>
    </row>
    <row r="79" ht="22.5" customHeight="1">
      <c r="A79" s="18">
        <v>46181.81341268518</v>
      </c>
      <c r="B79" s="19" t="s">
        <v>1021</v>
      </c>
      <c r="C79" s="20">
        <v>35.0</v>
      </c>
      <c r="D79" s="24" t="s">
        <v>3811</v>
      </c>
      <c r="E79" s="22">
        <f t="shared" si="1"/>
        <v>40</v>
      </c>
      <c r="F79" s="19" t="s">
        <v>3812</v>
      </c>
      <c r="G79" s="19" t="s">
        <v>1022</v>
      </c>
      <c r="H79" s="19" t="s">
        <v>1021</v>
      </c>
      <c r="I79" s="22">
        <v>6.37978426E9</v>
      </c>
      <c r="J79" s="19" t="s">
        <v>3547</v>
      </c>
      <c r="K79" s="19" t="s">
        <v>3504</v>
      </c>
      <c r="L79" s="19" t="s">
        <v>3505</v>
      </c>
      <c r="M79" s="21"/>
      <c r="N79" s="19" t="s">
        <v>3613</v>
      </c>
      <c r="O79" s="19" t="s">
        <v>3507</v>
      </c>
      <c r="P79" s="19" t="s">
        <v>3508</v>
      </c>
      <c r="Q79" s="21"/>
      <c r="R79" s="19" t="s">
        <v>3509</v>
      </c>
      <c r="S79" s="19" t="s">
        <v>3510</v>
      </c>
      <c r="T79" s="19" t="s">
        <v>3549</v>
      </c>
      <c r="U79" s="19" t="s">
        <v>3512</v>
      </c>
      <c r="V79" s="19" t="s">
        <v>3513</v>
      </c>
      <c r="W79" s="19" t="s">
        <v>3514</v>
      </c>
      <c r="X79" s="19" t="s">
        <v>3515</v>
      </c>
      <c r="Y79" s="19" t="s">
        <v>3516</v>
      </c>
      <c r="Z79" s="19" t="s">
        <v>3517</v>
      </c>
      <c r="AA79" s="19" t="s">
        <v>3518</v>
      </c>
      <c r="AB79" s="19" t="s">
        <v>3519</v>
      </c>
      <c r="AC79" s="19" t="s">
        <v>3520</v>
      </c>
      <c r="AD79" s="19" t="s">
        <v>3521</v>
      </c>
      <c r="AE79" s="19" t="s">
        <v>3522</v>
      </c>
      <c r="AF79" s="19" t="s">
        <v>3523</v>
      </c>
      <c r="AG79" s="19" t="s">
        <v>3524</v>
      </c>
      <c r="AH79" s="19" t="s">
        <v>3525</v>
      </c>
      <c r="AI79" s="19" t="s">
        <v>3526</v>
      </c>
      <c r="AJ79" s="19" t="s">
        <v>3527</v>
      </c>
      <c r="AK79" s="19" t="s">
        <v>3528</v>
      </c>
      <c r="AL79" s="19" t="s">
        <v>3529</v>
      </c>
      <c r="AM79" s="19" t="s">
        <v>3530</v>
      </c>
      <c r="AN79" s="19" t="s">
        <v>3531</v>
      </c>
      <c r="AO79" s="19" t="s">
        <v>3557</v>
      </c>
      <c r="AP79" s="19" t="s">
        <v>3533</v>
      </c>
      <c r="AQ79" s="19" t="s">
        <v>3534</v>
      </c>
      <c r="AR79" s="19" t="s">
        <v>3535</v>
      </c>
      <c r="AS79" s="19" t="s">
        <v>3536</v>
      </c>
      <c r="AT79" s="19" t="s">
        <v>3537</v>
      </c>
      <c r="AU79" s="21"/>
      <c r="AV79" s="22">
        <v>4.0</v>
      </c>
      <c r="AW79" s="19" t="s">
        <v>3558</v>
      </c>
      <c r="AX79" s="19" t="s">
        <v>3540</v>
      </c>
      <c r="AY79" s="19" t="s">
        <v>3570</v>
      </c>
      <c r="AZ79" s="19" t="s">
        <v>3542</v>
      </c>
      <c r="BA79" s="19" t="s">
        <v>3543</v>
      </c>
      <c r="BB79" s="19" t="s">
        <v>3544</v>
      </c>
      <c r="BC79" s="23"/>
    </row>
    <row r="80" ht="22.5" customHeight="1">
      <c r="A80" s="11">
        <v>46181.82816197917</v>
      </c>
      <c r="B80" s="12" t="s">
        <v>792</v>
      </c>
      <c r="C80" s="13">
        <v>39.0</v>
      </c>
      <c r="D80" s="14" t="s">
        <v>3813</v>
      </c>
      <c r="E80" s="15">
        <f t="shared" si="1"/>
        <v>44</v>
      </c>
      <c r="F80" s="12" t="s">
        <v>3814</v>
      </c>
      <c r="G80" s="12" t="s">
        <v>3815</v>
      </c>
      <c r="H80" s="12" t="s">
        <v>792</v>
      </c>
      <c r="I80" s="15">
        <v>7.008742104E9</v>
      </c>
      <c r="J80" s="12" t="s">
        <v>3547</v>
      </c>
      <c r="K80" s="12" t="s">
        <v>3504</v>
      </c>
      <c r="L80" s="12" t="s">
        <v>3556</v>
      </c>
      <c r="M80" s="16"/>
      <c r="N80" s="12" t="s">
        <v>3506</v>
      </c>
      <c r="O80" s="12" t="s">
        <v>3507</v>
      </c>
      <c r="P80" s="12" t="s">
        <v>3508</v>
      </c>
      <c r="Q80" s="16"/>
      <c r="R80" s="12" t="s">
        <v>3509</v>
      </c>
      <c r="S80" s="12" t="s">
        <v>3510</v>
      </c>
      <c r="T80" s="12" t="s">
        <v>3549</v>
      </c>
      <c r="U80" s="12" t="s">
        <v>3550</v>
      </c>
      <c r="V80" s="12" t="s">
        <v>3513</v>
      </c>
      <c r="W80" s="12" t="s">
        <v>3514</v>
      </c>
      <c r="X80" s="12" t="s">
        <v>3515</v>
      </c>
      <c r="Y80" s="12" t="s">
        <v>3516</v>
      </c>
      <c r="Z80" s="12" t="s">
        <v>3517</v>
      </c>
      <c r="AA80" s="12" t="s">
        <v>3518</v>
      </c>
      <c r="AB80" s="12" t="s">
        <v>3519</v>
      </c>
      <c r="AC80" s="12" t="s">
        <v>3520</v>
      </c>
      <c r="AD80" s="12" t="s">
        <v>3521</v>
      </c>
      <c r="AE80" s="12" t="s">
        <v>3522</v>
      </c>
      <c r="AF80" s="12" t="s">
        <v>3523</v>
      </c>
      <c r="AG80" s="12" t="s">
        <v>3524</v>
      </c>
      <c r="AH80" s="12" t="s">
        <v>3525</v>
      </c>
      <c r="AI80" s="12" t="s">
        <v>3526</v>
      </c>
      <c r="AJ80" s="12" t="s">
        <v>3527</v>
      </c>
      <c r="AK80" s="12" t="s">
        <v>3528</v>
      </c>
      <c r="AL80" s="12" t="s">
        <v>3529</v>
      </c>
      <c r="AM80" s="12" t="s">
        <v>3530</v>
      </c>
      <c r="AN80" s="12" t="s">
        <v>3531</v>
      </c>
      <c r="AO80" s="12" t="s">
        <v>3551</v>
      </c>
      <c r="AP80" s="12" t="s">
        <v>3533</v>
      </c>
      <c r="AQ80" s="12" t="s">
        <v>3534</v>
      </c>
      <c r="AR80" s="12" t="s">
        <v>3535</v>
      </c>
      <c r="AS80" s="12" t="s">
        <v>3536</v>
      </c>
      <c r="AT80" s="12" t="s">
        <v>3562</v>
      </c>
      <c r="AU80" s="12" t="s">
        <v>6</v>
      </c>
      <c r="AV80" s="12" t="s">
        <v>3538</v>
      </c>
      <c r="AW80" s="12" t="s">
        <v>3558</v>
      </c>
      <c r="AX80" s="12" t="s">
        <v>3540</v>
      </c>
      <c r="AY80" s="12" t="s">
        <v>3541</v>
      </c>
      <c r="AZ80" s="12" t="s">
        <v>3542</v>
      </c>
      <c r="BA80" s="12" t="s">
        <v>3543</v>
      </c>
      <c r="BB80" s="12" t="s">
        <v>3544</v>
      </c>
      <c r="BC80" s="17"/>
    </row>
    <row r="81" ht="22.5" customHeight="1">
      <c r="A81" s="18">
        <v>46181.84183730324</v>
      </c>
      <c r="B81" s="19" t="s">
        <v>2836</v>
      </c>
      <c r="C81" s="20">
        <v>41.0</v>
      </c>
      <c r="D81" s="24" t="s">
        <v>3816</v>
      </c>
      <c r="E81" s="22">
        <f t="shared" si="1"/>
        <v>46</v>
      </c>
      <c r="F81" s="19" t="s">
        <v>3817</v>
      </c>
      <c r="G81" s="19" t="s">
        <v>3818</v>
      </c>
      <c r="H81" s="19" t="s">
        <v>2836</v>
      </c>
      <c r="I81" s="22">
        <v>9.511924441E9</v>
      </c>
      <c r="J81" s="19" t="s">
        <v>3547</v>
      </c>
      <c r="K81" s="19" t="s">
        <v>3504</v>
      </c>
      <c r="L81" s="19" t="s">
        <v>3556</v>
      </c>
      <c r="M81" s="21"/>
      <c r="N81" s="19" t="s">
        <v>3506</v>
      </c>
      <c r="O81" s="19" t="s">
        <v>3507</v>
      </c>
      <c r="P81" s="19" t="s">
        <v>3508</v>
      </c>
      <c r="Q81" s="21"/>
      <c r="R81" s="19" t="s">
        <v>3509</v>
      </c>
      <c r="S81" s="19" t="s">
        <v>3510</v>
      </c>
      <c r="T81" s="19" t="s">
        <v>3549</v>
      </c>
      <c r="U81" s="19" t="s">
        <v>3550</v>
      </c>
      <c r="V81" s="19" t="s">
        <v>3513</v>
      </c>
      <c r="W81" s="19" t="s">
        <v>3514</v>
      </c>
      <c r="X81" s="19" t="s">
        <v>3515</v>
      </c>
      <c r="Y81" s="19" t="s">
        <v>3516</v>
      </c>
      <c r="Z81" s="19" t="s">
        <v>3517</v>
      </c>
      <c r="AA81" s="19" t="s">
        <v>3518</v>
      </c>
      <c r="AB81" s="19" t="s">
        <v>3519</v>
      </c>
      <c r="AC81" s="19" t="s">
        <v>3520</v>
      </c>
      <c r="AD81" s="19" t="s">
        <v>3521</v>
      </c>
      <c r="AE81" s="19" t="s">
        <v>3522</v>
      </c>
      <c r="AF81" s="19" t="s">
        <v>3523</v>
      </c>
      <c r="AG81" s="19" t="s">
        <v>3524</v>
      </c>
      <c r="AH81" s="19" t="s">
        <v>3525</v>
      </c>
      <c r="AI81" s="19" t="s">
        <v>3526</v>
      </c>
      <c r="AJ81" s="19" t="s">
        <v>3527</v>
      </c>
      <c r="AK81" s="19" t="s">
        <v>3528</v>
      </c>
      <c r="AL81" s="19" t="s">
        <v>3529</v>
      </c>
      <c r="AM81" s="19" t="s">
        <v>3530</v>
      </c>
      <c r="AN81" s="19" t="s">
        <v>3531</v>
      </c>
      <c r="AO81" s="19" t="s">
        <v>3557</v>
      </c>
      <c r="AP81" s="19" t="s">
        <v>3533</v>
      </c>
      <c r="AQ81" s="19" t="s">
        <v>3534</v>
      </c>
      <c r="AR81" s="19" t="s">
        <v>3535</v>
      </c>
      <c r="AS81" s="19" t="s">
        <v>3536</v>
      </c>
      <c r="AT81" s="19" t="s">
        <v>3537</v>
      </c>
      <c r="AU81" s="19" t="s">
        <v>6</v>
      </c>
      <c r="AV81" s="19" t="s">
        <v>3538</v>
      </c>
      <c r="AW81" s="19" t="s">
        <v>3558</v>
      </c>
      <c r="AX81" s="19" t="s">
        <v>3540</v>
      </c>
      <c r="AY81" s="19" t="s">
        <v>3541</v>
      </c>
      <c r="AZ81" s="19" t="s">
        <v>3542</v>
      </c>
      <c r="BA81" s="19" t="s">
        <v>3543</v>
      </c>
      <c r="BB81" s="19" t="s">
        <v>3544</v>
      </c>
      <c r="BC81" s="23"/>
    </row>
    <row r="82" ht="22.5" customHeight="1">
      <c r="A82" s="11">
        <v>46181.848174872684</v>
      </c>
      <c r="B82" s="12" t="s">
        <v>442</v>
      </c>
      <c r="C82" s="13">
        <v>39.0</v>
      </c>
      <c r="D82" s="14" t="s">
        <v>3819</v>
      </c>
      <c r="E82" s="15">
        <f t="shared" si="1"/>
        <v>44</v>
      </c>
      <c r="F82" s="12" t="s">
        <v>3820</v>
      </c>
      <c r="G82" s="12" t="s">
        <v>2756</v>
      </c>
      <c r="H82" s="12" t="s">
        <v>442</v>
      </c>
      <c r="I82" s="15">
        <v>8.865900019E9</v>
      </c>
      <c r="J82" s="12" t="s">
        <v>3547</v>
      </c>
      <c r="K82" s="12" t="s">
        <v>3504</v>
      </c>
      <c r="L82" s="12" t="s">
        <v>3556</v>
      </c>
      <c r="M82" s="16"/>
      <c r="N82" s="12" t="s">
        <v>3613</v>
      </c>
      <c r="O82" s="12" t="s">
        <v>3507</v>
      </c>
      <c r="P82" s="12" t="s">
        <v>3508</v>
      </c>
      <c r="Q82" s="16"/>
      <c r="R82" s="12" t="s">
        <v>3509</v>
      </c>
      <c r="S82" s="12" t="s">
        <v>3510</v>
      </c>
      <c r="T82" s="12" t="s">
        <v>3549</v>
      </c>
      <c r="U82" s="12" t="s">
        <v>3512</v>
      </c>
      <c r="V82" s="12" t="s">
        <v>3513</v>
      </c>
      <c r="W82" s="12" t="s">
        <v>3514</v>
      </c>
      <c r="X82" s="12" t="s">
        <v>3515</v>
      </c>
      <c r="Y82" s="12" t="s">
        <v>3516</v>
      </c>
      <c r="Z82" s="12" t="s">
        <v>3517</v>
      </c>
      <c r="AA82" s="12" t="s">
        <v>3518</v>
      </c>
      <c r="AB82" s="12" t="s">
        <v>3519</v>
      </c>
      <c r="AC82" s="12" t="s">
        <v>3520</v>
      </c>
      <c r="AD82" s="12" t="s">
        <v>3521</v>
      </c>
      <c r="AE82" s="12" t="s">
        <v>3522</v>
      </c>
      <c r="AF82" s="12" t="s">
        <v>3523</v>
      </c>
      <c r="AG82" s="12" t="s">
        <v>3524</v>
      </c>
      <c r="AH82" s="12" t="s">
        <v>3525</v>
      </c>
      <c r="AI82" s="12" t="s">
        <v>3526</v>
      </c>
      <c r="AJ82" s="12" t="s">
        <v>3527</v>
      </c>
      <c r="AK82" s="12" t="s">
        <v>3528</v>
      </c>
      <c r="AL82" s="12" t="s">
        <v>3529</v>
      </c>
      <c r="AM82" s="12" t="s">
        <v>3530</v>
      </c>
      <c r="AN82" s="12" t="s">
        <v>3531</v>
      </c>
      <c r="AO82" s="12" t="s">
        <v>3557</v>
      </c>
      <c r="AP82" s="12" t="s">
        <v>3533</v>
      </c>
      <c r="AQ82" s="12" t="s">
        <v>3534</v>
      </c>
      <c r="AR82" s="12" t="s">
        <v>3535</v>
      </c>
      <c r="AS82" s="12" t="s">
        <v>3536</v>
      </c>
      <c r="AT82" s="12" t="s">
        <v>3537</v>
      </c>
      <c r="AU82" s="12" t="s">
        <v>6</v>
      </c>
      <c r="AV82" s="12" t="s">
        <v>3538</v>
      </c>
      <c r="AW82" s="12" t="s">
        <v>3558</v>
      </c>
      <c r="AX82" s="12" t="s">
        <v>3540</v>
      </c>
      <c r="AY82" s="12" t="s">
        <v>3541</v>
      </c>
      <c r="AZ82" s="12" t="s">
        <v>3542</v>
      </c>
      <c r="BA82" s="12" t="s">
        <v>3543</v>
      </c>
      <c r="BB82" s="12" t="s">
        <v>3544</v>
      </c>
      <c r="BC82" s="17"/>
    </row>
    <row r="83" ht="22.5" customHeight="1">
      <c r="A83" s="18">
        <v>46181.86666409722</v>
      </c>
      <c r="B83" s="19" t="s">
        <v>1681</v>
      </c>
      <c r="C83" s="20">
        <v>20.0</v>
      </c>
      <c r="D83" s="21"/>
      <c r="E83" s="22">
        <f t="shared" si="1"/>
        <v>20</v>
      </c>
      <c r="F83" s="19" t="s">
        <v>3821</v>
      </c>
      <c r="G83" s="19" t="s">
        <v>3822</v>
      </c>
      <c r="H83" s="19" t="s">
        <v>1681</v>
      </c>
      <c r="I83" s="22">
        <v>8.019072299E9</v>
      </c>
      <c r="J83" s="19" t="s">
        <v>3503</v>
      </c>
      <c r="K83" s="19" t="s">
        <v>3504</v>
      </c>
      <c r="L83" s="19" t="s">
        <v>3505</v>
      </c>
      <c r="M83" s="21"/>
      <c r="N83" s="19" t="s">
        <v>3506</v>
      </c>
      <c r="O83" s="19" t="s">
        <v>3507</v>
      </c>
      <c r="P83" s="19" t="s">
        <v>3508</v>
      </c>
      <c r="Q83" s="21"/>
      <c r="R83" s="19" t="s">
        <v>3509</v>
      </c>
      <c r="S83" s="19" t="s">
        <v>3510</v>
      </c>
      <c r="T83" s="19" t="s">
        <v>3549</v>
      </c>
      <c r="U83" s="19" t="s">
        <v>3550</v>
      </c>
      <c r="V83" s="19" t="s">
        <v>3513</v>
      </c>
      <c r="W83" s="19" t="s">
        <v>3514</v>
      </c>
      <c r="X83" s="19" t="s">
        <v>3740</v>
      </c>
      <c r="Y83" s="19" t="s">
        <v>3516</v>
      </c>
      <c r="Z83" s="19" t="s">
        <v>3517</v>
      </c>
      <c r="AA83" s="19" t="s">
        <v>3518</v>
      </c>
      <c r="AB83" s="19" t="s">
        <v>3519</v>
      </c>
      <c r="AC83" s="19" t="s">
        <v>3520</v>
      </c>
      <c r="AD83" s="19" t="s">
        <v>3521</v>
      </c>
      <c r="AE83" s="19" t="s">
        <v>3522</v>
      </c>
      <c r="AF83" s="19" t="s">
        <v>3594</v>
      </c>
      <c r="AG83" s="19" t="s">
        <v>3524</v>
      </c>
      <c r="AH83" s="19" t="s">
        <v>3525</v>
      </c>
      <c r="AI83" s="19" t="s">
        <v>3526</v>
      </c>
      <c r="AJ83" s="19" t="s">
        <v>3527</v>
      </c>
      <c r="AK83" s="21"/>
      <c r="AL83" s="21"/>
      <c r="AM83" s="21"/>
      <c r="AN83" s="21"/>
      <c r="AO83" s="21"/>
      <c r="AP83" s="21"/>
      <c r="AQ83" s="21"/>
      <c r="AR83" s="21"/>
      <c r="AS83" s="21"/>
      <c r="AT83" s="21"/>
      <c r="AU83" s="21"/>
      <c r="AV83" s="21"/>
      <c r="AW83" s="21"/>
      <c r="AX83" s="21"/>
      <c r="AY83" s="21"/>
      <c r="AZ83" s="21"/>
      <c r="BA83" s="21"/>
      <c r="BB83" s="21"/>
      <c r="BC83" s="23"/>
    </row>
    <row r="84" ht="22.5" customHeight="1">
      <c r="A84" s="11">
        <v>46181.87709081019</v>
      </c>
      <c r="B84" s="12" t="s">
        <v>1615</v>
      </c>
      <c r="C84" s="13">
        <v>27.0</v>
      </c>
      <c r="D84" s="14" t="s">
        <v>3823</v>
      </c>
      <c r="E84" s="15">
        <f t="shared" si="1"/>
        <v>32</v>
      </c>
      <c r="F84" s="12" t="s">
        <v>3824</v>
      </c>
      <c r="G84" s="12" t="s">
        <v>3825</v>
      </c>
      <c r="H84" s="12" t="s">
        <v>1615</v>
      </c>
      <c r="I84" s="12" t="s">
        <v>1617</v>
      </c>
      <c r="J84" s="12" t="s">
        <v>3503</v>
      </c>
      <c r="K84" s="12" t="s">
        <v>3504</v>
      </c>
      <c r="L84" s="12" t="s">
        <v>3771</v>
      </c>
      <c r="M84" s="16"/>
      <c r="N84" s="12" t="s">
        <v>3506</v>
      </c>
      <c r="O84" s="12" t="s">
        <v>3507</v>
      </c>
      <c r="P84" s="12" t="s">
        <v>3508</v>
      </c>
      <c r="Q84" s="16"/>
      <c r="R84" s="12" t="s">
        <v>3509</v>
      </c>
      <c r="S84" s="12" t="s">
        <v>3510</v>
      </c>
      <c r="T84" s="12" t="s">
        <v>3549</v>
      </c>
      <c r="U84" s="12" t="s">
        <v>3550</v>
      </c>
      <c r="V84" s="12" t="s">
        <v>3593</v>
      </c>
      <c r="W84" s="12" t="s">
        <v>3514</v>
      </c>
      <c r="X84" s="12" t="s">
        <v>3515</v>
      </c>
      <c r="Y84" s="12" t="s">
        <v>3516</v>
      </c>
      <c r="Z84" s="12" t="s">
        <v>3517</v>
      </c>
      <c r="AA84" s="12" t="s">
        <v>3518</v>
      </c>
      <c r="AB84" s="12" t="s">
        <v>3519</v>
      </c>
      <c r="AC84" s="12" t="s">
        <v>3520</v>
      </c>
      <c r="AD84" s="12" t="s">
        <v>3521</v>
      </c>
      <c r="AE84" s="12" t="s">
        <v>3522</v>
      </c>
      <c r="AF84" s="12" t="s">
        <v>3523</v>
      </c>
      <c r="AG84" s="12" t="s">
        <v>3524</v>
      </c>
      <c r="AH84" s="12" t="s">
        <v>3600</v>
      </c>
      <c r="AI84" s="12" t="s">
        <v>3526</v>
      </c>
      <c r="AJ84" s="12" t="s">
        <v>3527</v>
      </c>
      <c r="AK84" s="16"/>
      <c r="AL84" s="16"/>
      <c r="AM84" s="16"/>
      <c r="AN84" s="16"/>
      <c r="AO84" s="16"/>
      <c r="AP84" s="12" t="s">
        <v>3533</v>
      </c>
      <c r="AQ84" s="16"/>
      <c r="AR84" s="12" t="s">
        <v>3535</v>
      </c>
      <c r="AS84" s="12" t="s">
        <v>3536</v>
      </c>
      <c r="AT84" s="12" t="s">
        <v>3562</v>
      </c>
      <c r="AU84" s="12" t="s">
        <v>6</v>
      </c>
      <c r="AV84" s="12" t="s">
        <v>3538</v>
      </c>
      <c r="AW84" s="16"/>
      <c r="AX84" s="16"/>
      <c r="AY84" s="16"/>
      <c r="AZ84" s="12" t="s">
        <v>3542</v>
      </c>
      <c r="BA84" s="12" t="s">
        <v>3543</v>
      </c>
      <c r="BB84" s="16"/>
      <c r="BC84" s="17"/>
    </row>
    <row r="85" ht="22.5" customHeight="1">
      <c r="A85" s="18">
        <v>46181.88534175926</v>
      </c>
      <c r="B85" s="19" t="s">
        <v>3826</v>
      </c>
      <c r="C85" s="20">
        <v>41.0</v>
      </c>
      <c r="D85" s="21"/>
      <c r="E85" s="22">
        <f t="shared" si="1"/>
        <v>41</v>
      </c>
      <c r="F85" s="19" t="s">
        <v>3827</v>
      </c>
      <c r="G85" s="19" t="s">
        <v>152</v>
      </c>
      <c r="H85" s="19" t="s">
        <v>151</v>
      </c>
      <c r="I85" s="22">
        <v>9.049571315E9</v>
      </c>
      <c r="J85" s="19" t="s">
        <v>3547</v>
      </c>
      <c r="K85" s="19" t="s">
        <v>3504</v>
      </c>
      <c r="L85" s="19" t="s">
        <v>3556</v>
      </c>
      <c r="M85" s="21"/>
      <c r="N85" s="19" t="s">
        <v>3506</v>
      </c>
      <c r="O85" s="19" t="s">
        <v>3507</v>
      </c>
      <c r="P85" s="19" t="s">
        <v>3508</v>
      </c>
      <c r="Q85" s="21"/>
      <c r="R85" s="19" t="s">
        <v>3509</v>
      </c>
      <c r="S85" s="19" t="s">
        <v>3510</v>
      </c>
      <c r="T85" s="19" t="s">
        <v>3549</v>
      </c>
      <c r="U85" s="19" t="s">
        <v>3512</v>
      </c>
      <c r="V85" s="19" t="s">
        <v>3513</v>
      </c>
      <c r="W85" s="19" t="s">
        <v>3514</v>
      </c>
      <c r="X85" s="19" t="s">
        <v>3515</v>
      </c>
      <c r="Y85" s="19" t="s">
        <v>3516</v>
      </c>
      <c r="Z85" s="19" t="s">
        <v>3517</v>
      </c>
      <c r="AA85" s="19" t="s">
        <v>3518</v>
      </c>
      <c r="AB85" s="19" t="s">
        <v>3519</v>
      </c>
      <c r="AC85" s="19" t="s">
        <v>3520</v>
      </c>
      <c r="AD85" s="19" t="s">
        <v>3521</v>
      </c>
      <c r="AE85" s="19" t="s">
        <v>3522</v>
      </c>
      <c r="AF85" s="19" t="s">
        <v>3523</v>
      </c>
      <c r="AG85" s="19" t="s">
        <v>3524</v>
      </c>
      <c r="AH85" s="19" t="s">
        <v>3525</v>
      </c>
      <c r="AI85" s="19" t="s">
        <v>3526</v>
      </c>
      <c r="AJ85" s="19" t="s">
        <v>3527</v>
      </c>
      <c r="AK85" s="19" t="s">
        <v>3528</v>
      </c>
      <c r="AL85" s="19" t="s">
        <v>3529</v>
      </c>
      <c r="AM85" s="19" t="s">
        <v>3530</v>
      </c>
      <c r="AN85" s="19" t="s">
        <v>3531</v>
      </c>
      <c r="AO85" s="19" t="s">
        <v>3557</v>
      </c>
      <c r="AP85" s="19" t="s">
        <v>3533</v>
      </c>
      <c r="AQ85" s="19" t="s">
        <v>3534</v>
      </c>
      <c r="AR85" s="19" t="s">
        <v>3535</v>
      </c>
      <c r="AS85" s="19" t="s">
        <v>3536</v>
      </c>
      <c r="AT85" s="19" t="s">
        <v>3537</v>
      </c>
      <c r="AU85" s="19" t="s">
        <v>6</v>
      </c>
      <c r="AV85" s="19" t="s">
        <v>3538</v>
      </c>
      <c r="AW85" s="19" t="s">
        <v>3539</v>
      </c>
      <c r="AX85" s="19" t="s">
        <v>3540</v>
      </c>
      <c r="AY85" s="19" t="s">
        <v>3541</v>
      </c>
      <c r="AZ85" s="19" t="s">
        <v>3542</v>
      </c>
      <c r="BA85" s="19" t="s">
        <v>3543</v>
      </c>
      <c r="BB85" s="19" t="s">
        <v>3544</v>
      </c>
      <c r="BC85" s="23"/>
    </row>
    <row r="86" ht="22.5" customHeight="1">
      <c r="A86" s="11">
        <v>46181.88881016204</v>
      </c>
      <c r="B86" s="12" t="s">
        <v>309</v>
      </c>
      <c r="C86" s="13">
        <v>40.0</v>
      </c>
      <c r="D86" s="14" t="s">
        <v>3828</v>
      </c>
      <c r="E86" s="15">
        <f t="shared" si="1"/>
        <v>45</v>
      </c>
      <c r="F86" s="12" t="s">
        <v>3829</v>
      </c>
      <c r="G86" s="12" t="s">
        <v>3830</v>
      </c>
      <c r="H86" s="12" t="s">
        <v>309</v>
      </c>
      <c r="I86" s="15">
        <v>9.366616155E9</v>
      </c>
      <c r="J86" s="12" t="s">
        <v>3547</v>
      </c>
      <c r="K86" s="12" t="s">
        <v>3504</v>
      </c>
      <c r="L86" s="12" t="s">
        <v>3556</v>
      </c>
      <c r="M86" s="16"/>
      <c r="N86" s="12" t="s">
        <v>3506</v>
      </c>
      <c r="O86" s="12" t="s">
        <v>3507</v>
      </c>
      <c r="P86" s="12" t="s">
        <v>3508</v>
      </c>
      <c r="Q86" s="16"/>
      <c r="R86" s="12" t="s">
        <v>3509</v>
      </c>
      <c r="S86" s="12" t="s">
        <v>3510</v>
      </c>
      <c r="T86" s="12" t="s">
        <v>3549</v>
      </c>
      <c r="U86" s="12" t="s">
        <v>3512</v>
      </c>
      <c r="V86" s="12" t="s">
        <v>3513</v>
      </c>
      <c r="W86" s="12" t="s">
        <v>3514</v>
      </c>
      <c r="X86" s="12" t="s">
        <v>3515</v>
      </c>
      <c r="Y86" s="12" t="s">
        <v>3516</v>
      </c>
      <c r="Z86" s="12" t="s">
        <v>3517</v>
      </c>
      <c r="AA86" s="12" t="s">
        <v>3518</v>
      </c>
      <c r="AB86" s="12" t="s">
        <v>3519</v>
      </c>
      <c r="AC86" s="12" t="s">
        <v>3520</v>
      </c>
      <c r="AD86" s="12" t="s">
        <v>3521</v>
      </c>
      <c r="AE86" s="12" t="s">
        <v>3522</v>
      </c>
      <c r="AF86" s="12" t="s">
        <v>3523</v>
      </c>
      <c r="AG86" s="12" t="s">
        <v>3524</v>
      </c>
      <c r="AH86" s="12" t="s">
        <v>3525</v>
      </c>
      <c r="AI86" s="12" t="s">
        <v>3526</v>
      </c>
      <c r="AJ86" s="12" t="s">
        <v>3527</v>
      </c>
      <c r="AK86" s="12" t="s">
        <v>3528</v>
      </c>
      <c r="AL86" s="12" t="s">
        <v>3529</v>
      </c>
      <c r="AM86" s="12" t="s">
        <v>3530</v>
      </c>
      <c r="AN86" s="12" t="s">
        <v>3531</v>
      </c>
      <c r="AO86" s="12" t="s">
        <v>3557</v>
      </c>
      <c r="AP86" s="12" t="s">
        <v>3533</v>
      </c>
      <c r="AQ86" s="12" t="s">
        <v>3534</v>
      </c>
      <c r="AR86" s="12" t="s">
        <v>3535</v>
      </c>
      <c r="AS86" s="12" t="s">
        <v>3536</v>
      </c>
      <c r="AT86" s="12" t="s">
        <v>3537</v>
      </c>
      <c r="AU86" s="12" t="s">
        <v>6</v>
      </c>
      <c r="AV86" s="12" t="s">
        <v>3538</v>
      </c>
      <c r="AW86" s="12" t="s">
        <v>3558</v>
      </c>
      <c r="AX86" s="12" t="s">
        <v>3540</v>
      </c>
      <c r="AY86" s="12" t="s">
        <v>3541</v>
      </c>
      <c r="AZ86" s="12" t="s">
        <v>3542</v>
      </c>
      <c r="BA86" s="12" t="s">
        <v>3543</v>
      </c>
      <c r="BB86" s="12" t="s">
        <v>3544</v>
      </c>
      <c r="BC86" s="17"/>
    </row>
    <row r="87" ht="22.5" customHeight="1">
      <c r="A87" s="18">
        <v>46181.89869553241</v>
      </c>
      <c r="B87" s="19" t="s">
        <v>901</v>
      </c>
      <c r="C87" s="20">
        <v>35.0</v>
      </c>
      <c r="D87" s="21"/>
      <c r="E87" s="22">
        <f t="shared" si="1"/>
        <v>35</v>
      </c>
      <c r="F87" s="19" t="s">
        <v>3831</v>
      </c>
      <c r="G87" s="19" t="s">
        <v>902</v>
      </c>
      <c r="H87" s="19" t="s">
        <v>901</v>
      </c>
      <c r="I87" s="22">
        <v>8.7878954E9</v>
      </c>
      <c r="J87" s="19" t="s">
        <v>3503</v>
      </c>
      <c r="K87" s="19" t="s">
        <v>3504</v>
      </c>
      <c r="L87" s="19" t="s">
        <v>3556</v>
      </c>
      <c r="M87" s="21"/>
      <c r="N87" s="19" t="s">
        <v>3548</v>
      </c>
      <c r="O87" s="19" t="s">
        <v>3507</v>
      </c>
      <c r="P87" s="19" t="s">
        <v>3508</v>
      </c>
      <c r="Q87" s="21"/>
      <c r="R87" s="19" t="s">
        <v>3509</v>
      </c>
      <c r="S87" s="19" t="s">
        <v>3510</v>
      </c>
      <c r="T87" s="19" t="s">
        <v>3549</v>
      </c>
      <c r="U87" s="19" t="s">
        <v>3512</v>
      </c>
      <c r="V87" s="19" t="s">
        <v>3513</v>
      </c>
      <c r="W87" s="19" t="s">
        <v>3514</v>
      </c>
      <c r="X87" s="19" t="s">
        <v>3515</v>
      </c>
      <c r="Y87" s="19" t="s">
        <v>3516</v>
      </c>
      <c r="Z87" s="19" t="s">
        <v>3517</v>
      </c>
      <c r="AA87" s="19" t="s">
        <v>3518</v>
      </c>
      <c r="AB87" s="19" t="s">
        <v>3519</v>
      </c>
      <c r="AC87" s="19" t="s">
        <v>3520</v>
      </c>
      <c r="AD87" s="19" t="s">
        <v>3521</v>
      </c>
      <c r="AE87" s="19" t="s">
        <v>3522</v>
      </c>
      <c r="AF87" s="19" t="s">
        <v>3523</v>
      </c>
      <c r="AG87" s="19" t="s">
        <v>3524</v>
      </c>
      <c r="AH87" s="19" t="s">
        <v>3525</v>
      </c>
      <c r="AI87" s="19" t="s">
        <v>3526</v>
      </c>
      <c r="AJ87" s="19" t="s">
        <v>3527</v>
      </c>
      <c r="AK87" s="19" t="s">
        <v>3528</v>
      </c>
      <c r="AL87" s="19" t="s">
        <v>3590</v>
      </c>
      <c r="AM87" s="19" t="s">
        <v>3750</v>
      </c>
      <c r="AN87" s="19" t="s">
        <v>3531</v>
      </c>
      <c r="AO87" s="19" t="s">
        <v>3557</v>
      </c>
      <c r="AP87" s="19" t="s">
        <v>3533</v>
      </c>
      <c r="AQ87" s="19" t="s">
        <v>3534</v>
      </c>
      <c r="AR87" s="19" t="s">
        <v>3535</v>
      </c>
      <c r="AS87" s="19" t="s">
        <v>3536</v>
      </c>
      <c r="AT87" s="19" t="s">
        <v>3537</v>
      </c>
      <c r="AU87" s="19" t="s">
        <v>6</v>
      </c>
      <c r="AV87" s="19" t="s">
        <v>3538</v>
      </c>
      <c r="AW87" s="19" t="s">
        <v>3558</v>
      </c>
      <c r="AX87" s="19" t="s">
        <v>3540</v>
      </c>
      <c r="AY87" s="19" t="s">
        <v>3541</v>
      </c>
      <c r="AZ87" s="19" t="s">
        <v>3542</v>
      </c>
      <c r="BA87" s="19" t="s">
        <v>3543</v>
      </c>
      <c r="BB87" s="19" t="s">
        <v>3832</v>
      </c>
      <c r="BC87" s="23"/>
    </row>
    <row r="88" ht="22.5" customHeight="1">
      <c r="A88" s="11">
        <v>46181.91373809028</v>
      </c>
      <c r="B88" s="12" t="s">
        <v>2809</v>
      </c>
      <c r="C88" s="13">
        <v>37.0</v>
      </c>
      <c r="D88" s="14" t="s">
        <v>3833</v>
      </c>
      <c r="E88" s="15">
        <f t="shared" si="1"/>
        <v>42</v>
      </c>
      <c r="F88" s="12" t="s">
        <v>3834</v>
      </c>
      <c r="G88" s="12" t="s">
        <v>2810</v>
      </c>
      <c r="H88" s="12" t="s">
        <v>2809</v>
      </c>
      <c r="I88" s="15">
        <v>9.686946343E9</v>
      </c>
      <c r="J88" s="12" t="s">
        <v>3547</v>
      </c>
      <c r="K88" s="12" t="s">
        <v>3504</v>
      </c>
      <c r="L88" s="12" t="s">
        <v>3556</v>
      </c>
      <c r="M88" s="16"/>
      <c r="N88" s="12" t="s">
        <v>3613</v>
      </c>
      <c r="O88" s="12" t="s">
        <v>3507</v>
      </c>
      <c r="P88" s="12" t="s">
        <v>3508</v>
      </c>
      <c r="Q88" s="16"/>
      <c r="R88" s="12" t="s">
        <v>3509</v>
      </c>
      <c r="S88" s="12" t="s">
        <v>3510</v>
      </c>
      <c r="T88" s="12" t="s">
        <v>3511</v>
      </c>
      <c r="U88" s="12" t="s">
        <v>3512</v>
      </c>
      <c r="V88" s="12" t="s">
        <v>3513</v>
      </c>
      <c r="W88" s="12" t="s">
        <v>3514</v>
      </c>
      <c r="X88" s="12" t="s">
        <v>3515</v>
      </c>
      <c r="Y88" s="12" t="s">
        <v>3516</v>
      </c>
      <c r="Z88" s="12" t="s">
        <v>3517</v>
      </c>
      <c r="AA88" s="12" t="s">
        <v>3518</v>
      </c>
      <c r="AB88" s="12" t="s">
        <v>3519</v>
      </c>
      <c r="AC88" s="12" t="s">
        <v>3520</v>
      </c>
      <c r="AD88" s="12" t="s">
        <v>3521</v>
      </c>
      <c r="AE88" s="12" t="s">
        <v>3522</v>
      </c>
      <c r="AF88" s="12" t="s">
        <v>3523</v>
      </c>
      <c r="AG88" s="12" t="s">
        <v>3524</v>
      </c>
      <c r="AH88" s="12" t="s">
        <v>3525</v>
      </c>
      <c r="AI88" s="12" t="s">
        <v>3526</v>
      </c>
      <c r="AJ88" s="12" t="s">
        <v>3527</v>
      </c>
      <c r="AK88" s="12" t="s">
        <v>3528</v>
      </c>
      <c r="AL88" s="12" t="s">
        <v>3529</v>
      </c>
      <c r="AM88" s="12" t="s">
        <v>3530</v>
      </c>
      <c r="AN88" s="12" t="s">
        <v>3531</v>
      </c>
      <c r="AO88" s="12" t="s">
        <v>3551</v>
      </c>
      <c r="AP88" s="12" t="s">
        <v>3533</v>
      </c>
      <c r="AQ88" s="12" t="s">
        <v>3534</v>
      </c>
      <c r="AR88" s="12" t="s">
        <v>3535</v>
      </c>
      <c r="AS88" s="12" t="s">
        <v>3536</v>
      </c>
      <c r="AT88" s="12" t="s">
        <v>3537</v>
      </c>
      <c r="AU88" s="12" t="s">
        <v>6</v>
      </c>
      <c r="AV88" s="12" t="s">
        <v>3538</v>
      </c>
      <c r="AW88" s="12" t="s">
        <v>3558</v>
      </c>
      <c r="AX88" s="12" t="s">
        <v>3540</v>
      </c>
      <c r="AY88" s="12" t="s">
        <v>3541</v>
      </c>
      <c r="AZ88" s="12" t="s">
        <v>3542</v>
      </c>
      <c r="BA88" s="12" t="s">
        <v>3543</v>
      </c>
      <c r="BB88" s="12" t="s">
        <v>3544</v>
      </c>
      <c r="BC88" s="17"/>
    </row>
    <row r="89" ht="22.5" customHeight="1">
      <c r="A89" s="18">
        <v>46181.91917576389</v>
      </c>
      <c r="B89" s="19" t="s">
        <v>1131</v>
      </c>
      <c r="C89" s="20">
        <v>30.0</v>
      </c>
      <c r="D89" s="21"/>
      <c r="E89" s="22">
        <f t="shared" si="1"/>
        <v>30</v>
      </c>
      <c r="F89" s="19" t="s">
        <v>3835</v>
      </c>
      <c r="G89" s="19" t="s">
        <v>1132</v>
      </c>
      <c r="H89" s="19" t="s">
        <v>1131</v>
      </c>
      <c r="I89" s="22">
        <v>9.960695219E9</v>
      </c>
      <c r="J89" s="19" t="s">
        <v>3547</v>
      </c>
      <c r="K89" s="19" t="s">
        <v>3504</v>
      </c>
      <c r="L89" s="19" t="s">
        <v>3556</v>
      </c>
      <c r="M89" s="21"/>
      <c r="N89" s="19" t="s">
        <v>3506</v>
      </c>
      <c r="O89" s="19" t="s">
        <v>3507</v>
      </c>
      <c r="P89" s="19" t="s">
        <v>3508</v>
      </c>
      <c r="Q89" s="21"/>
      <c r="R89" s="19" t="s">
        <v>3509</v>
      </c>
      <c r="S89" s="21"/>
      <c r="T89" s="19" t="s">
        <v>3511</v>
      </c>
      <c r="U89" s="19" t="s">
        <v>3550</v>
      </c>
      <c r="V89" s="19" t="s">
        <v>3513</v>
      </c>
      <c r="W89" s="21"/>
      <c r="X89" s="19" t="s">
        <v>3515</v>
      </c>
      <c r="Y89" s="19" t="s">
        <v>3516</v>
      </c>
      <c r="Z89" s="19" t="s">
        <v>3517</v>
      </c>
      <c r="AA89" s="19" t="s">
        <v>3518</v>
      </c>
      <c r="AB89" s="21"/>
      <c r="AC89" s="21"/>
      <c r="AD89" s="21"/>
      <c r="AE89" s="21"/>
      <c r="AF89" s="21"/>
      <c r="AG89" s="21"/>
      <c r="AH89" s="19" t="s">
        <v>3525</v>
      </c>
      <c r="AI89" s="19" t="s">
        <v>3526</v>
      </c>
      <c r="AJ89" s="19" t="s">
        <v>3527</v>
      </c>
      <c r="AK89" s="19" t="s">
        <v>3528</v>
      </c>
      <c r="AL89" s="19" t="s">
        <v>3529</v>
      </c>
      <c r="AM89" s="21"/>
      <c r="AN89" s="19" t="s">
        <v>3531</v>
      </c>
      <c r="AO89" s="19" t="s">
        <v>3557</v>
      </c>
      <c r="AP89" s="19" t="s">
        <v>3533</v>
      </c>
      <c r="AQ89" s="21"/>
      <c r="AR89" s="19" t="s">
        <v>3535</v>
      </c>
      <c r="AS89" s="19" t="s">
        <v>3536</v>
      </c>
      <c r="AT89" s="19" t="s">
        <v>3537</v>
      </c>
      <c r="AU89" s="19" t="s">
        <v>6</v>
      </c>
      <c r="AV89" s="19" t="s">
        <v>3538</v>
      </c>
      <c r="AW89" s="19" t="s">
        <v>3539</v>
      </c>
      <c r="AX89" s="21"/>
      <c r="AY89" s="19" t="s">
        <v>3541</v>
      </c>
      <c r="AZ89" s="19" t="s">
        <v>3542</v>
      </c>
      <c r="BA89" s="19" t="s">
        <v>3543</v>
      </c>
      <c r="BB89" s="19" t="s">
        <v>3544</v>
      </c>
      <c r="BC89" s="23"/>
    </row>
    <row r="90" ht="22.5" customHeight="1">
      <c r="A90" s="11">
        <v>46181.92243988426</v>
      </c>
      <c r="B90" s="12" t="s">
        <v>3836</v>
      </c>
      <c r="C90" s="13">
        <v>39.0</v>
      </c>
      <c r="D90" s="14" t="s">
        <v>3837</v>
      </c>
      <c r="E90" s="15">
        <f t="shared" si="1"/>
        <v>44</v>
      </c>
      <c r="F90" s="12" t="s">
        <v>3838</v>
      </c>
      <c r="G90" s="12" t="s">
        <v>1529</v>
      </c>
      <c r="H90" s="12" t="s">
        <v>3836</v>
      </c>
      <c r="I90" s="15">
        <v>6.372079493E9</v>
      </c>
      <c r="J90" s="12" t="s">
        <v>3547</v>
      </c>
      <c r="K90" s="12" t="s">
        <v>3504</v>
      </c>
      <c r="L90" s="12" t="s">
        <v>3505</v>
      </c>
      <c r="M90" s="16"/>
      <c r="N90" s="12" t="s">
        <v>3569</v>
      </c>
      <c r="O90" s="12" t="s">
        <v>3507</v>
      </c>
      <c r="P90" s="12" t="s">
        <v>3508</v>
      </c>
      <c r="Q90" s="16"/>
      <c r="R90" s="12" t="s">
        <v>3509</v>
      </c>
      <c r="S90" s="12" t="s">
        <v>3510</v>
      </c>
      <c r="T90" s="12" t="s">
        <v>3549</v>
      </c>
      <c r="U90" s="12" t="s">
        <v>3550</v>
      </c>
      <c r="V90" s="12" t="s">
        <v>3513</v>
      </c>
      <c r="W90" s="12" t="s">
        <v>3514</v>
      </c>
      <c r="X90" s="12" t="s">
        <v>3515</v>
      </c>
      <c r="Y90" s="12" t="s">
        <v>3516</v>
      </c>
      <c r="Z90" s="12" t="s">
        <v>3517</v>
      </c>
      <c r="AA90" s="12" t="s">
        <v>3518</v>
      </c>
      <c r="AB90" s="12" t="s">
        <v>3519</v>
      </c>
      <c r="AC90" s="12" t="s">
        <v>3520</v>
      </c>
      <c r="AD90" s="12" t="s">
        <v>3521</v>
      </c>
      <c r="AE90" s="12" t="s">
        <v>3522</v>
      </c>
      <c r="AF90" s="12" t="s">
        <v>3523</v>
      </c>
      <c r="AG90" s="12" t="s">
        <v>3524</v>
      </c>
      <c r="AH90" s="12" t="s">
        <v>3525</v>
      </c>
      <c r="AI90" s="12" t="s">
        <v>3526</v>
      </c>
      <c r="AJ90" s="12" t="s">
        <v>3527</v>
      </c>
      <c r="AK90" s="12" t="s">
        <v>3528</v>
      </c>
      <c r="AL90" s="12" t="s">
        <v>3529</v>
      </c>
      <c r="AM90" s="12" t="s">
        <v>3530</v>
      </c>
      <c r="AN90" s="12" t="s">
        <v>3531</v>
      </c>
      <c r="AO90" s="12" t="s">
        <v>3557</v>
      </c>
      <c r="AP90" s="12" t="s">
        <v>3533</v>
      </c>
      <c r="AQ90" s="12" t="s">
        <v>3534</v>
      </c>
      <c r="AR90" s="12" t="s">
        <v>3535</v>
      </c>
      <c r="AS90" s="12" t="s">
        <v>3536</v>
      </c>
      <c r="AT90" s="12" t="s">
        <v>3537</v>
      </c>
      <c r="AU90" s="12" t="s">
        <v>6</v>
      </c>
      <c r="AV90" s="12" t="s">
        <v>3538</v>
      </c>
      <c r="AW90" s="12" t="s">
        <v>3539</v>
      </c>
      <c r="AX90" s="12" t="s">
        <v>3540</v>
      </c>
      <c r="AY90" s="12" t="s">
        <v>3541</v>
      </c>
      <c r="AZ90" s="12" t="s">
        <v>3726</v>
      </c>
      <c r="BA90" s="12" t="s">
        <v>3543</v>
      </c>
      <c r="BB90" s="12" t="s">
        <v>3544</v>
      </c>
      <c r="BC90" s="17"/>
    </row>
    <row r="91" ht="22.5" customHeight="1">
      <c r="A91" s="18">
        <v>46181.925941064816</v>
      </c>
      <c r="B91" s="19" t="s">
        <v>3839</v>
      </c>
      <c r="C91" s="20">
        <v>17.0</v>
      </c>
      <c r="D91" s="24" t="s">
        <v>3840</v>
      </c>
      <c r="E91" s="22">
        <f t="shared" si="1"/>
        <v>22</v>
      </c>
      <c r="F91" s="19" t="s">
        <v>3841</v>
      </c>
      <c r="G91" s="19" t="s">
        <v>3842</v>
      </c>
      <c r="H91" s="19" t="s">
        <v>3839</v>
      </c>
      <c r="I91" s="19" t="s">
        <v>3843</v>
      </c>
      <c r="J91" s="21"/>
      <c r="K91" s="21"/>
      <c r="L91" s="21"/>
      <c r="M91" s="21"/>
      <c r="N91" s="19" t="s">
        <v>3506</v>
      </c>
      <c r="O91" s="21"/>
      <c r="P91" s="21"/>
      <c r="Q91" s="21"/>
      <c r="R91" s="21"/>
      <c r="S91" s="21"/>
      <c r="T91" s="21"/>
      <c r="U91" s="21"/>
      <c r="V91" s="21"/>
      <c r="W91" s="21"/>
      <c r="X91" s="21"/>
      <c r="Y91" s="21"/>
      <c r="Z91" s="21"/>
      <c r="AA91" s="21"/>
      <c r="AB91" s="21"/>
      <c r="AC91" s="21"/>
      <c r="AD91" s="21"/>
      <c r="AE91" s="21"/>
      <c r="AF91" s="21"/>
      <c r="AG91" s="21"/>
      <c r="AH91" s="21"/>
      <c r="AI91" s="21"/>
      <c r="AJ91" s="21"/>
      <c r="AK91" s="19" t="s">
        <v>3528</v>
      </c>
      <c r="AL91" s="19" t="s">
        <v>3529</v>
      </c>
      <c r="AM91" s="19" t="s">
        <v>3530</v>
      </c>
      <c r="AN91" s="19" t="s">
        <v>3531</v>
      </c>
      <c r="AO91" s="19" t="s">
        <v>3557</v>
      </c>
      <c r="AP91" s="19" t="s">
        <v>3533</v>
      </c>
      <c r="AQ91" s="19" t="s">
        <v>3616</v>
      </c>
      <c r="AR91" s="19" t="s">
        <v>3535</v>
      </c>
      <c r="AS91" s="19" t="s">
        <v>3536</v>
      </c>
      <c r="AT91" s="19" t="s">
        <v>3562</v>
      </c>
      <c r="AU91" s="19" t="s">
        <v>6</v>
      </c>
      <c r="AV91" s="19" t="s">
        <v>3538</v>
      </c>
      <c r="AW91" s="19" t="s">
        <v>3539</v>
      </c>
      <c r="AX91" s="19" t="s">
        <v>3540</v>
      </c>
      <c r="AY91" s="19" t="s">
        <v>3541</v>
      </c>
      <c r="AZ91" s="19" t="s">
        <v>3542</v>
      </c>
      <c r="BA91" s="19" t="s">
        <v>3543</v>
      </c>
      <c r="BB91" s="19" t="s">
        <v>3544</v>
      </c>
      <c r="BC91" s="23"/>
    </row>
    <row r="92" ht="22.5" customHeight="1">
      <c r="A92" s="11">
        <v>46181.93296006945</v>
      </c>
      <c r="B92" s="12" t="s">
        <v>599</v>
      </c>
      <c r="C92" s="13">
        <v>21.0</v>
      </c>
      <c r="D92" s="14" t="s">
        <v>3844</v>
      </c>
      <c r="E92" s="15">
        <f t="shared" si="1"/>
        <v>26</v>
      </c>
      <c r="F92" s="12" t="s">
        <v>3845</v>
      </c>
      <c r="G92" s="12" t="s">
        <v>600</v>
      </c>
      <c r="H92" s="12" t="s">
        <v>599</v>
      </c>
      <c r="I92" s="15">
        <v>8.972760573E9</v>
      </c>
      <c r="J92" s="12" t="s">
        <v>3547</v>
      </c>
      <c r="K92" s="16"/>
      <c r="L92" s="12" t="s">
        <v>3556</v>
      </c>
      <c r="M92" s="16"/>
      <c r="N92" s="12" t="s">
        <v>3613</v>
      </c>
      <c r="O92" s="16"/>
      <c r="P92" s="12" t="s">
        <v>3508</v>
      </c>
      <c r="Q92" s="16"/>
      <c r="R92" s="16"/>
      <c r="S92" s="16"/>
      <c r="T92" s="12" t="s">
        <v>3549</v>
      </c>
      <c r="U92" s="12" t="s">
        <v>3512</v>
      </c>
      <c r="V92" s="12" t="s">
        <v>3513</v>
      </c>
      <c r="W92" s="16"/>
      <c r="X92" s="12" t="s">
        <v>3515</v>
      </c>
      <c r="Y92" s="16"/>
      <c r="Z92" s="16"/>
      <c r="AA92" s="12" t="s">
        <v>3518</v>
      </c>
      <c r="AB92" s="12" t="s">
        <v>3519</v>
      </c>
      <c r="AC92" s="12" t="s">
        <v>3638</v>
      </c>
      <c r="AD92" s="12" t="s">
        <v>3521</v>
      </c>
      <c r="AE92" s="16"/>
      <c r="AF92" s="16"/>
      <c r="AG92" s="16"/>
      <c r="AH92" s="12" t="s">
        <v>3525</v>
      </c>
      <c r="AI92" s="12" t="s">
        <v>3526</v>
      </c>
      <c r="AJ92" s="12" t="s">
        <v>3527</v>
      </c>
      <c r="AK92" s="12" t="s">
        <v>3684</v>
      </c>
      <c r="AL92" s="12" t="s">
        <v>3590</v>
      </c>
      <c r="AM92" s="12" t="s">
        <v>3530</v>
      </c>
      <c r="AN92" s="12" t="s">
        <v>3531</v>
      </c>
      <c r="AO92" s="16"/>
      <c r="AP92" s="12" t="s">
        <v>3533</v>
      </c>
      <c r="AQ92" s="12" t="s">
        <v>3534</v>
      </c>
      <c r="AR92" s="12" t="s">
        <v>6</v>
      </c>
      <c r="AS92" s="12" t="s">
        <v>3536</v>
      </c>
      <c r="AT92" s="12" t="s">
        <v>3562</v>
      </c>
      <c r="AU92" s="12" t="s">
        <v>6</v>
      </c>
      <c r="AV92" s="12" t="s">
        <v>3538</v>
      </c>
      <c r="AW92" s="16"/>
      <c r="AX92" s="16"/>
      <c r="AY92" s="12" t="s">
        <v>3846</v>
      </c>
      <c r="AZ92" s="12" t="s">
        <v>3542</v>
      </c>
      <c r="BA92" s="12" t="s">
        <v>3579</v>
      </c>
      <c r="BB92" s="12" t="s">
        <v>3544</v>
      </c>
      <c r="BC92" s="17"/>
    </row>
    <row r="93" ht="22.5" customHeight="1">
      <c r="A93" s="18">
        <v>46181.93308420139</v>
      </c>
      <c r="B93" s="19" t="s">
        <v>358</v>
      </c>
      <c r="C93" s="20">
        <v>28.0</v>
      </c>
      <c r="D93" s="24" t="s">
        <v>3828</v>
      </c>
      <c r="E93" s="22">
        <f t="shared" si="1"/>
        <v>33</v>
      </c>
      <c r="F93" s="19" t="s">
        <v>3847</v>
      </c>
      <c r="G93" s="19" t="s">
        <v>359</v>
      </c>
      <c r="H93" s="19" t="s">
        <v>358</v>
      </c>
      <c r="I93" s="22">
        <v>6.39306537E9</v>
      </c>
      <c r="J93" s="19" t="s">
        <v>3547</v>
      </c>
      <c r="K93" s="19" t="s">
        <v>3504</v>
      </c>
      <c r="L93" s="19" t="s">
        <v>3505</v>
      </c>
      <c r="M93" s="21"/>
      <c r="N93" s="19" t="s">
        <v>3506</v>
      </c>
      <c r="O93" s="19" t="s">
        <v>3507</v>
      </c>
      <c r="P93" s="19" t="s">
        <v>3508</v>
      </c>
      <c r="Q93" s="21"/>
      <c r="R93" s="19" t="s">
        <v>3780</v>
      </c>
      <c r="S93" s="19" t="s">
        <v>3510</v>
      </c>
      <c r="T93" s="19" t="s">
        <v>3549</v>
      </c>
      <c r="U93" s="19" t="s">
        <v>3550</v>
      </c>
      <c r="V93" s="19" t="s">
        <v>3513</v>
      </c>
      <c r="W93" s="19" t="s">
        <v>3514</v>
      </c>
      <c r="X93" s="19" t="s">
        <v>3515</v>
      </c>
      <c r="Y93" s="19" t="s">
        <v>3725</v>
      </c>
      <c r="Z93" s="19" t="s">
        <v>3517</v>
      </c>
      <c r="AA93" s="19" t="s">
        <v>3518</v>
      </c>
      <c r="AB93" s="19" t="s">
        <v>3519</v>
      </c>
      <c r="AC93" s="19" t="s">
        <v>3520</v>
      </c>
      <c r="AD93" s="19" t="s">
        <v>3521</v>
      </c>
      <c r="AE93" s="19" t="s">
        <v>3704</v>
      </c>
      <c r="AF93" s="19" t="s">
        <v>3523</v>
      </c>
      <c r="AG93" s="19" t="s">
        <v>3589</v>
      </c>
      <c r="AH93" s="19" t="s">
        <v>3525</v>
      </c>
      <c r="AI93" s="19" t="s">
        <v>3526</v>
      </c>
      <c r="AJ93" s="19" t="s">
        <v>3773</v>
      </c>
      <c r="AK93" s="19" t="s">
        <v>3528</v>
      </c>
      <c r="AL93" s="19" t="s">
        <v>3590</v>
      </c>
      <c r="AM93" s="19" t="s">
        <v>3698</v>
      </c>
      <c r="AN93" s="19" t="s">
        <v>3531</v>
      </c>
      <c r="AO93" s="19" t="s">
        <v>3557</v>
      </c>
      <c r="AP93" s="19" t="s">
        <v>3533</v>
      </c>
      <c r="AQ93" s="19" t="s">
        <v>3848</v>
      </c>
      <c r="AR93" s="19" t="s">
        <v>3753</v>
      </c>
      <c r="AS93" s="19" t="s">
        <v>6</v>
      </c>
      <c r="AT93" s="19" t="s">
        <v>3562</v>
      </c>
      <c r="AU93" s="19" t="s">
        <v>6</v>
      </c>
      <c r="AV93" s="19" t="s">
        <v>6</v>
      </c>
      <c r="AW93" s="19" t="s">
        <v>3539</v>
      </c>
      <c r="AX93" s="19" t="s">
        <v>3694</v>
      </c>
      <c r="AY93" s="19" t="s">
        <v>3541</v>
      </c>
      <c r="AZ93" s="19" t="s">
        <v>3542</v>
      </c>
      <c r="BA93" s="19" t="s">
        <v>3579</v>
      </c>
      <c r="BB93" s="19" t="s">
        <v>3544</v>
      </c>
      <c r="BC93" s="23"/>
    </row>
    <row r="94" ht="22.5" customHeight="1">
      <c r="A94" s="11">
        <v>46181.94561625</v>
      </c>
      <c r="B94" s="12" t="s">
        <v>2167</v>
      </c>
      <c r="C94" s="13">
        <v>33.0</v>
      </c>
      <c r="D94" s="14" t="s">
        <v>3849</v>
      </c>
      <c r="E94" s="15">
        <f t="shared" si="1"/>
        <v>38</v>
      </c>
      <c r="F94" s="12" t="s">
        <v>3850</v>
      </c>
      <c r="G94" s="12" t="s">
        <v>2168</v>
      </c>
      <c r="H94" s="12" t="s">
        <v>2167</v>
      </c>
      <c r="I94" s="15">
        <v>8.948430128E9</v>
      </c>
      <c r="J94" s="12" t="s">
        <v>3503</v>
      </c>
      <c r="K94" s="12" t="s">
        <v>3504</v>
      </c>
      <c r="L94" s="12" t="s">
        <v>3556</v>
      </c>
      <c r="M94" s="16"/>
      <c r="N94" s="12" t="s">
        <v>3569</v>
      </c>
      <c r="O94" s="12" t="s">
        <v>3507</v>
      </c>
      <c r="P94" s="12" t="s">
        <v>3508</v>
      </c>
      <c r="Q94" s="16"/>
      <c r="R94" s="12" t="s">
        <v>3509</v>
      </c>
      <c r="S94" s="12" t="s">
        <v>3510</v>
      </c>
      <c r="T94" s="12" t="s">
        <v>3549</v>
      </c>
      <c r="U94" s="12" t="s">
        <v>3550</v>
      </c>
      <c r="V94" s="12" t="s">
        <v>3599</v>
      </c>
      <c r="W94" s="12" t="s">
        <v>3587</v>
      </c>
      <c r="X94" s="12" t="s">
        <v>3515</v>
      </c>
      <c r="Y94" s="12" t="s">
        <v>3516</v>
      </c>
      <c r="Z94" s="12" t="s">
        <v>3517</v>
      </c>
      <c r="AA94" s="12" t="s">
        <v>3518</v>
      </c>
      <c r="AB94" s="12" t="s">
        <v>3519</v>
      </c>
      <c r="AC94" s="12" t="s">
        <v>3638</v>
      </c>
      <c r="AD94" s="12" t="s">
        <v>3521</v>
      </c>
      <c r="AE94" s="12" t="s">
        <v>3522</v>
      </c>
      <c r="AF94" s="12" t="s">
        <v>3639</v>
      </c>
      <c r="AG94" s="12" t="s">
        <v>3524</v>
      </c>
      <c r="AH94" s="12" t="s">
        <v>3525</v>
      </c>
      <c r="AI94" s="12" t="s">
        <v>3526</v>
      </c>
      <c r="AJ94" s="12" t="s">
        <v>3527</v>
      </c>
      <c r="AK94" s="12" t="s">
        <v>3528</v>
      </c>
      <c r="AL94" s="12" t="s">
        <v>3529</v>
      </c>
      <c r="AM94" s="12" t="s">
        <v>3530</v>
      </c>
      <c r="AN94" s="12" t="s">
        <v>3531</v>
      </c>
      <c r="AO94" s="12" t="s">
        <v>3557</v>
      </c>
      <c r="AP94" s="12" t="s">
        <v>3533</v>
      </c>
      <c r="AQ94" s="12" t="s">
        <v>3534</v>
      </c>
      <c r="AR94" s="12" t="s">
        <v>3535</v>
      </c>
      <c r="AS94" s="12" t="s">
        <v>3536</v>
      </c>
      <c r="AT94" s="12" t="s">
        <v>3562</v>
      </c>
      <c r="AU94" s="12" t="s">
        <v>6</v>
      </c>
      <c r="AV94" s="12" t="s">
        <v>3538</v>
      </c>
      <c r="AW94" s="12" t="s">
        <v>3539</v>
      </c>
      <c r="AX94" s="12" t="s">
        <v>3694</v>
      </c>
      <c r="AY94" s="12" t="s">
        <v>3541</v>
      </c>
      <c r="AZ94" s="12" t="s">
        <v>3542</v>
      </c>
      <c r="BA94" s="12" t="s">
        <v>3579</v>
      </c>
      <c r="BB94" s="12" t="s">
        <v>3544</v>
      </c>
      <c r="BC94" s="17"/>
    </row>
    <row r="95" ht="22.5" customHeight="1">
      <c r="A95" s="18">
        <v>46181.94706226852</v>
      </c>
      <c r="B95" s="19" t="s">
        <v>3851</v>
      </c>
      <c r="C95" s="20">
        <v>39.0</v>
      </c>
      <c r="D95" s="24" t="s">
        <v>3852</v>
      </c>
      <c r="E95" s="22">
        <f t="shared" si="1"/>
        <v>44</v>
      </c>
      <c r="F95" s="19" t="s">
        <v>3853</v>
      </c>
      <c r="G95" s="19" t="s">
        <v>3854</v>
      </c>
      <c r="H95" s="19" t="s">
        <v>162</v>
      </c>
      <c r="I95" s="22">
        <v>7.498063055E9</v>
      </c>
      <c r="J95" s="19" t="s">
        <v>3547</v>
      </c>
      <c r="K95" s="19" t="s">
        <v>3504</v>
      </c>
      <c r="L95" s="19" t="s">
        <v>3556</v>
      </c>
      <c r="M95" s="21"/>
      <c r="N95" s="19" t="s">
        <v>3569</v>
      </c>
      <c r="O95" s="19" t="s">
        <v>3507</v>
      </c>
      <c r="P95" s="19" t="s">
        <v>3508</v>
      </c>
      <c r="Q95" s="21"/>
      <c r="R95" s="19" t="s">
        <v>3509</v>
      </c>
      <c r="S95" s="19" t="s">
        <v>3510</v>
      </c>
      <c r="T95" s="19" t="s">
        <v>3511</v>
      </c>
      <c r="U95" s="19" t="s">
        <v>3550</v>
      </c>
      <c r="V95" s="19" t="s">
        <v>3513</v>
      </c>
      <c r="W95" s="19" t="s">
        <v>3514</v>
      </c>
      <c r="X95" s="19" t="s">
        <v>3740</v>
      </c>
      <c r="Y95" s="19" t="s">
        <v>3516</v>
      </c>
      <c r="Z95" s="19" t="s">
        <v>3517</v>
      </c>
      <c r="AA95" s="19" t="s">
        <v>3518</v>
      </c>
      <c r="AB95" s="19" t="s">
        <v>3519</v>
      </c>
      <c r="AC95" s="19" t="s">
        <v>3520</v>
      </c>
      <c r="AD95" s="19" t="s">
        <v>3521</v>
      </c>
      <c r="AE95" s="19" t="s">
        <v>3522</v>
      </c>
      <c r="AF95" s="19" t="s">
        <v>3523</v>
      </c>
      <c r="AG95" s="19" t="s">
        <v>3524</v>
      </c>
      <c r="AH95" s="19" t="s">
        <v>3525</v>
      </c>
      <c r="AI95" s="19" t="s">
        <v>3526</v>
      </c>
      <c r="AJ95" s="19" t="s">
        <v>3527</v>
      </c>
      <c r="AK95" s="19" t="s">
        <v>3528</v>
      </c>
      <c r="AL95" s="19" t="s">
        <v>3529</v>
      </c>
      <c r="AM95" s="19" t="s">
        <v>3530</v>
      </c>
      <c r="AN95" s="19" t="s">
        <v>3531</v>
      </c>
      <c r="AO95" s="19" t="s">
        <v>3557</v>
      </c>
      <c r="AP95" s="19" t="s">
        <v>3533</v>
      </c>
      <c r="AQ95" s="19" t="s">
        <v>3534</v>
      </c>
      <c r="AR95" s="19" t="s">
        <v>3535</v>
      </c>
      <c r="AS95" s="19" t="s">
        <v>3536</v>
      </c>
      <c r="AT95" s="19" t="s">
        <v>3537</v>
      </c>
      <c r="AU95" s="19" t="s">
        <v>6</v>
      </c>
      <c r="AV95" s="19" t="s">
        <v>3538</v>
      </c>
      <c r="AW95" s="19" t="s">
        <v>3539</v>
      </c>
      <c r="AX95" s="19" t="s">
        <v>3540</v>
      </c>
      <c r="AY95" s="19" t="s">
        <v>3541</v>
      </c>
      <c r="AZ95" s="19" t="s">
        <v>3542</v>
      </c>
      <c r="BA95" s="19" t="s">
        <v>3543</v>
      </c>
      <c r="BB95" s="19" t="s">
        <v>3544</v>
      </c>
      <c r="BC95" s="23"/>
    </row>
    <row r="96" ht="22.5" customHeight="1">
      <c r="A96" s="11">
        <v>46181.9489458912</v>
      </c>
      <c r="B96" s="12" t="s">
        <v>2330</v>
      </c>
      <c r="C96" s="13">
        <v>39.0</v>
      </c>
      <c r="D96" s="16"/>
      <c r="E96" s="15">
        <f t="shared" si="1"/>
        <v>39</v>
      </c>
      <c r="F96" s="12" t="s">
        <v>3855</v>
      </c>
      <c r="G96" s="12" t="s">
        <v>2331</v>
      </c>
      <c r="H96" s="12" t="s">
        <v>2330</v>
      </c>
      <c r="I96" s="15">
        <v>8.349506673E9</v>
      </c>
      <c r="J96" s="12" t="s">
        <v>3547</v>
      </c>
      <c r="K96" s="12" t="s">
        <v>3504</v>
      </c>
      <c r="L96" s="12" t="s">
        <v>3556</v>
      </c>
      <c r="M96" s="16"/>
      <c r="N96" s="12" t="s">
        <v>3506</v>
      </c>
      <c r="O96" s="12" t="s">
        <v>3507</v>
      </c>
      <c r="P96" s="12" t="s">
        <v>3508</v>
      </c>
      <c r="Q96" s="16"/>
      <c r="R96" s="12" t="s">
        <v>3509</v>
      </c>
      <c r="S96" s="12" t="s">
        <v>3510</v>
      </c>
      <c r="T96" s="12" t="s">
        <v>3549</v>
      </c>
      <c r="U96" s="12" t="s">
        <v>3550</v>
      </c>
      <c r="V96" s="12" t="s">
        <v>3513</v>
      </c>
      <c r="W96" s="12" t="s">
        <v>3514</v>
      </c>
      <c r="X96" s="12" t="s">
        <v>3515</v>
      </c>
      <c r="Y96" s="12" t="s">
        <v>3516</v>
      </c>
      <c r="Z96" s="12" t="s">
        <v>3517</v>
      </c>
      <c r="AA96" s="12" t="s">
        <v>3518</v>
      </c>
      <c r="AB96" s="12" t="s">
        <v>3519</v>
      </c>
      <c r="AC96" s="12" t="s">
        <v>3638</v>
      </c>
      <c r="AD96" s="12" t="s">
        <v>3521</v>
      </c>
      <c r="AE96" s="12" t="s">
        <v>3522</v>
      </c>
      <c r="AF96" s="12" t="s">
        <v>3523</v>
      </c>
      <c r="AG96" s="12" t="s">
        <v>3589</v>
      </c>
      <c r="AH96" s="12" t="s">
        <v>3525</v>
      </c>
      <c r="AI96" s="12" t="s">
        <v>3526</v>
      </c>
      <c r="AJ96" s="12" t="s">
        <v>3527</v>
      </c>
      <c r="AK96" s="12" t="s">
        <v>3528</v>
      </c>
      <c r="AL96" s="12" t="s">
        <v>3529</v>
      </c>
      <c r="AM96" s="12" t="s">
        <v>3530</v>
      </c>
      <c r="AN96" s="12" t="s">
        <v>3531</v>
      </c>
      <c r="AO96" s="12" t="s">
        <v>3557</v>
      </c>
      <c r="AP96" s="12" t="s">
        <v>3533</v>
      </c>
      <c r="AQ96" s="12" t="s">
        <v>3534</v>
      </c>
      <c r="AR96" s="12" t="s">
        <v>3535</v>
      </c>
      <c r="AS96" s="12" t="s">
        <v>3538</v>
      </c>
      <c r="AT96" s="12" t="s">
        <v>3537</v>
      </c>
      <c r="AU96" s="12" t="s">
        <v>6</v>
      </c>
      <c r="AV96" s="12" t="s">
        <v>3538</v>
      </c>
      <c r="AW96" s="12" t="s">
        <v>3539</v>
      </c>
      <c r="AX96" s="12" t="s">
        <v>3540</v>
      </c>
      <c r="AY96" s="12" t="s">
        <v>3541</v>
      </c>
      <c r="AZ96" s="12" t="s">
        <v>3542</v>
      </c>
      <c r="BA96" s="12" t="s">
        <v>3543</v>
      </c>
      <c r="BB96" s="12" t="s">
        <v>3544</v>
      </c>
      <c r="BC96" s="17"/>
    </row>
    <row r="97" ht="22.5" customHeight="1">
      <c r="A97" s="18">
        <v>46181.94924480324</v>
      </c>
      <c r="B97" s="19" t="s">
        <v>2865</v>
      </c>
      <c r="C97" s="20">
        <v>37.0</v>
      </c>
      <c r="D97" s="24" t="s">
        <v>3856</v>
      </c>
      <c r="E97" s="22">
        <f t="shared" si="1"/>
        <v>42</v>
      </c>
      <c r="F97" s="19" t="s">
        <v>3857</v>
      </c>
      <c r="G97" s="19" t="s">
        <v>2866</v>
      </c>
      <c r="H97" s="19" t="s">
        <v>2865</v>
      </c>
      <c r="I97" s="19" t="s">
        <v>2867</v>
      </c>
      <c r="J97" s="19" t="s">
        <v>3607</v>
      </c>
      <c r="K97" s="19" t="s">
        <v>3504</v>
      </c>
      <c r="L97" s="19" t="s">
        <v>3556</v>
      </c>
      <c r="M97" s="21"/>
      <c r="N97" s="19" t="s">
        <v>3506</v>
      </c>
      <c r="O97" s="19" t="s">
        <v>3507</v>
      </c>
      <c r="P97" s="19" t="s">
        <v>3508</v>
      </c>
      <c r="Q97" s="21"/>
      <c r="R97" s="19" t="s">
        <v>3509</v>
      </c>
      <c r="S97" s="19" t="s">
        <v>3510</v>
      </c>
      <c r="T97" s="19" t="s">
        <v>3511</v>
      </c>
      <c r="U97" s="19" t="s">
        <v>3550</v>
      </c>
      <c r="V97" s="19" t="s">
        <v>3513</v>
      </c>
      <c r="W97" s="19" t="s">
        <v>3587</v>
      </c>
      <c r="X97" s="19" t="s">
        <v>3515</v>
      </c>
      <c r="Y97" s="19" t="s">
        <v>3516</v>
      </c>
      <c r="Z97" s="19" t="s">
        <v>3517</v>
      </c>
      <c r="AA97" s="19" t="s">
        <v>3518</v>
      </c>
      <c r="AB97" s="19" t="s">
        <v>3519</v>
      </c>
      <c r="AC97" s="19" t="s">
        <v>3520</v>
      </c>
      <c r="AD97" s="19" t="s">
        <v>3521</v>
      </c>
      <c r="AE97" s="19" t="s">
        <v>3704</v>
      </c>
      <c r="AF97" s="19" t="s">
        <v>3523</v>
      </c>
      <c r="AG97" s="19" t="s">
        <v>3524</v>
      </c>
      <c r="AH97" s="19" t="s">
        <v>3525</v>
      </c>
      <c r="AI97" s="19" t="s">
        <v>3526</v>
      </c>
      <c r="AJ97" s="19" t="s">
        <v>3527</v>
      </c>
      <c r="AK97" s="19" t="s">
        <v>3528</v>
      </c>
      <c r="AL97" s="19" t="s">
        <v>3529</v>
      </c>
      <c r="AM97" s="19" t="s">
        <v>3530</v>
      </c>
      <c r="AN97" s="19" t="s">
        <v>3531</v>
      </c>
      <c r="AO97" s="19" t="s">
        <v>3557</v>
      </c>
      <c r="AP97" s="19" t="s">
        <v>3533</v>
      </c>
      <c r="AQ97" s="19" t="s">
        <v>3534</v>
      </c>
      <c r="AR97" s="19" t="s">
        <v>3535</v>
      </c>
      <c r="AS97" s="19" t="s">
        <v>3536</v>
      </c>
      <c r="AT97" s="19" t="s">
        <v>3537</v>
      </c>
      <c r="AU97" s="19" t="s">
        <v>6</v>
      </c>
      <c r="AV97" s="19" t="s">
        <v>3538</v>
      </c>
      <c r="AW97" s="19" t="s">
        <v>3558</v>
      </c>
      <c r="AX97" s="19" t="s">
        <v>3540</v>
      </c>
      <c r="AY97" s="19" t="s">
        <v>3541</v>
      </c>
      <c r="AZ97" s="19" t="s">
        <v>3542</v>
      </c>
      <c r="BA97" s="19" t="s">
        <v>3543</v>
      </c>
      <c r="BB97" s="19" t="s">
        <v>3544</v>
      </c>
      <c r="BC97" s="23"/>
    </row>
    <row r="98" ht="22.5" customHeight="1">
      <c r="A98" s="11">
        <v>46181.950600543976</v>
      </c>
      <c r="B98" s="12" t="s">
        <v>1473</v>
      </c>
      <c r="C98" s="13">
        <v>28.0</v>
      </c>
      <c r="D98" s="16"/>
      <c r="E98" s="15">
        <f t="shared" si="1"/>
        <v>28</v>
      </c>
      <c r="F98" s="12" t="s">
        <v>3858</v>
      </c>
      <c r="G98" s="12" t="s">
        <v>3859</v>
      </c>
      <c r="H98" s="12" t="s">
        <v>1473</v>
      </c>
      <c r="I98" s="15">
        <v>9.529119815E9</v>
      </c>
      <c r="J98" s="12" t="s">
        <v>3547</v>
      </c>
      <c r="K98" s="12" t="s">
        <v>3791</v>
      </c>
      <c r="L98" s="12" t="s">
        <v>3505</v>
      </c>
      <c r="M98" s="16"/>
      <c r="N98" s="12" t="s">
        <v>3506</v>
      </c>
      <c r="O98" s="12" t="s">
        <v>3507</v>
      </c>
      <c r="P98" s="12" t="s">
        <v>3508</v>
      </c>
      <c r="Q98" s="16"/>
      <c r="R98" s="12" t="s">
        <v>3509</v>
      </c>
      <c r="S98" s="12" t="s">
        <v>3510</v>
      </c>
      <c r="T98" s="12" t="s">
        <v>3709</v>
      </c>
      <c r="U98" s="12" t="s">
        <v>3512</v>
      </c>
      <c r="V98" s="16"/>
      <c r="W98" s="16"/>
      <c r="X98" s="12" t="s">
        <v>3515</v>
      </c>
      <c r="Y98" s="12" t="s">
        <v>3516</v>
      </c>
      <c r="Z98" s="12" t="s">
        <v>3517</v>
      </c>
      <c r="AA98" s="12" t="s">
        <v>3518</v>
      </c>
      <c r="AB98" s="12" t="s">
        <v>3519</v>
      </c>
      <c r="AC98" s="12" t="s">
        <v>3520</v>
      </c>
      <c r="AD98" s="12" t="s">
        <v>3521</v>
      </c>
      <c r="AE98" s="12" t="s">
        <v>3522</v>
      </c>
      <c r="AF98" s="16"/>
      <c r="AG98" s="12" t="s">
        <v>3524</v>
      </c>
      <c r="AH98" s="12" t="s">
        <v>3525</v>
      </c>
      <c r="AI98" s="12" t="s">
        <v>3526</v>
      </c>
      <c r="AJ98" s="12" t="s">
        <v>3773</v>
      </c>
      <c r="AK98" s="12" t="s">
        <v>3528</v>
      </c>
      <c r="AL98" s="12" t="s">
        <v>3860</v>
      </c>
      <c r="AM98" s="12" t="s">
        <v>3530</v>
      </c>
      <c r="AN98" s="12" t="s">
        <v>3531</v>
      </c>
      <c r="AO98" s="12" t="s">
        <v>3551</v>
      </c>
      <c r="AP98" s="12" t="s">
        <v>3533</v>
      </c>
      <c r="AQ98" s="12" t="s">
        <v>3534</v>
      </c>
      <c r="AR98" s="12" t="s">
        <v>3535</v>
      </c>
      <c r="AS98" s="12" t="s">
        <v>3536</v>
      </c>
      <c r="AT98" s="12" t="s">
        <v>3537</v>
      </c>
      <c r="AU98" s="12" t="s">
        <v>6</v>
      </c>
      <c r="AV98" s="12" t="s">
        <v>3536</v>
      </c>
      <c r="AW98" s="12" t="s">
        <v>3558</v>
      </c>
      <c r="AX98" s="16"/>
      <c r="AY98" s="12" t="s">
        <v>3541</v>
      </c>
      <c r="AZ98" s="12" t="s">
        <v>3542</v>
      </c>
      <c r="BA98" s="12" t="s">
        <v>3631</v>
      </c>
      <c r="BB98" s="12" t="s">
        <v>3544</v>
      </c>
      <c r="BC98" s="17"/>
    </row>
    <row r="99" ht="22.5" customHeight="1">
      <c r="A99" s="18">
        <v>46181.96190197917</v>
      </c>
      <c r="B99" s="19" t="s">
        <v>3861</v>
      </c>
      <c r="C99" s="20">
        <v>37.0</v>
      </c>
      <c r="D99" s="24" t="s">
        <v>3862</v>
      </c>
      <c r="E99" s="22">
        <f t="shared" si="1"/>
        <v>42</v>
      </c>
      <c r="F99" s="19" t="s">
        <v>3863</v>
      </c>
      <c r="G99" s="19" t="s">
        <v>3864</v>
      </c>
      <c r="H99" s="19" t="s">
        <v>3865</v>
      </c>
      <c r="I99" s="22">
        <v>7.358666499E9</v>
      </c>
      <c r="J99" s="19" t="s">
        <v>3547</v>
      </c>
      <c r="K99" s="19" t="s">
        <v>3504</v>
      </c>
      <c r="L99" s="19" t="s">
        <v>3556</v>
      </c>
      <c r="M99" s="21"/>
      <c r="N99" s="19" t="s">
        <v>3548</v>
      </c>
      <c r="O99" s="19" t="s">
        <v>3507</v>
      </c>
      <c r="P99" s="19" t="s">
        <v>3508</v>
      </c>
      <c r="Q99" s="21"/>
      <c r="R99" s="19" t="s">
        <v>3509</v>
      </c>
      <c r="S99" s="19" t="s">
        <v>3510</v>
      </c>
      <c r="T99" s="19" t="s">
        <v>3549</v>
      </c>
      <c r="U99" s="19" t="s">
        <v>3512</v>
      </c>
      <c r="V99" s="19" t="s">
        <v>3513</v>
      </c>
      <c r="W99" s="19" t="s">
        <v>3514</v>
      </c>
      <c r="X99" s="19" t="s">
        <v>3515</v>
      </c>
      <c r="Y99" s="19" t="s">
        <v>3516</v>
      </c>
      <c r="Z99" s="19" t="s">
        <v>3517</v>
      </c>
      <c r="AA99" s="19" t="s">
        <v>3518</v>
      </c>
      <c r="AB99" s="19" t="s">
        <v>3519</v>
      </c>
      <c r="AC99" s="19" t="s">
        <v>3638</v>
      </c>
      <c r="AD99" s="19" t="s">
        <v>3521</v>
      </c>
      <c r="AE99" s="19" t="s">
        <v>3522</v>
      </c>
      <c r="AF99" s="19" t="s">
        <v>3639</v>
      </c>
      <c r="AG99" s="19" t="s">
        <v>3524</v>
      </c>
      <c r="AH99" s="19" t="s">
        <v>3525</v>
      </c>
      <c r="AI99" s="19" t="s">
        <v>3526</v>
      </c>
      <c r="AJ99" s="19" t="s">
        <v>3527</v>
      </c>
      <c r="AK99" s="19" t="s">
        <v>3528</v>
      </c>
      <c r="AL99" s="19" t="s">
        <v>3529</v>
      </c>
      <c r="AM99" s="19" t="s">
        <v>3530</v>
      </c>
      <c r="AN99" s="19" t="s">
        <v>3531</v>
      </c>
      <c r="AO99" s="19" t="s">
        <v>3557</v>
      </c>
      <c r="AP99" s="19" t="s">
        <v>3533</v>
      </c>
      <c r="AQ99" s="19" t="s">
        <v>3534</v>
      </c>
      <c r="AR99" s="19" t="s">
        <v>3535</v>
      </c>
      <c r="AS99" s="19" t="s">
        <v>3536</v>
      </c>
      <c r="AT99" s="19" t="s">
        <v>3537</v>
      </c>
      <c r="AU99" s="19" t="s">
        <v>6</v>
      </c>
      <c r="AV99" s="19" t="s">
        <v>3538</v>
      </c>
      <c r="AW99" s="19" t="s">
        <v>3539</v>
      </c>
      <c r="AX99" s="19" t="s">
        <v>3711</v>
      </c>
      <c r="AY99" s="19" t="s">
        <v>3541</v>
      </c>
      <c r="AZ99" s="19" t="s">
        <v>3542</v>
      </c>
      <c r="BA99" s="19" t="s">
        <v>3543</v>
      </c>
      <c r="BB99" s="19" t="s">
        <v>3544</v>
      </c>
      <c r="BC99" s="23"/>
    </row>
    <row r="100" ht="22.5" customHeight="1">
      <c r="A100" s="11">
        <v>46181.97127119213</v>
      </c>
      <c r="B100" s="12" t="s">
        <v>1990</v>
      </c>
      <c r="C100" s="13">
        <v>34.0</v>
      </c>
      <c r="D100" s="14" t="s">
        <v>3866</v>
      </c>
      <c r="E100" s="15">
        <f t="shared" si="1"/>
        <v>39</v>
      </c>
      <c r="F100" s="12" t="s">
        <v>3867</v>
      </c>
      <c r="G100" s="12" t="s">
        <v>3868</v>
      </c>
      <c r="H100" s="12" t="s">
        <v>1990</v>
      </c>
      <c r="I100" s="15">
        <v>9.131271576E9</v>
      </c>
      <c r="J100" s="12" t="s">
        <v>3547</v>
      </c>
      <c r="K100" s="12" t="s">
        <v>3504</v>
      </c>
      <c r="L100" s="12" t="s">
        <v>3556</v>
      </c>
      <c r="M100" s="16"/>
      <c r="N100" s="12" t="s">
        <v>3506</v>
      </c>
      <c r="O100" s="12" t="s">
        <v>3507</v>
      </c>
      <c r="P100" s="12" t="s">
        <v>3508</v>
      </c>
      <c r="Q100" s="16"/>
      <c r="R100" s="12" t="s">
        <v>3509</v>
      </c>
      <c r="S100" s="12" t="s">
        <v>3674</v>
      </c>
      <c r="T100" s="12" t="s">
        <v>3511</v>
      </c>
      <c r="U100" s="12" t="s">
        <v>3550</v>
      </c>
      <c r="V100" s="12" t="s">
        <v>3513</v>
      </c>
      <c r="W100" s="12" t="s">
        <v>3514</v>
      </c>
      <c r="X100" s="12" t="s">
        <v>3869</v>
      </c>
      <c r="Y100" s="12" t="s">
        <v>3576</v>
      </c>
      <c r="Z100" s="12" t="s">
        <v>3517</v>
      </c>
      <c r="AA100" s="12" t="s">
        <v>3518</v>
      </c>
      <c r="AB100" s="12" t="s">
        <v>3519</v>
      </c>
      <c r="AC100" s="16"/>
      <c r="AD100" s="16"/>
      <c r="AE100" s="12" t="s">
        <v>3522</v>
      </c>
      <c r="AF100" s="12" t="s">
        <v>3523</v>
      </c>
      <c r="AG100" s="12" t="s">
        <v>3524</v>
      </c>
      <c r="AH100" s="16"/>
      <c r="AI100" s="12" t="s">
        <v>3526</v>
      </c>
      <c r="AJ100" s="12" t="s">
        <v>3527</v>
      </c>
      <c r="AK100" s="12" t="s">
        <v>3528</v>
      </c>
      <c r="AL100" s="12" t="s">
        <v>3529</v>
      </c>
      <c r="AM100" s="12" t="s">
        <v>3530</v>
      </c>
      <c r="AN100" s="16"/>
      <c r="AO100" s="12" t="s">
        <v>3557</v>
      </c>
      <c r="AP100" s="16"/>
      <c r="AQ100" s="12" t="s">
        <v>3534</v>
      </c>
      <c r="AR100" s="12" t="s">
        <v>3535</v>
      </c>
      <c r="AS100" s="12" t="s">
        <v>3536</v>
      </c>
      <c r="AT100" s="12" t="s">
        <v>3537</v>
      </c>
      <c r="AU100" s="12" t="s">
        <v>6</v>
      </c>
      <c r="AV100" s="12" t="s">
        <v>3538</v>
      </c>
      <c r="AW100" s="12" t="s">
        <v>3539</v>
      </c>
      <c r="AX100" s="12" t="s">
        <v>3540</v>
      </c>
      <c r="AY100" s="12" t="s">
        <v>3541</v>
      </c>
      <c r="AZ100" s="12" t="s">
        <v>3542</v>
      </c>
      <c r="BA100" s="12" t="s">
        <v>3543</v>
      </c>
      <c r="BB100" s="12" t="s">
        <v>3544</v>
      </c>
      <c r="BC100" s="17"/>
    </row>
    <row r="101" ht="22.5" customHeight="1">
      <c r="A101" s="18">
        <v>46181.97609146991</v>
      </c>
      <c r="B101" s="19" t="s">
        <v>3321</v>
      </c>
      <c r="C101" s="20">
        <v>37.0</v>
      </c>
      <c r="D101" s="21"/>
      <c r="E101" s="22">
        <f t="shared" si="1"/>
        <v>37</v>
      </c>
      <c r="F101" s="19" t="s">
        <v>3870</v>
      </c>
      <c r="G101" s="19" t="s">
        <v>3322</v>
      </c>
      <c r="H101" s="19" t="s">
        <v>3321</v>
      </c>
      <c r="I101" s="19" t="s">
        <v>3323</v>
      </c>
      <c r="J101" s="19" t="s">
        <v>3503</v>
      </c>
      <c r="K101" s="19" t="s">
        <v>3504</v>
      </c>
      <c r="L101" s="19" t="s">
        <v>3556</v>
      </c>
      <c r="M101" s="21"/>
      <c r="N101" s="19" t="s">
        <v>3506</v>
      </c>
      <c r="O101" s="19" t="s">
        <v>3507</v>
      </c>
      <c r="P101" s="19" t="s">
        <v>3508</v>
      </c>
      <c r="Q101" s="21"/>
      <c r="R101" s="19" t="s">
        <v>3509</v>
      </c>
      <c r="S101" s="19" t="s">
        <v>3510</v>
      </c>
      <c r="T101" s="19" t="s">
        <v>3511</v>
      </c>
      <c r="U101" s="19" t="s">
        <v>3550</v>
      </c>
      <c r="V101" s="19" t="s">
        <v>3513</v>
      </c>
      <c r="W101" s="19" t="s">
        <v>3514</v>
      </c>
      <c r="X101" s="19" t="s">
        <v>3515</v>
      </c>
      <c r="Y101" s="19" t="s">
        <v>3516</v>
      </c>
      <c r="Z101" s="19" t="s">
        <v>3517</v>
      </c>
      <c r="AA101" s="19" t="s">
        <v>3518</v>
      </c>
      <c r="AB101" s="19" t="s">
        <v>3519</v>
      </c>
      <c r="AC101" s="19" t="s">
        <v>3638</v>
      </c>
      <c r="AD101" s="19" t="s">
        <v>3521</v>
      </c>
      <c r="AE101" s="19" t="s">
        <v>3522</v>
      </c>
      <c r="AF101" s="19" t="s">
        <v>3523</v>
      </c>
      <c r="AG101" s="19" t="s">
        <v>3524</v>
      </c>
      <c r="AH101" s="19" t="s">
        <v>3525</v>
      </c>
      <c r="AI101" s="19" t="s">
        <v>3526</v>
      </c>
      <c r="AJ101" s="19" t="s">
        <v>3527</v>
      </c>
      <c r="AK101" s="19" t="s">
        <v>3528</v>
      </c>
      <c r="AL101" s="19" t="s">
        <v>3529</v>
      </c>
      <c r="AM101" s="19" t="s">
        <v>3530</v>
      </c>
      <c r="AN101" s="19" t="s">
        <v>3531</v>
      </c>
      <c r="AO101" s="19" t="s">
        <v>3557</v>
      </c>
      <c r="AP101" s="19" t="s">
        <v>3533</v>
      </c>
      <c r="AQ101" s="19" t="s">
        <v>3534</v>
      </c>
      <c r="AR101" s="19" t="s">
        <v>3535</v>
      </c>
      <c r="AS101" s="19" t="s">
        <v>3536</v>
      </c>
      <c r="AT101" s="19" t="s">
        <v>3562</v>
      </c>
      <c r="AU101" s="19" t="s">
        <v>6</v>
      </c>
      <c r="AV101" s="19" t="s">
        <v>3538</v>
      </c>
      <c r="AW101" s="19" t="s">
        <v>3558</v>
      </c>
      <c r="AX101" s="19" t="s">
        <v>3540</v>
      </c>
      <c r="AY101" s="19" t="s">
        <v>3541</v>
      </c>
      <c r="AZ101" s="19" t="s">
        <v>3542</v>
      </c>
      <c r="BA101" s="19" t="s">
        <v>3543</v>
      </c>
      <c r="BB101" s="19" t="s">
        <v>3544</v>
      </c>
      <c r="BC101" s="23"/>
    </row>
    <row r="102" ht="22.5" customHeight="1">
      <c r="A102" s="11">
        <v>46181.97622319445</v>
      </c>
      <c r="B102" s="12" t="s">
        <v>3236</v>
      </c>
      <c r="C102" s="13">
        <v>40.0</v>
      </c>
      <c r="D102" s="16"/>
      <c r="E102" s="15">
        <f t="shared" si="1"/>
        <v>40</v>
      </c>
      <c r="F102" s="12" t="s">
        <v>3871</v>
      </c>
      <c r="G102" s="12" t="s">
        <v>3237</v>
      </c>
      <c r="H102" s="12" t="s">
        <v>3236</v>
      </c>
      <c r="I102" s="15">
        <v>8.981305529E9</v>
      </c>
      <c r="J102" s="12" t="s">
        <v>3547</v>
      </c>
      <c r="K102" s="12" t="s">
        <v>3504</v>
      </c>
      <c r="L102" s="12" t="s">
        <v>3556</v>
      </c>
      <c r="M102" s="16"/>
      <c r="N102" s="12" t="s">
        <v>3506</v>
      </c>
      <c r="O102" s="12" t="s">
        <v>3507</v>
      </c>
      <c r="P102" s="12" t="s">
        <v>3508</v>
      </c>
      <c r="Q102" s="16"/>
      <c r="R102" s="12" t="s">
        <v>3509</v>
      </c>
      <c r="S102" s="12" t="s">
        <v>3510</v>
      </c>
      <c r="T102" s="12" t="s">
        <v>3511</v>
      </c>
      <c r="U102" s="12" t="s">
        <v>3550</v>
      </c>
      <c r="V102" s="12" t="s">
        <v>3513</v>
      </c>
      <c r="W102" s="12" t="s">
        <v>3514</v>
      </c>
      <c r="X102" s="12" t="s">
        <v>3515</v>
      </c>
      <c r="Y102" s="12" t="s">
        <v>3516</v>
      </c>
      <c r="Z102" s="12" t="s">
        <v>3517</v>
      </c>
      <c r="AA102" s="12" t="s">
        <v>3518</v>
      </c>
      <c r="AB102" s="12" t="s">
        <v>3519</v>
      </c>
      <c r="AC102" s="12" t="s">
        <v>3520</v>
      </c>
      <c r="AD102" s="12" t="s">
        <v>3521</v>
      </c>
      <c r="AE102" s="12" t="s">
        <v>3522</v>
      </c>
      <c r="AF102" s="12" t="s">
        <v>3523</v>
      </c>
      <c r="AG102" s="12" t="s">
        <v>3524</v>
      </c>
      <c r="AH102" s="12" t="s">
        <v>3525</v>
      </c>
      <c r="AI102" s="12" t="s">
        <v>3526</v>
      </c>
      <c r="AJ102" s="12" t="s">
        <v>3527</v>
      </c>
      <c r="AK102" s="12" t="s">
        <v>3528</v>
      </c>
      <c r="AL102" s="12" t="s">
        <v>3529</v>
      </c>
      <c r="AM102" s="12" t="s">
        <v>3530</v>
      </c>
      <c r="AN102" s="12" t="s">
        <v>3531</v>
      </c>
      <c r="AO102" s="12" t="s">
        <v>3557</v>
      </c>
      <c r="AP102" s="12" t="s">
        <v>3533</v>
      </c>
      <c r="AQ102" s="12" t="s">
        <v>3534</v>
      </c>
      <c r="AR102" s="12" t="s">
        <v>3535</v>
      </c>
      <c r="AS102" s="12" t="s">
        <v>3536</v>
      </c>
      <c r="AT102" s="12" t="s">
        <v>3562</v>
      </c>
      <c r="AU102" s="12" t="s">
        <v>6</v>
      </c>
      <c r="AV102" s="12" t="s">
        <v>3538</v>
      </c>
      <c r="AW102" s="12" t="s">
        <v>3539</v>
      </c>
      <c r="AX102" s="12" t="s">
        <v>3540</v>
      </c>
      <c r="AY102" s="12" t="s">
        <v>3541</v>
      </c>
      <c r="AZ102" s="12" t="s">
        <v>3542</v>
      </c>
      <c r="BA102" s="12" t="s">
        <v>3543</v>
      </c>
      <c r="BB102" s="12" t="s">
        <v>3544</v>
      </c>
      <c r="BC102" s="17"/>
    </row>
    <row r="103" ht="22.5" customHeight="1">
      <c r="A103" s="18">
        <v>46181.98100947917</v>
      </c>
      <c r="B103" s="19" t="s">
        <v>220</v>
      </c>
      <c r="C103" s="20">
        <v>41.0</v>
      </c>
      <c r="D103" s="24" t="s">
        <v>3872</v>
      </c>
      <c r="E103" s="22">
        <f t="shared" si="1"/>
        <v>46</v>
      </c>
      <c r="F103" s="19" t="s">
        <v>3873</v>
      </c>
      <c r="G103" s="19" t="s">
        <v>3874</v>
      </c>
      <c r="H103" s="19" t="s">
        <v>220</v>
      </c>
      <c r="I103" s="22">
        <v>9.98130377E9</v>
      </c>
      <c r="J103" s="19" t="s">
        <v>3547</v>
      </c>
      <c r="K103" s="19" t="s">
        <v>3504</v>
      </c>
      <c r="L103" s="19" t="s">
        <v>3556</v>
      </c>
      <c r="M103" s="21"/>
      <c r="N103" s="19" t="s">
        <v>3506</v>
      </c>
      <c r="O103" s="19" t="s">
        <v>3507</v>
      </c>
      <c r="P103" s="19" t="s">
        <v>3508</v>
      </c>
      <c r="Q103" s="21"/>
      <c r="R103" s="19" t="s">
        <v>3509</v>
      </c>
      <c r="S103" s="19" t="s">
        <v>3510</v>
      </c>
      <c r="T103" s="19" t="s">
        <v>3549</v>
      </c>
      <c r="U103" s="19" t="s">
        <v>3550</v>
      </c>
      <c r="V103" s="19" t="s">
        <v>3513</v>
      </c>
      <c r="W103" s="19" t="s">
        <v>3514</v>
      </c>
      <c r="X103" s="19" t="s">
        <v>3515</v>
      </c>
      <c r="Y103" s="19" t="s">
        <v>3516</v>
      </c>
      <c r="Z103" s="19" t="s">
        <v>3517</v>
      </c>
      <c r="AA103" s="19" t="s">
        <v>3518</v>
      </c>
      <c r="AB103" s="19" t="s">
        <v>3519</v>
      </c>
      <c r="AC103" s="19" t="s">
        <v>3520</v>
      </c>
      <c r="AD103" s="19" t="s">
        <v>3521</v>
      </c>
      <c r="AE103" s="19" t="s">
        <v>3522</v>
      </c>
      <c r="AF103" s="19" t="s">
        <v>3523</v>
      </c>
      <c r="AG103" s="19" t="s">
        <v>3524</v>
      </c>
      <c r="AH103" s="19" t="s">
        <v>3525</v>
      </c>
      <c r="AI103" s="19" t="s">
        <v>3526</v>
      </c>
      <c r="AJ103" s="19" t="s">
        <v>3527</v>
      </c>
      <c r="AK103" s="19" t="s">
        <v>3528</v>
      </c>
      <c r="AL103" s="19" t="s">
        <v>3529</v>
      </c>
      <c r="AM103" s="19" t="s">
        <v>3530</v>
      </c>
      <c r="AN103" s="19" t="s">
        <v>3531</v>
      </c>
      <c r="AO103" s="19" t="s">
        <v>3557</v>
      </c>
      <c r="AP103" s="19" t="s">
        <v>3743</v>
      </c>
      <c r="AQ103" s="19" t="s">
        <v>3534</v>
      </c>
      <c r="AR103" s="19" t="s">
        <v>3535</v>
      </c>
      <c r="AS103" s="19" t="s">
        <v>3536</v>
      </c>
      <c r="AT103" s="19" t="s">
        <v>3537</v>
      </c>
      <c r="AU103" s="19" t="s">
        <v>6</v>
      </c>
      <c r="AV103" s="19" t="s">
        <v>3538</v>
      </c>
      <c r="AW103" s="19" t="s">
        <v>3539</v>
      </c>
      <c r="AX103" s="19" t="s">
        <v>3540</v>
      </c>
      <c r="AY103" s="19" t="s">
        <v>3541</v>
      </c>
      <c r="AZ103" s="19" t="s">
        <v>3542</v>
      </c>
      <c r="BA103" s="19" t="s">
        <v>3543</v>
      </c>
      <c r="BB103" s="19" t="s">
        <v>3544</v>
      </c>
      <c r="BC103" s="23"/>
    </row>
    <row r="104" ht="22.5" customHeight="1">
      <c r="A104" s="11">
        <v>46182.00257298611</v>
      </c>
      <c r="B104" s="12" t="s">
        <v>1642</v>
      </c>
      <c r="C104" s="13">
        <v>27.0</v>
      </c>
      <c r="D104" s="16"/>
      <c r="E104" s="15">
        <f t="shared" si="1"/>
        <v>27</v>
      </c>
      <c r="F104" s="12" t="s">
        <v>3875</v>
      </c>
      <c r="G104" s="12" t="s">
        <v>3876</v>
      </c>
      <c r="H104" s="12" t="s">
        <v>1642</v>
      </c>
      <c r="I104" s="15">
        <v>9.673540998E9</v>
      </c>
      <c r="J104" s="12" t="s">
        <v>3561</v>
      </c>
      <c r="K104" s="12" t="s">
        <v>3504</v>
      </c>
      <c r="L104" s="12" t="s">
        <v>3505</v>
      </c>
      <c r="M104" s="16"/>
      <c r="N104" s="12" t="s">
        <v>3506</v>
      </c>
      <c r="O104" s="12" t="s">
        <v>3507</v>
      </c>
      <c r="P104" s="12" t="s">
        <v>3877</v>
      </c>
      <c r="Q104" s="16"/>
      <c r="R104" s="12" t="s">
        <v>3878</v>
      </c>
      <c r="S104" s="12" t="s">
        <v>3510</v>
      </c>
      <c r="T104" s="12" t="s">
        <v>3549</v>
      </c>
      <c r="U104" s="12" t="s">
        <v>3512</v>
      </c>
      <c r="V104" s="12" t="s">
        <v>3513</v>
      </c>
      <c r="W104" s="12" t="s">
        <v>3514</v>
      </c>
      <c r="X104" s="12" t="s">
        <v>3740</v>
      </c>
      <c r="Y104" s="12" t="s">
        <v>3680</v>
      </c>
      <c r="Z104" s="12" t="s">
        <v>3517</v>
      </c>
      <c r="AA104" s="12" t="s">
        <v>3518</v>
      </c>
      <c r="AB104" s="12" t="s">
        <v>3519</v>
      </c>
      <c r="AC104" s="12" t="s">
        <v>3638</v>
      </c>
      <c r="AD104" s="12" t="s">
        <v>3521</v>
      </c>
      <c r="AE104" s="12" t="s">
        <v>3522</v>
      </c>
      <c r="AF104" s="12" t="s">
        <v>3594</v>
      </c>
      <c r="AG104" s="12" t="s">
        <v>3524</v>
      </c>
      <c r="AH104" s="12" t="s">
        <v>3525</v>
      </c>
      <c r="AI104" s="12" t="s">
        <v>3526</v>
      </c>
      <c r="AJ104" s="12" t="s">
        <v>3773</v>
      </c>
      <c r="AK104" s="12" t="s">
        <v>3528</v>
      </c>
      <c r="AL104" s="12" t="s">
        <v>3529</v>
      </c>
      <c r="AM104" s="12" t="s">
        <v>3750</v>
      </c>
      <c r="AN104" s="12" t="s">
        <v>3531</v>
      </c>
      <c r="AO104" s="12" t="s">
        <v>3557</v>
      </c>
      <c r="AP104" s="12" t="s">
        <v>3533</v>
      </c>
      <c r="AQ104" s="12" t="s">
        <v>3616</v>
      </c>
      <c r="AR104" s="12" t="s">
        <v>3535</v>
      </c>
      <c r="AS104" s="12" t="s">
        <v>3536</v>
      </c>
      <c r="AT104" s="12" t="s">
        <v>3643</v>
      </c>
      <c r="AU104" s="12" t="s">
        <v>6</v>
      </c>
      <c r="AV104" s="12" t="s">
        <v>3536</v>
      </c>
      <c r="AW104" s="12" t="s">
        <v>3539</v>
      </c>
      <c r="AX104" s="12" t="s">
        <v>3540</v>
      </c>
      <c r="AY104" s="12" t="s">
        <v>3570</v>
      </c>
      <c r="AZ104" s="12" t="s">
        <v>3542</v>
      </c>
      <c r="BA104" s="12" t="s">
        <v>3631</v>
      </c>
      <c r="BB104" s="12" t="s">
        <v>3832</v>
      </c>
      <c r="BC104" s="17"/>
    </row>
    <row r="105" ht="22.5" customHeight="1">
      <c r="A105" s="18">
        <v>46182.00576496527</v>
      </c>
      <c r="B105" s="19" t="s">
        <v>681</v>
      </c>
      <c r="C105" s="20">
        <v>38.0</v>
      </c>
      <c r="D105" s="24" t="s">
        <v>3879</v>
      </c>
      <c r="E105" s="22">
        <f t="shared" si="1"/>
        <v>43</v>
      </c>
      <c r="F105" s="19" t="s">
        <v>3880</v>
      </c>
      <c r="G105" s="19" t="s">
        <v>682</v>
      </c>
      <c r="H105" s="19" t="s">
        <v>681</v>
      </c>
      <c r="I105" s="22">
        <v>8.917660633E9</v>
      </c>
      <c r="J105" s="21"/>
      <c r="K105" s="19" t="s">
        <v>3504</v>
      </c>
      <c r="L105" s="19" t="s">
        <v>3556</v>
      </c>
      <c r="M105" s="21"/>
      <c r="N105" s="19" t="s">
        <v>3569</v>
      </c>
      <c r="O105" s="19" t="s">
        <v>3507</v>
      </c>
      <c r="P105" s="19" t="s">
        <v>3508</v>
      </c>
      <c r="Q105" s="21"/>
      <c r="R105" s="19" t="s">
        <v>3509</v>
      </c>
      <c r="S105" s="19" t="s">
        <v>3510</v>
      </c>
      <c r="T105" s="19" t="s">
        <v>3549</v>
      </c>
      <c r="U105" s="19" t="s">
        <v>3512</v>
      </c>
      <c r="V105" s="19" t="s">
        <v>3513</v>
      </c>
      <c r="W105" s="19" t="s">
        <v>3514</v>
      </c>
      <c r="X105" s="19" t="s">
        <v>3515</v>
      </c>
      <c r="Y105" s="19" t="s">
        <v>3516</v>
      </c>
      <c r="Z105" s="19" t="s">
        <v>3517</v>
      </c>
      <c r="AA105" s="19" t="s">
        <v>3518</v>
      </c>
      <c r="AB105" s="19" t="s">
        <v>3519</v>
      </c>
      <c r="AC105" s="19" t="s">
        <v>3520</v>
      </c>
      <c r="AD105" s="19" t="s">
        <v>3521</v>
      </c>
      <c r="AE105" s="19" t="s">
        <v>3522</v>
      </c>
      <c r="AF105" s="19" t="s">
        <v>3523</v>
      </c>
      <c r="AG105" s="19" t="s">
        <v>3524</v>
      </c>
      <c r="AH105" s="19" t="s">
        <v>3525</v>
      </c>
      <c r="AI105" s="19" t="s">
        <v>3526</v>
      </c>
      <c r="AJ105" s="19" t="s">
        <v>3527</v>
      </c>
      <c r="AK105" s="19" t="s">
        <v>3528</v>
      </c>
      <c r="AL105" s="19" t="s">
        <v>3529</v>
      </c>
      <c r="AM105" s="19" t="s">
        <v>3530</v>
      </c>
      <c r="AN105" s="19" t="s">
        <v>3531</v>
      </c>
      <c r="AO105" s="19" t="s">
        <v>3557</v>
      </c>
      <c r="AP105" s="19" t="s">
        <v>3577</v>
      </c>
      <c r="AQ105" s="19" t="s">
        <v>3534</v>
      </c>
      <c r="AR105" s="19" t="s">
        <v>3535</v>
      </c>
      <c r="AS105" s="19" t="s">
        <v>3536</v>
      </c>
      <c r="AT105" s="19" t="s">
        <v>3537</v>
      </c>
      <c r="AU105" s="19" t="s">
        <v>6</v>
      </c>
      <c r="AV105" s="19" t="s">
        <v>3538</v>
      </c>
      <c r="AW105" s="19" t="s">
        <v>3539</v>
      </c>
      <c r="AX105" s="19" t="s">
        <v>3540</v>
      </c>
      <c r="AY105" s="19" t="s">
        <v>3541</v>
      </c>
      <c r="AZ105" s="19" t="s">
        <v>3542</v>
      </c>
      <c r="BA105" s="19" t="s">
        <v>3543</v>
      </c>
      <c r="BB105" s="19" t="s">
        <v>3544</v>
      </c>
      <c r="BC105" s="23"/>
    </row>
    <row r="106" ht="22.5" customHeight="1">
      <c r="A106" s="11">
        <v>46182.00665167824</v>
      </c>
      <c r="B106" s="12" t="s">
        <v>1499</v>
      </c>
      <c r="C106" s="13">
        <v>39.0</v>
      </c>
      <c r="D106" s="14" t="s">
        <v>3881</v>
      </c>
      <c r="E106" s="15">
        <f t="shared" si="1"/>
        <v>44</v>
      </c>
      <c r="F106" s="12" t="s">
        <v>3882</v>
      </c>
      <c r="G106" s="12" t="s">
        <v>1500</v>
      </c>
      <c r="H106" s="12" t="s">
        <v>1499</v>
      </c>
      <c r="I106" s="15">
        <v>6.291068974E9</v>
      </c>
      <c r="J106" s="12" t="s">
        <v>3547</v>
      </c>
      <c r="K106" s="12" t="s">
        <v>3504</v>
      </c>
      <c r="L106" s="12" t="s">
        <v>3556</v>
      </c>
      <c r="M106" s="16"/>
      <c r="N106" s="12" t="s">
        <v>3506</v>
      </c>
      <c r="O106" s="12" t="s">
        <v>3507</v>
      </c>
      <c r="P106" s="12" t="s">
        <v>3508</v>
      </c>
      <c r="Q106" s="16"/>
      <c r="R106" s="12" t="s">
        <v>3509</v>
      </c>
      <c r="S106" s="12" t="s">
        <v>3510</v>
      </c>
      <c r="T106" s="12" t="s">
        <v>3549</v>
      </c>
      <c r="U106" s="12" t="s">
        <v>3550</v>
      </c>
      <c r="V106" s="12" t="s">
        <v>3513</v>
      </c>
      <c r="W106" s="12" t="s">
        <v>3587</v>
      </c>
      <c r="X106" s="12" t="s">
        <v>3515</v>
      </c>
      <c r="Y106" s="12" t="s">
        <v>3516</v>
      </c>
      <c r="Z106" s="12" t="s">
        <v>3517</v>
      </c>
      <c r="AA106" s="12" t="s">
        <v>3518</v>
      </c>
      <c r="AB106" s="12" t="s">
        <v>3519</v>
      </c>
      <c r="AC106" s="12" t="s">
        <v>3520</v>
      </c>
      <c r="AD106" s="12" t="s">
        <v>3521</v>
      </c>
      <c r="AE106" s="12" t="s">
        <v>3522</v>
      </c>
      <c r="AF106" s="12" t="s">
        <v>3523</v>
      </c>
      <c r="AG106" s="12" t="s">
        <v>3524</v>
      </c>
      <c r="AH106" s="12" t="s">
        <v>3600</v>
      </c>
      <c r="AI106" s="12" t="s">
        <v>3526</v>
      </c>
      <c r="AJ106" s="12" t="s">
        <v>3527</v>
      </c>
      <c r="AK106" s="12" t="s">
        <v>3528</v>
      </c>
      <c r="AL106" s="12" t="s">
        <v>3529</v>
      </c>
      <c r="AM106" s="12" t="s">
        <v>3530</v>
      </c>
      <c r="AN106" s="12" t="s">
        <v>3531</v>
      </c>
      <c r="AO106" s="12" t="s">
        <v>3557</v>
      </c>
      <c r="AP106" s="12" t="s">
        <v>3577</v>
      </c>
      <c r="AQ106" s="12" t="s">
        <v>3534</v>
      </c>
      <c r="AR106" s="12" t="s">
        <v>3535</v>
      </c>
      <c r="AS106" s="12" t="s">
        <v>3536</v>
      </c>
      <c r="AT106" s="12" t="s">
        <v>3537</v>
      </c>
      <c r="AU106" s="12" t="s">
        <v>6</v>
      </c>
      <c r="AV106" s="12" t="s">
        <v>3538</v>
      </c>
      <c r="AW106" s="12" t="s">
        <v>3539</v>
      </c>
      <c r="AX106" s="12" t="s">
        <v>3540</v>
      </c>
      <c r="AY106" s="12" t="s">
        <v>3541</v>
      </c>
      <c r="AZ106" s="12" t="s">
        <v>3542</v>
      </c>
      <c r="BA106" s="12" t="s">
        <v>3543</v>
      </c>
      <c r="BB106" s="12" t="s">
        <v>3544</v>
      </c>
      <c r="BC106" s="17"/>
    </row>
    <row r="107" ht="22.5" customHeight="1">
      <c r="A107" s="18">
        <v>46182.006757800926</v>
      </c>
      <c r="B107" s="19" t="s">
        <v>2065</v>
      </c>
      <c r="C107" s="20">
        <v>39.0</v>
      </c>
      <c r="D107" s="24" t="s">
        <v>3883</v>
      </c>
      <c r="E107" s="22">
        <f t="shared" si="1"/>
        <v>44</v>
      </c>
      <c r="F107" s="19" t="s">
        <v>3884</v>
      </c>
      <c r="G107" s="19" t="s">
        <v>2066</v>
      </c>
      <c r="H107" s="19" t="s">
        <v>2065</v>
      </c>
      <c r="I107" s="22">
        <v>9.513421122E9</v>
      </c>
      <c r="J107" s="19" t="s">
        <v>3547</v>
      </c>
      <c r="K107" s="19" t="s">
        <v>3504</v>
      </c>
      <c r="L107" s="19" t="s">
        <v>3556</v>
      </c>
      <c r="M107" s="21"/>
      <c r="N107" s="19" t="s">
        <v>3506</v>
      </c>
      <c r="O107" s="19" t="s">
        <v>3507</v>
      </c>
      <c r="P107" s="19" t="s">
        <v>3508</v>
      </c>
      <c r="Q107" s="21"/>
      <c r="R107" s="19" t="s">
        <v>3509</v>
      </c>
      <c r="S107" s="19" t="s">
        <v>3510</v>
      </c>
      <c r="T107" s="19" t="s">
        <v>3511</v>
      </c>
      <c r="U107" s="19" t="s">
        <v>3512</v>
      </c>
      <c r="V107" s="19" t="s">
        <v>3513</v>
      </c>
      <c r="W107" s="19" t="s">
        <v>3514</v>
      </c>
      <c r="X107" s="19" t="s">
        <v>3515</v>
      </c>
      <c r="Y107" s="19" t="s">
        <v>3516</v>
      </c>
      <c r="Z107" s="19" t="s">
        <v>3517</v>
      </c>
      <c r="AA107" s="19" t="s">
        <v>3518</v>
      </c>
      <c r="AB107" s="19" t="s">
        <v>3519</v>
      </c>
      <c r="AC107" s="19" t="s">
        <v>3520</v>
      </c>
      <c r="AD107" s="19" t="s">
        <v>3521</v>
      </c>
      <c r="AE107" s="19" t="s">
        <v>3522</v>
      </c>
      <c r="AF107" s="19" t="s">
        <v>3523</v>
      </c>
      <c r="AG107" s="19" t="s">
        <v>3524</v>
      </c>
      <c r="AH107" s="19" t="s">
        <v>3525</v>
      </c>
      <c r="AI107" s="19" t="s">
        <v>3526</v>
      </c>
      <c r="AJ107" s="19" t="s">
        <v>3527</v>
      </c>
      <c r="AK107" s="19" t="s">
        <v>3528</v>
      </c>
      <c r="AL107" s="19" t="s">
        <v>3885</v>
      </c>
      <c r="AM107" s="19" t="s">
        <v>3530</v>
      </c>
      <c r="AN107" s="19" t="s">
        <v>3531</v>
      </c>
      <c r="AO107" s="19" t="s">
        <v>3557</v>
      </c>
      <c r="AP107" s="19" t="s">
        <v>3533</v>
      </c>
      <c r="AQ107" s="19" t="s">
        <v>3534</v>
      </c>
      <c r="AR107" s="19" t="s">
        <v>3535</v>
      </c>
      <c r="AS107" s="19" t="s">
        <v>3536</v>
      </c>
      <c r="AT107" s="19" t="s">
        <v>3537</v>
      </c>
      <c r="AU107" s="19" t="s">
        <v>6</v>
      </c>
      <c r="AV107" s="19" t="s">
        <v>3538</v>
      </c>
      <c r="AW107" s="19" t="s">
        <v>3539</v>
      </c>
      <c r="AX107" s="19" t="s">
        <v>3540</v>
      </c>
      <c r="AY107" s="19" t="s">
        <v>3541</v>
      </c>
      <c r="AZ107" s="19" t="s">
        <v>3542</v>
      </c>
      <c r="BA107" s="19" t="s">
        <v>3543</v>
      </c>
      <c r="BB107" s="19" t="s">
        <v>3544</v>
      </c>
      <c r="BC107" s="23"/>
    </row>
    <row r="108" ht="22.5" customHeight="1">
      <c r="A108" s="11">
        <v>46182.00809863426</v>
      </c>
      <c r="B108" s="12" t="s">
        <v>3886</v>
      </c>
      <c r="C108" s="13">
        <v>40.0</v>
      </c>
      <c r="D108" s="14" t="s">
        <v>3887</v>
      </c>
      <c r="E108" s="15">
        <f t="shared" si="1"/>
        <v>45</v>
      </c>
      <c r="F108" s="12" t="s">
        <v>3888</v>
      </c>
      <c r="G108" s="12" t="s">
        <v>693</v>
      </c>
      <c r="H108" s="12" t="s">
        <v>692</v>
      </c>
      <c r="I108" s="15">
        <v>6.290960371E9</v>
      </c>
      <c r="J108" s="12" t="s">
        <v>3547</v>
      </c>
      <c r="K108" s="12" t="s">
        <v>3504</v>
      </c>
      <c r="L108" s="12" t="s">
        <v>3556</v>
      </c>
      <c r="M108" s="16"/>
      <c r="N108" s="12" t="s">
        <v>3506</v>
      </c>
      <c r="O108" s="12" t="s">
        <v>3507</v>
      </c>
      <c r="P108" s="12" t="s">
        <v>3508</v>
      </c>
      <c r="Q108" s="16"/>
      <c r="R108" s="12" t="s">
        <v>3509</v>
      </c>
      <c r="S108" s="12" t="s">
        <v>3510</v>
      </c>
      <c r="T108" s="12" t="s">
        <v>3511</v>
      </c>
      <c r="U108" s="12" t="s">
        <v>3512</v>
      </c>
      <c r="V108" s="12" t="s">
        <v>3513</v>
      </c>
      <c r="W108" s="12" t="s">
        <v>3514</v>
      </c>
      <c r="X108" s="12" t="s">
        <v>3515</v>
      </c>
      <c r="Y108" s="12" t="s">
        <v>3516</v>
      </c>
      <c r="Z108" s="12" t="s">
        <v>3517</v>
      </c>
      <c r="AA108" s="12" t="s">
        <v>3518</v>
      </c>
      <c r="AB108" s="12" t="s">
        <v>3519</v>
      </c>
      <c r="AC108" s="12" t="s">
        <v>3520</v>
      </c>
      <c r="AD108" s="12" t="s">
        <v>3521</v>
      </c>
      <c r="AE108" s="12" t="s">
        <v>3522</v>
      </c>
      <c r="AF108" s="12" t="s">
        <v>3523</v>
      </c>
      <c r="AG108" s="12" t="s">
        <v>3524</v>
      </c>
      <c r="AH108" s="12" t="s">
        <v>3525</v>
      </c>
      <c r="AI108" s="12" t="s">
        <v>3526</v>
      </c>
      <c r="AJ108" s="12" t="s">
        <v>3527</v>
      </c>
      <c r="AK108" s="12" t="s">
        <v>3528</v>
      </c>
      <c r="AL108" s="12" t="s">
        <v>3529</v>
      </c>
      <c r="AM108" s="12" t="s">
        <v>3530</v>
      </c>
      <c r="AN108" s="12" t="s">
        <v>3531</v>
      </c>
      <c r="AO108" s="12" t="s">
        <v>3557</v>
      </c>
      <c r="AP108" s="12" t="s">
        <v>3533</v>
      </c>
      <c r="AQ108" s="12" t="s">
        <v>3534</v>
      </c>
      <c r="AR108" s="12" t="s">
        <v>3535</v>
      </c>
      <c r="AS108" s="12" t="s">
        <v>3536</v>
      </c>
      <c r="AT108" s="12" t="s">
        <v>3537</v>
      </c>
      <c r="AU108" s="12" t="s">
        <v>6</v>
      </c>
      <c r="AV108" s="12" t="s">
        <v>3538</v>
      </c>
      <c r="AW108" s="12" t="s">
        <v>3539</v>
      </c>
      <c r="AX108" s="12" t="s">
        <v>3540</v>
      </c>
      <c r="AY108" s="12" t="s">
        <v>3541</v>
      </c>
      <c r="AZ108" s="12" t="s">
        <v>3542</v>
      </c>
      <c r="BA108" s="12" t="s">
        <v>3543</v>
      </c>
      <c r="BB108" s="12" t="s">
        <v>3544</v>
      </c>
      <c r="BC108" s="17"/>
    </row>
    <row r="109" ht="22.5" customHeight="1">
      <c r="A109" s="18">
        <v>46182.00898486111</v>
      </c>
      <c r="B109" s="19" t="s">
        <v>393</v>
      </c>
      <c r="C109" s="20">
        <v>34.0</v>
      </c>
      <c r="D109" s="24" t="s">
        <v>3889</v>
      </c>
      <c r="E109" s="22">
        <f t="shared" si="1"/>
        <v>39</v>
      </c>
      <c r="F109" s="19" t="s">
        <v>3890</v>
      </c>
      <c r="G109" s="19" t="s">
        <v>394</v>
      </c>
      <c r="H109" s="19" t="s">
        <v>393</v>
      </c>
      <c r="I109" s="22">
        <v>8.01038184E9</v>
      </c>
      <c r="J109" s="19" t="s">
        <v>3547</v>
      </c>
      <c r="K109" s="19" t="s">
        <v>3504</v>
      </c>
      <c r="L109" s="19" t="s">
        <v>3505</v>
      </c>
      <c r="M109" s="21"/>
      <c r="N109" s="19" t="s">
        <v>3506</v>
      </c>
      <c r="O109" s="19" t="s">
        <v>3507</v>
      </c>
      <c r="P109" s="19" t="s">
        <v>3637</v>
      </c>
      <c r="Q109" s="21"/>
      <c r="R109" s="19" t="s">
        <v>3509</v>
      </c>
      <c r="S109" s="19" t="s">
        <v>3510</v>
      </c>
      <c r="T109" s="19" t="s">
        <v>3511</v>
      </c>
      <c r="U109" s="19" t="s">
        <v>3550</v>
      </c>
      <c r="V109" s="19" t="s">
        <v>3513</v>
      </c>
      <c r="W109" s="19" t="s">
        <v>3514</v>
      </c>
      <c r="X109" s="19" t="s">
        <v>3515</v>
      </c>
      <c r="Y109" s="19" t="s">
        <v>3516</v>
      </c>
      <c r="Z109" s="19" t="s">
        <v>3517</v>
      </c>
      <c r="AA109" s="19" t="s">
        <v>3518</v>
      </c>
      <c r="AB109" s="19" t="s">
        <v>3519</v>
      </c>
      <c r="AC109" s="19" t="s">
        <v>3520</v>
      </c>
      <c r="AD109" s="19" t="s">
        <v>3521</v>
      </c>
      <c r="AE109" s="19" t="s">
        <v>3522</v>
      </c>
      <c r="AF109" s="19" t="s">
        <v>3523</v>
      </c>
      <c r="AG109" s="19" t="s">
        <v>3524</v>
      </c>
      <c r="AH109" s="19" t="s">
        <v>3525</v>
      </c>
      <c r="AI109" s="19" t="s">
        <v>3526</v>
      </c>
      <c r="AJ109" s="19" t="s">
        <v>3527</v>
      </c>
      <c r="AK109" s="19" t="s">
        <v>3528</v>
      </c>
      <c r="AL109" s="19" t="s">
        <v>3590</v>
      </c>
      <c r="AM109" s="19" t="s">
        <v>3530</v>
      </c>
      <c r="AN109" s="19" t="s">
        <v>3531</v>
      </c>
      <c r="AO109" s="19" t="s">
        <v>3551</v>
      </c>
      <c r="AP109" s="19" t="s">
        <v>3577</v>
      </c>
      <c r="AQ109" s="19" t="s">
        <v>3534</v>
      </c>
      <c r="AR109" s="19" t="s">
        <v>3535</v>
      </c>
      <c r="AS109" s="19" t="s">
        <v>3536</v>
      </c>
      <c r="AT109" s="19" t="s">
        <v>3643</v>
      </c>
      <c r="AU109" s="22">
        <v>1.0</v>
      </c>
      <c r="AV109" s="19" t="s">
        <v>3538</v>
      </c>
      <c r="AW109" s="19" t="s">
        <v>3539</v>
      </c>
      <c r="AX109" s="19" t="s">
        <v>3540</v>
      </c>
      <c r="AY109" s="19" t="s">
        <v>3541</v>
      </c>
      <c r="AZ109" s="19" t="s">
        <v>3542</v>
      </c>
      <c r="BA109" s="19" t="s">
        <v>3543</v>
      </c>
      <c r="BB109" s="19" t="s">
        <v>3544</v>
      </c>
      <c r="BC109" s="23"/>
    </row>
    <row r="110" ht="22.5" customHeight="1">
      <c r="A110" s="11">
        <v>46182.013499583336</v>
      </c>
      <c r="B110" s="12" t="s">
        <v>3891</v>
      </c>
      <c r="C110" s="13">
        <v>25.0</v>
      </c>
      <c r="D110" s="14" t="s">
        <v>3892</v>
      </c>
      <c r="E110" s="15">
        <f t="shared" si="1"/>
        <v>30</v>
      </c>
      <c r="F110" s="12" t="s">
        <v>3893</v>
      </c>
      <c r="G110" s="12" t="s">
        <v>3894</v>
      </c>
      <c r="H110" s="12" t="s">
        <v>364</v>
      </c>
      <c r="I110" s="15">
        <v>7.852070366E9</v>
      </c>
      <c r="J110" s="12" t="s">
        <v>3547</v>
      </c>
      <c r="K110" s="12" t="s">
        <v>3504</v>
      </c>
      <c r="L110" s="12" t="s">
        <v>3556</v>
      </c>
      <c r="M110" s="16"/>
      <c r="N110" s="12" t="s">
        <v>3506</v>
      </c>
      <c r="O110" s="12" t="s">
        <v>3507</v>
      </c>
      <c r="P110" s="12" t="s">
        <v>3877</v>
      </c>
      <c r="Q110" s="16"/>
      <c r="R110" s="12" t="s">
        <v>3509</v>
      </c>
      <c r="S110" s="12" t="s">
        <v>3510</v>
      </c>
      <c r="T110" s="12" t="s">
        <v>3549</v>
      </c>
      <c r="U110" s="12" t="s">
        <v>3512</v>
      </c>
      <c r="V110" s="12" t="s">
        <v>3593</v>
      </c>
      <c r="W110" s="12" t="s">
        <v>3514</v>
      </c>
      <c r="X110" s="12" t="s">
        <v>3515</v>
      </c>
      <c r="Y110" s="12" t="s">
        <v>3516</v>
      </c>
      <c r="Z110" s="12" t="s">
        <v>3517</v>
      </c>
      <c r="AA110" s="12" t="s">
        <v>3518</v>
      </c>
      <c r="AB110" s="12" t="s">
        <v>3519</v>
      </c>
      <c r="AC110" s="12" t="s">
        <v>3520</v>
      </c>
      <c r="AD110" s="12" t="s">
        <v>3521</v>
      </c>
      <c r="AE110" s="12" t="s">
        <v>3522</v>
      </c>
      <c r="AF110" s="12" t="s">
        <v>3523</v>
      </c>
      <c r="AG110" s="12" t="s">
        <v>3524</v>
      </c>
      <c r="AH110" s="12" t="s">
        <v>3525</v>
      </c>
      <c r="AI110" s="12" t="s">
        <v>3526</v>
      </c>
      <c r="AJ110" s="12" t="s">
        <v>3527</v>
      </c>
      <c r="AK110" s="16"/>
      <c r="AL110" s="16"/>
      <c r="AM110" s="16"/>
      <c r="AN110" s="16"/>
      <c r="AO110" s="16"/>
      <c r="AP110" s="16"/>
      <c r="AQ110" s="16"/>
      <c r="AR110" s="12" t="s">
        <v>3535</v>
      </c>
      <c r="AS110" s="12" t="s">
        <v>3536</v>
      </c>
      <c r="AT110" s="12" t="s">
        <v>3562</v>
      </c>
      <c r="AU110" s="12" t="s">
        <v>6</v>
      </c>
      <c r="AV110" s="12" t="s">
        <v>3538</v>
      </c>
      <c r="AW110" s="16"/>
      <c r="AX110" s="16"/>
      <c r="AY110" s="16"/>
      <c r="AZ110" s="16"/>
      <c r="BA110" s="16"/>
      <c r="BB110" s="16"/>
      <c r="BC110" s="17"/>
    </row>
    <row r="111" ht="22.5" customHeight="1">
      <c r="A111" s="18">
        <v>46182.01444706018</v>
      </c>
      <c r="B111" s="19" t="s">
        <v>3168</v>
      </c>
      <c r="C111" s="20">
        <v>23.0</v>
      </c>
      <c r="D111" s="21"/>
      <c r="E111" s="22">
        <f t="shared" si="1"/>
        <v>23</v>
      </c>
      <c r="F111" s="19" t="s">
        <v>3895</v>
      </c>
      <c r="G111" s="19" t="s">
        <v>3896</v>
      </c>
      <c r="H111" s="19" t="s">
        <v>3168</v>
      </c>
      <c r="I111" s="22">
        <v>7.003289459E9</v>
      </c>
      <c r="J111" s="19" t="s">
        <v>3547</v>
      </c>
      <c r="K111" s="19" t="s">
        <v>3897</v>
      </c>
      <c r="L111" s="19" t="s">
        <v>3505</v>
      </c>
      <c r="M111" s="21"/>
      <c r="N111" s="19" t="s">
        <v>3506</v>
      </c>
      <c r="O111" s="19" t="s">
        <v>3614</v>
      </c>
      <c r="P111" s="19" t="s">
        <v>3877</v>
      </c>
      <c r="Q111" s="21"/>
      <c r="R111" s="19" t="s">
        <v>3878</v>
      </c>
      <c r="S111" s="19" t="s">
        <v>3510</v>
      </c>
      <c r="T111" s="19" t="s">
        <v>3511</v>
      </c>
      <c r="U111" s="19" t="s">
        <v>3582</v>
      </c>
      <c r="V111" s="19" t="s">
        <v>3513</v>
      </c>
      <c r="W111" s="19" t="s">
        <v>3514</v>
      </c>
      <c r="X111" s="19" t="s">
        <v>3515</v>
      </c>
      <c r="Y111" s="19" t="s">
        <v>3680</v>
      </c>
      <c r="Z111" s="19" t="s">
        <v>3898</v>
      </c>
      <c r="AA111" s="19" t="s">
        <v>3518</v>
      </c>
      <c r="AB111" s="19" t="s">
        <v>3519</v>
      </c>
      <c r="AC111" s="19" t="s">
        <v>3520</v>
      </c>
      <c r="AD111" s="19" t="s">
        <v>3521</v>
      </c>
      <c r="AE111" s="19" t="s">
        <v>3522</v>
      </c>
      <c r="AF111" s="19" t="s">
        <v>3523</v>
      </c>
      <c r="AG111" s="19" t="s">
        <v>3589</v>
      </c>
      <c r="AH111" s="19" t="s">
        <v>3525</v>
      </c>
      <c r="AI111" s="19" t="s">
        <v>3772</v>
      </c>
      <c r="AJ111" s="19" t="s">
        <v>3773</v>
      </c>
      <c r="AK111" s="19" t="s">
        <v>3528</v>
      </c>
      <c r="AL111" s="21"/>
      <c r="AM111" s="21"/>
      <c r="AN111" s="21"/>
      <c r="AO111" s="19" t="s">
        <v>3658</v>
      </c>
      <c r="AP111" s="19" t="s">
        <v>3533</v>
      </c>
      <c r="AQ111" s="21"/>
      <c r="AR111" s="19" t="s">
        <v>3535</v>
      </c>
      <c r="AS111" s="19" t="s">
        <v>3536</v>
      </c>
      <c r="AT111" s="19" t="s">
        <v>3537</v>
      </c>
      <c r="AU111" s="19" t="s">
        <v>6</v>
      </c>
      <c r="AV111" s="19" t="s">
        <v>3536</v>
      </c>
      <c r="AW111" s="19" t="s">
        <v>3558</v>
      </c>
      <c r="AX111" s="19" t="s">
        <v>3540</v>
      </c>
      <c r="AY111" s="21"/>
      <c r="AZ111" s="19" t="s">
        <v>3542</v>
      </c>
      <c r="BA111" s="21"/>
      <c r="BB111" s="19" t="s">
        <v>3544</v>
      </c>
      <c r="BC111" s="23"/>
    </row>
    <row r="112" ht="22.5" customHeight="1">
      <c r="A112" s="11">
        <v>46182.05306950232</v>
      </c>
      <c r="B112" s="12" t="s">
        <v>3899</v>
      </c>
      <c r="C112" s="13">
        <v>42.0</v>
      </c>
      <c r="D112" s="14" t="s">
        <v>3900</v>
      </c>
      <c r="E112" s="15">
        <f t="shared" si="1"/>
        <v>47</v>
      </c>
      <c r="F112" s="12" t="s">
        <v>3901</v>
      </c>
      <c r="G112" s="12" t="s">
        <v>2543</v>
      </c>
      <c r="H112" s="12" t="s">
        <v>3899</v>
      </c>
      <c r="I112" s="15">
        <v>7.988068838E9</v>
      </c>
      <c r="J112" s="12" t="s">
        <v>3547</v>
      </c>
      <c r="K112" s="12" t="s">
        <v>3504</v>
      </c>
      <c r="L112" s="12" t="s">
        <v>3556</v>
      </c>
      <c r="M112" s="16"/>
      <c r="N112" s="12" t="s">
        <v>3506</v>
      </c>
      <c r="O112" s="12" t="s">
        <v>3507</v>
      </c>
      <c r="P112" s="12" t="s">
        <v>3508</v>
      </c>
      <c r="Q112" s="16"/>
      <c r="R112" s="12" t="s">
        <v>3509</v>
      </c>
      <c r="S112" s="12" t="s">
        <v>3510</v>
      </c>
      <c r="T112" s="12" t="s">
        <v>3549</v>
      </c>
      <c r="U112" s="12" t="s">
        <v>3550</v>
      </c>
      <c r="V112" s="12" t="s">
        <v>3513</v>
      </c>
      <c r="W112" s="12" t="s">
        <v>3514</v>
      </c>
      <c r="X112" s="12" t="s">
        <v>3515</v>
      </c>
      <c r="Y112" s="12" t="s">
        <v>3516</v>
      </c>
      <c r="Z112" s="12" t="s">
        <v>3517</v>
      </c>
      <c r="AA112" s="12" t="s">
        <v>3518</v>
      </c>
      <c r="AB112" s="12" t="s">
        <v>3519</v>
      </c>
      <c r="AC112" s="12" t="s">
        <v>3520</v>
      </c>
      <c r="AD112" s="12" t="s">
        <v>3521</v>
      </c>
      <c r="AE112" s="12" t="s">
        <v>3522</v>
      </c>
      <c r="AF112" s="12" t="s">
        <v>3523</v>
      </c>
      <c r="AG112" s="12" t="s">
        <v>3524</v>
      </c>
      <c r="AH112" s="12" t="s">
        <v>3525</v>
      </c>
      <c r="AI112" s="12" t="s">
        <v>3526</v>
      </c>
      <c r="AJ112" s="12" t="s">
        <v>3527</v>
      </c>
      <c r="AK112" s="12" t="s">
        <v>3528</v>
      </c>
      <c r="AL112" s="12" t="s">
        <v>3529</v>
      </c>
      <c r="AM112" s="12" t="s">
        <v>3530</v>
      </c>
      <c r="AN112" s="12" t="s">
        <v>3531</v>
      </c>
      <c r="AO112" s="12" t="s">
        <v>3557</v>
      </c>
      <c r="AP112" s="12" t="s">
        <v>3533</v>
      </c>
      <c r="AQ112" s="12" t="s">
        <v>3534</v>
      </c>
      <c r="AR112" s="12" t="s">
        <v>3535</v>
      </c>
      <c r="AS112" s="12" t="s">
        <v>3536</v>
      </c>
      <c r="AT112" s="12" t="s">
        <v>3537</v>
      </c>
      <c r="AU112" s="12" t="s">
        <v>6</v>
      </c>
      <c r="AV112" s="12" t="s">
        <v>3538</v>
      </c>
      <c r="AW112" s="12" t="s">
        <v>3539</v>
      </c>
      <c r="AX112" s="12" t="s">
        <v>3540</v>
      </c>
      <c r="AY112" s="12" t="s">
        <v>3541</v>
      </c>
      <c r="AZ112" s="12" t="s">
        <v>3542</v>
      </c>
      <c r="BA112" s="12" t="s">
        <v>3543</v>
      </c>
      <c r="BB112" s="12" t="s">
        <v>3544</v>
      </c>
      <c r="BC112" s="17"/>
    </row>
    <row r="113" ht="22.5" customHeight="1">
      <c r="A113" s="18">
        <v>46182.066689479165</v>
      </c>
      <c r="B113" s="19" t="s">
        <v>2405</v>
      </c>
      <c r="C113" s="20">
        <v>36.0</v>
      </c>
      <c r="D113" s="24" t="s">
        <v>3902</v>
      </c>
      <c r="E113" s="22">
        <f t="shared" si="1"/>
        <v>41</v>
      </c>
      <c r="F113" s="19" t="s">
        <v>3903</v>
      </c>
      <c r="G113" s="19" t="s">
        <v>3904</v>
      </c>
      <c r="H113" s="19" t="s">
        <v>2405</v>
      </c>
      <c r="I113" s="22">
        <v>9.175902388E9</v>
      </c>
      <c r="J113" s="19" t="s">
        <v>3503</v>
      </c>
      <c r="K113" s="19" t="s">
        <v>3504</v>
      </c>
      <c r="L113" s="19" t="s">
        <v>3556</v>
      </c>
      <c r="M113" s="21"/>
      <c r="N113" s="19" t="s">
        <v>3506</v>
      </c>
      <c r="O113" s="19" t="s">
        <v>3507</v>
      </c>
      <c r="P113" s="19" t="s">
        <v>3508</v>
      </c>
      <c r="Q113" s="21"/>
      <c r="R113" s="19" t="s">
        <v>3509</v>
      </c>
      <c r="S113" s="19" t="s">
        <v>3510</v>
      </c>
      <c r="T113" s="19" t="s">
        <v>3549</v>
      </c>
      <c r="U113" s="19" t="s">
        <v>3550</v>
      </c>
      <c r="V113" s="19" t="s">
        <v>3593</v>
      </c>
      <c r="W113" s="19" t="s">
        <v>3514</v>
      </c>
      <c r="X113" s="19" t="s">
        <v>3515</v>
      </c>
      <c r="Y113" s="19" t="s">
        <v>3516</v>
      </c>
      <c r="Z113" s="19" t="s">
        <v>3517</v>
      </c>
      <c r="AA113" s="19" t="s">
        <v>3518</v>
      </c>
      <c r="AB113" s="19" t="s">
        <v>3519</v>
      </c>
      <c r="AC113" s="19" t="s">
        <v>3520</v>
      </c>
      <c r="AD113" s="19" t="s">
        <v>3521</v>
      </c>
      <c r="AE113" s="19" t="s">
        <v>3522</v>
      </c>
      <c r="AF113" s="19" t="s">
        <v>3523</v>
      </c>
      <c r="AG113" s="19" t="s">
        <v>3524</v>
      </c>
      <c r="AH113" s="19" t="s">
        <v>3525</v>
      </c>
      <c r="AI113" s="19" t="s">
        <v>3526</v>
      </c>
      <c r="AJ113" s="19" t="s">
        <v>3527</v>
      </c>
      <c r="AK113" s="19" t="s">
        <v>3528</v>
      </c>
      <c r="AL113" s="19" t="s">
        <v>3529</v>
      </c>
      <c r="AM113" s="19" t="s">
        <v>3530</v>
      </c>
      <c r="AN113" s="19" t="s">
        <v>3531</v>
      </c>
      <c r="AO113" s="19" t="s">
        <v>3557</v>
      </c>
      <c r="AP113" s="19" t="s">
        <v>3577</v>
      </c>
      <c r="AQ113" s="21"/>
      <c r="AR113" s="19" t="s">
        <v>3535</v>
      </c>
      <c r="AS113" s="19" t="s">
        <v>3538</v>
      </c>
      <c r="AT113" s="19" t="s">
        <v>3537</v>
      </c>
      <c r="AU113" s="19" t="s">
        <v>6</v>
      </c>
      <c r="AV113" s="19" t="s">
        <v>3538</v>
      </c>
      <c r="AW113" s="19" t="s">
        <v>3558</v>
      </c>
      <c r="AX113" s="19" t="s">
        <v>3540</v>
      </c>
      <c r="AY113" s="19" t="s">
        <v>3541</v>
      </c>
      <c r="AZ113" s="19" t="s">
        <v>3542</v>
      </c>
      <c r="BA113" s="19" t="s">
        <v>3543</v>
      </c>
      <c r="BB113" s="19" t="s">
        <v>3544</v>
      </c>
      <c r="BC113" s="23"/>
    </row>
    <row r="114" ht="22.5" customHeight="1">
      <c r="A114" s="11">
        <v>46182.092683587965</v>
      </c>
      <c r="B114" s="12" t="s">
        <v>759</v>
      </c>
      <c r="C114" s="13">
        <v>16.0</v>
      </c>
      <c r="D114" s="16"/>
      <c r="E114" s="15">
        <f t="shared" si="1"/>
        <v>16</v>
      </c>
      <c r="F114" s="12" t="s">
        <v>3905</v>
      </c>
      <c r="G114" s="12" t="s">
        <v>3906</v>
      </c>
      <c r="H114" s="12" t="s">
        <v>759</v>
      </c>
      <c r="I114" s="15">
        <v>7.41662813E9</v>
      </c>
      <c r="J114" s="12" t="s">
        <v>3547</v>
      </c>
      <c r="K114" s="12" t="s">
        <v>3897</v>
      </c>
      <c r="L114" s="12" t="s">
        <v>3771</v>
      </c>
      <c r="M114" s="16"/>
      <c r="N114" s="12" t="s">
        <v>3506</v>
      </c>
      <c r="O114" s="16"/>
      <c r="P114" s="16"/>
      <c r="Q114" s="16"/>
      <c r="R114" s="12" t="s">
        <v>3878</v>
      </c>
      <c r="S114" s="16"/>
      <c r="T114" s="12" t="s">
        <v>3549</v>
      </c>
      <c r="U114" s="12" t="s">
        <v>3512</v>
      </c>
      <c r="V114" s="12" t="s">
        <v>3513</v>
      </c>
      <c r="W114" s="16"/>
      <c r="X114" s="12" t="s">
        <v>3869</v>
      </c>
      <c r="Y114" s="16"/>
      <c r="Z114" s="12" t="s">
        <v>3608</v>
      </c>
      <c r="AA114" s="12" t="s">
        <v>3518</v>
      </c>
      <c r="AB114" s="12" t="s">
        <v>3519</v>
      </c>
      <c r="AC114" s="16"/>
      <c r="AD114" s="12" t="s">
        <v>3615</v>
      </c>
      <c r="AE114" s="12" t="s">
        <v>3704</v>
      </c>
      <c r="AF114" s="16"/>
      <c r="AG114" s="12" t="s">
        <v>3524</v>
      </c>
      <c r="AH114" s="16"/>
      <c r="AI114" s="12" t="s">
        <v>3772</v>
      </c>
      <c r="AJ114" s="12" t="s">
        <v>3527</v>
      </c>
      <c r="AK114" s="12" t="s">
        <v>3528</v>
      </c>
      <c r="AL114" s="12" t="s">
        <v>3529</v>
      </c>
      <c r="AM114" s="16"/>
      <c r="AN114" s="12" t="s">
        <v>3531</v>
      </c>
      <c r="AO114" s="12" t="s">
        <v>3532</v>
      </c>
      <c r="AP114" s="12" t="s">
        <v>3533</v>
      </c>
      <c r="AQ114" s="12" t="s">
        <v>3534</v>
      </c>
      <c r="AR114" s="16"/>
      <c r="AS114" s="16"/>
      <c r="AT114" s="16"/>
      <c r="AU114" s="16"/>
      <c r="AV114" s="12" t="s">
        <v>3536</v>
      </c>
      <c r="AW114" s="12" t="s">
        <v>3539</v>
      </c>
      <c r="AX114" s="16"/>
      <c r="AY114" s="16"/>
      <c r="AZ114" s="12" t="s">
        <v>3706</v>
      </c>
      <c r="BA114" s="12" t="s">
        <v>3543</v>
      </c>
      <c r="BB114" s="12" t="s">
        <v>3544</v>
      </c>
      <c r="BC114" s="17"/>
    </row>
    <row r="115" ht="22.5" customHeight="1">
      <c r="A115" s="18">
        <v>46182.10184394676</v>
      </c>
      <c r="B115" s="19" t="s">
        <v>2411</v>
      </c>
      <c r="C115" s="20">
        <v>41.0</v>
      </c>
      <c r="D115" s="24" t="s">
        <v>3907</v>
      </c>
      <c r="E115" s="22">
        <f t="shared" si="1"/>
        <v>46</v>
      </c>
      <c r="F115" s="19" t="s">
        <v>3908</v>
      </c>
      <c r="G115" s="19" t="s">
        <v>2412</v>
      </c>
      <c r="H115" s="19" t="s">
        <v>2411</v>
      </c>
      <c r="I115" s="22">
        <v>6.290650591E9</v>
      </c>
      <c r="J115" s="19" t="s">
        <v>3547</v>
      </c>
      <c r="K115" s="19" t="s">
        <v>3504</v>
      </c>
      <c r="L115" s="19" t="s">
        <v>3556</v>
      </c>
      <c r="M115" s="21"/>
      <c r="N115" s="19" t="s">
        <v>3506</v>
      </c>
      <c r="O115" s="19" t="s">
        <v>3507</v>
      </c>
      <c r="P115" s="19" t="s">
        <v>3508</v>
      </c>
      <c r="Q115" s="21"/>
      <c r="R115" s="19" t="s">
        <v>3509</v>
      </c>
      <c r="S115" s="19" t="s">
        <v>3510</v>
      </c>
      <c r="T115" s="19" t="s">
        <v>3549</v>
      </c>
      <c r="U115" s="19" t="s">
        <v>3512</v>
      </c>
      <c r="V115" s="19" t="s">
        <v>3513</v>
      </c>
      <c r="W115" s="19" t="s">
        <v>3514</v>
      </c>
      <c r="X115" s="19" t="s">
        <v>3515</v>
      </c>
      <c r="Y115" s="19" t="s">
        <v>3516</v>
      </c>
      <c r="Z115" s="19" t="s">
        <v>3517</v>
      </c>
      <c r="AA115" s="19" t="s">
        <v>3518</v>
      </c>
      <c r="AB115" s="19" t="s">
        <v>3519</v>
      </c>
      <c r="AC115" s="19" t="s">
        <v>3520</v>
      </c>
      <c r="AD115" s="19" t="s">
        <v>3521</v>
      </c>
      <c r="AE115" s="19" t="s">
        <v>3522</v>
      </c>
      <c r="AF115" s="19" t="s">
        <v>3523</v>
      </c>
      <c r="AG115" s="19" t="s">
        <v>3524</v>
      </c>
      <c r="AH115" s="19" t="s">
        <v>3525</v>
      </c>
      <c r="AI115" s="19" t="s">
        <v>3526</v>
      </c>
      <c r="AJ115" s="19" t="s">
        <v>3527</v>
      </c>
      <c r="AK115" s="19" t="s">
        <v>3528</v>
      </c>
      <c r="AL115" s="19" t="s">
        <v>3529</v>
      </c>
      <c r="AM115" s="19" t="s">
        <v>3530</v>
      </c>
      <c r="AN115" s="19" t="s">
        <v>3531</v>
      </c>
      <c r="AO115" s="19" t="s">
        <v>3557</v>
      </c>
      <c r="AP115" s="19" t="s">
        <v>3533</v>
      </c>
      <c r="AQ115" s="19" t="s">
        <v>3534</v>
      </c>
      <c r="AR115" s="19" t="s">
        <v>3535</v>
      </c>
      <c r="AS115" s="19" t="s">
        <v>3536</v>
      </c>
      <c r="AT115" s="19" t="s">
        <v>3537</v>
      </c>
      <c r="AU115" s="19" t="s">
        <v>6</v>
      </c>
      <c r="AV115" s="19" t="s">
        <v>3538</v>
      </c>
      <c r="AW115" s="19" t="s">
        <v>3539</v>
      </c>
      <c r="AX115" s="19" t="s">
        <v>3540</v>
      </c>
      <c r="AY115" s="19" t="s">
        <v>3541</v>
      </c>
      <c r="AZ115" s="19" t="s">
        <v>3542</v>
      </c>
      <c r="BA115" s="19" t="s">
        <v>3543</v>
      </c>
      <c r="BB115" s="19" t="s">
        <v>3544</v>
      </c>
      <c r="BC115" s="23"/>
    </row>
    <row r="116" ht="22.5" customHeight="1">
      <c r="A116" s="11">
        <v>46182.121538946754</v>
      </c>
      <c r="B116" s="12" t="s">
        <v>1156</v>
      </c>
      <c r="C116" s="13">
        <v>38.0</v>
      </c>
      <c r="D116" s="14" t="s">
        <v>3909</v>
      </c>
      <c r="E116" s="15">
        <f t="shared" si="1"/>
        <v>43</v>
      </c>
      <c r="F116" s="12" t="s">
        <v>3910</v>
      </c>
      <c r="G116" s="12" t="s">
        <v>1157</v>
      </c>
      <c r="H116" s="12" t="s">
        <v>1156</v>
      </c>
      <c r="I116" s="15">
        <v>9.818897809E9</v>
      </c>
      <c r="J116" s="12" t="s">
        <v>3547</v>
      </c>
      <c r="K116" s="12" t="s">
        <v>3504</v>
      </c>
      <c r="L116" s="12" t="s">
        <v>3556</v>
      </c>
      <c r="M116" s="16"/>
      <c r="N116" s="12" t="s">
        <v>3506</v>
      </c>
      <c r="O116" s="12" t="s">
        <v>3507</v>
      </c>
      <c r="P116" s="12" t="s">
        <v>3508</v>
      </c>
      <c r="Q116" s="16"/>
      <c r="R116" s="12" t="s">
        <v>3509</v>
      </c>
      <c r="S116" s="12" t="s">
        <v>3510</v>
      </c>
      <c r="T116" s="12" t="s">
        <v>3549</v>
      </c>
      <c r="U116" s="12" t="s">
        <v>3550</v>
      </c>
      <c r="V116" s="12" t="s">
        <v>3593</v>
      </c>
      <c r="W116" s="12" t="s">
        <v>3514</v>
      </c>
      <c r="X116" s="12" t="s">
        <v>3515</v>
      </c>
      <c r="Y116" s="12" t="s">
        <v>3516</v>
      </c>
      <c r="Z116" s="12" t="s">
        <v>3517</v>
      </c>
      <c r="AA116" s="12" t="s">
        <v>3518</v>
      </c>
      <c r="AB116" s="12" t="s">
        <v>3519</v>
      </c>
      <c r="AC116" s="12" t="s">
        <v>3520</v>
      </c>
      <c r="AD116" s="12" t="s">
        <v>3521</v>
      </c>
      <c r="AE116" s="12" t="s">
        <v>3522</v>
      </c>
      <c r="AF116" s="12" t="s">
        <v>3639</v>
      </c>
      <c r="AG116" s="12" t="s">
        <v>3524</v>
      </c>
      <c r="AH116" s="12" t="s">
        <v>3525</v>
      </c>
      <c r="AI116" s="12" t="s">
        <v>3526</v>
      </c>
      <c r="AJ116" s="12" t="s">
        <v>3527</v>
      </c>
      <c r="AK116" s="12" t="s">
        <v>3528</v>
      </c>
      <c r="AL116" s="12" t="s">
        <v>3529</v>
      </c>
      <c r="AM116" s="12" t="s">
        <v>3530</v>
      </c>
      <c r="AN116" s="12" t="s">
        <v>3531</v>
      </c>
      <c r="AO116" s="12" t="s">
        <v>3658</v>
      </c>
      <c r="AP116" s="12" t="s">
        <v>3533</v>
      </c>
      <c r="AQ116" s="12" t="s">
        <v>3534</v>
      </c>
      <c r="AR116" s="12" t="s">
        <v>3535</v>
      </c>
      <c r="AS116" s="12" t="s">
        <v>3536</v>
      </c>
      <c r="AT116" s="12" t="s">
        <v>3537</v>
      </c>
      <c r="AU116" s="12" t="s">
        <v>6</v>
      </c>
      <c r="AV116" s="12" t="s">
        <v>3538</v>
      </c>
      <c r="AW116" s="12" t="s">
        <v>3705</v>
      </c>
      <c r="AX116" s="12" t="s">
        <v>3540</v>
      </c>
      <c r="AY116" s="12" t="s">
        <v>3541</v>
      </c>
      <c r="AZ116" s="12" t="s">
        <v>3542</v>
      </c>
      <c r="BA116" s="12" t="s">
        <v>3543</v>
      </c>
      <c r="BB116" s="12" t="s">
        <v>3544</v>
      </c>
      <c r="BC116" s="17"/>
    </row>
    <row r="117" ht="22.5" customHeight="1">
      <c r="A117" s="18">
        <v>46182.123554907404</v>
      </c>
      <c r="B117" s="19" t="s">
        <v>2772</v>
      </c>
      <c r="C117" s="20">
        <v>37.0</v>
      </c>
      <c r="D117" s="21"/>
      <c r="E117" s="22">
        <f t="shared" si="1"/>
        <v>37</v>
      </c>
      <c r="F117" s="19" t="s">
        <v>3911</v>
      </c>
      <c r="G117" s="19" t="s">
        <v>3912</v>
      </c>
      <c r="H117" s="19" t="s">
        <v>2772</v>
      </c>
      <c r="I117" s="22">
        <v>9.33618849E9</v>
      </c>
      <c r="J117" s="19" t="s">
        <v>3503</v>
      </c>
      <c r="K117" s="19" t="s">
        <v>3504</v>
      </c>
      <c r="L117" s="19" t="s">
        <v>3556</v>
      </c>
      <c r="M117" s="21"/>
      <c r="N117" s="19" t="s">
        <v>3506</v>
      </c>
      <c r="O117" s="19" t="s">
        <v>3507</v>
      </c>
      <c r="P117" s="19" t="s">
        <v>3508</v>
      </c>
      <c r="Q117" s="21"/>
      <c r="R117" s="19" t="s">
        <v>3509</v>
      </c>
      <c r="S117" s="19" t="s">
        <v>3510</v>
      </c>
      <c r="T117" s="19" t="s">
        <v>3549</v>
      </c>
      <c r="U117" s="19" t="s">
        <v>3550</v>
      </c>
      <c r="V117" s="19" t="s">
        <v>3513</v>
      </c>
      <c r="W117" s="19" t="s">
        <v>3514</v>
      </c>
      <c r="X117" s="19" t="s">
        <v>3515</v>
      </c>
      <c r="Y117" s="19" t="s">
        <v>3516</v>
      </c>
      <c r="Z117" s="19" t="s">
        <v>3517</v>
      </c>
      <c r="AA117" s="19" t="s">
        <v>3518</v>
      </c>
      <c r="AB117" s="19" t="s">
        <v>3519</v>
      </c>
      <c r="AC117" s="19" t="s">
        <v>3520</v>
      </c>
      <c r="AD117" s="19" t="s">
        <v>3521</v>
      </c>
      <c r="AE117" s="19" t="s">
        <v>3522</v>
      </c>
      <c r="AF117" s="19" t="s">
        <v>3523</v>
      </c>
      <c r="AG117" s="19" t="s">
        <v>3589</v>
      </c>
      <c r="AH117" s="19" t="s">
        <v>3525</v>
      </c>
      <c r="AI117" s="19" t="s">
        <v>3526</v>
      </c>
      <c r="AJ117" s="19" t="s">
        <v>3527</v>
      </c>
      <c r="AK117" s="19" t="s">
        <v>3528</v>
      </c>
      <c r="AL117" s="19" t="s">
        <v>3590</v>
      </c>
      <c r="AM117" s="19" t="s">
        <v>3530</v>
      </c>
      <c r="AN117" s="19" t="s">
        <v>3710</v>
      </c>
      <c r="AO117" s="19" t="s">
        <v>3557</v>
      </c>
      <c r="AP117" s="19" t="s">
        <v>3533</v>
      </c>
      <c r="AQ117" s="19" t="s">
        <v>3534</v>
      </c>
      <c r="AR117" s="19" t="s">
        <v>3535</v>
      </c>
      <c r="AS117" s="19" t="s">
        <v>3536</v>
      </c>
      <c r="AT117" s="19" t="s">
        <v>3537</v>
      </c>
      <c r="AU117" s="19" t="s">
        <v>6</v>
      </c>
      <c r="AV117" s="19" t="s">
        <v>3538</v>
      </c>
      <c r="AW117" s="19" t="s">
        <v>3539</v>
      </c>
      <c r="AX117" s="19" t="s">
        <v>3540</v>
      </c>
      <c r="AY117" s="19" t="s">
        <v>3541</v>
      </c>
      <c r="AZ117" s="19" t="s">
        <v>3542</v>
      </c>
      <c r="BA117" s="19" t="s">
        <v>3543</v>
      </c>
      <c r="BB117" s="21"/>
      <c r="BC117" s="23"/>
    </row>
    <row r="118" ht="22.5" customHeight="1">
      <c r="A118" s="11">
        <v>46182.15702825232</v>
      </c>
      <c r="B118" s="12" t="s">
        <v>3440</v>
      </c>
      <c r="C118" s="13">
        <v>38.0</v>
      </c>
      <c r="D118" s="14" t="s">
        <v>3913</v>
      </c>
      <c r="E118" s="15">
        <f t="shared" si="1"/>
        <v>43</v>
      </c>
      <c r="F118" s="12" t="s">
        <v>3445</v>
      </c>
      <c r="G118" s="12" t="s">
        <v>3441</v>
      </c>
      <c r="H118" s="12" t="s">
        <v>3440</v>
      </c>
      <c r="I118" s="15">
        <v>9.508321116E9</v>
      </c>
      <c r="J118" s="12" t="s">
        <v>3547</v>
      </c>
      <c r="K118" s="12" t="s">
        <v>3504</v>
      </c>
      <c r="L118" s="12" t="s">
        <v>3556</v>
      </c>
      <c r="M118" s="16"/>
      <c r="N118" s="12" t="s">
        <v>3506</v>
      </c>
      <c r="O118" s="12" t="s">
        <v>3507</v>
      </c>
      <c r="P118" s="12" t="s">
        <v>3508</v>
      </c>
      <c r="Q118" s="16"/>
      <c r="R118" s="12" t="s">
        <v>3509</v>
      </c>
      <c r="S118" s="12" t="s">
        <v>3510</v>
      </c>
      <c r="T118" s="12" t="s">
        <v>3511</v>
      </c>
      <c r="U118" s="12" t="s">
        <v>3512</v>
      </c>
      <c r="V118" s="12" t="s">
        <v>3513</v>
      </c>
      <c r="W118" s="12" t="s">
        <v>3514</v>
      </c>
      <c r="X118" s="12" t="s">
        <v>3515</v>
      </c>
      <c r="Y118" s="12" t="s">
        <v>3516</v>
      </c>
      <c r="Z118" s="12" t="s">
        <v>3517</v>
      </c>
      <c r="AA118" s="12" t="s">
        <v>3518</v>
      </c>
      <c r="AB118" s="12" t="s">
        <v>3519</v>
      </c>
      <c r="AC118" s="12" t="s">
        <v>3638</v>
      </c>
      <c r="AD118" s="12" t="s">
        <v>3521</v>
      </c>
      <c r="AE118" s="12" t="s">
        <v>3522</v>
      </c>
      <c r="AF118" s="12" t="s">
        <v>3523</v>
      </c>
      <c r="AG118" s="12" t="s">
        <v>3524</v>
      </c>
      <c r="AH118" s="12" t="s">
        <v>3525</v>
      </c>
      <c r="AI118" s="12" t="s">
        <v>3526</v>
      </c>
      <c r="AJ118" s="12" t="s">
        <v>3527</v>
      </c>
      <c r="AK118" s="12" t="s">
        <v>3528</v>
      </c>
      <c r="AL118" s="12" t="s">
        <v>3529</v>
      </c>
      <c r="AM118" s="12" t="s">
        <v>3530</v>
      </c>
      <c r="AN118" s="12" t="s">
        <v>3531</v>
      </c>
      <c r="AO118" s="12" t="s">
        <v>3557</v>
      </c>
      <c r="AP118" s="12" t="s">
        <v>3533</v>
      </c>
      <c r="AQ118" s="12" t="s">
        <v>3534</v>
      </c>
      <c r="AR118" s="12" t="s">
        <v>3535</v>
      </c>
      <c r="AS118" s="12" t="s">
        <v>3536</v>
      </c>
      <c r="AT118" s="12" t="s">
        <v>3537</v>
      </c>
      <c r="AU118" s="12" t="s">
        <v>6</v>
      </c>
      <c r="AV118" s="12" t="s">
        <v>3538</v>
      </c>
      <c r="AW118" s="12" t="s">
        <v>3558</v>
      </c>
      <c r="AX118" s="12" t="s">
        <v>3540</v>
      </c>
      <c r="AY118" s="12" t="s">
        <v>3541</v>
      </c>
      <c r="AZ118" s="12" t="s">
        <v>3542</v>
      </c>
      <c r="BA118" s="12" t="s">
        <v>3543</v>
      </c>
      <c r="BB118" s="12" t="s">
        <v>3544</v>
      </c>
      <c r="BC118" s="17"/>
    </row>
    <row r="119" ht="22.5" customHeight="1">
      <c r="A119" s="18">
        <v>46182.33327184028</v>
      </c>
      <c r="B119" s="19" t="s">
        <v>1975</v>
      </c>
      <c r="C119" s="20">
        <v>40.0</v>
      </c>
      <c r="D119" s="24" t="s">
        <v>3914</v>
      </c>
      <c r="E119" s="22">
        <f t="shared" si="1"/>
        <v>45</v>
      </c>
      <c r="F119" s="19" t="s">
        <v>3915</v>
      </c>
      <c r="G119" s="19" t="s">
        <v>1976</v>
      </c>
      <c r="H119" s="19" t="s">
        <v>1975</v>
      </c>
      <c r="I119" s="22">
        <v>9.823867445E9</v>
      </c>
      <c r="J119" s="19" t="s">
        <v>3547</v>
      </c>
      <c r="K119" s="19" t="s">
        <v>3504</v>
      </c>
      <c r="L119" s="19" t="s">
        <v>3556</v>
      </c>
      <c r="M119" s="21"/>
      <c r="N119" s="19" t="s">
        <v>3506</v>
      </c>
      <c r="O119" s="19" t="s">
        <v>3507</v>
      </c>
      <c r="P119" s="19" t="s">
        <v>3508</v>
      </c>
      <c r="Q119" s="21"/>
      <c r="R119" s="19" t="s">
        <v>3509</v>
      </c>
      <c r="S119" s="19" t="s">
        <v>3510</v>
      </c>
      <c r="T119" s="19" t="s">
        <v>3549</v>
      </c>
      <c r="U119" s="19" t="s">
        <v>3512</v>
      </c>
      <c r="V119" s="19" t="s">
        <v>3513</v>
      </c>
      <c r="W119" s="19" t="s">
        <v>3514</v>
      </c>
      <c r="X119" s="19" t="s">
        <v>3515</v>
      </c>
      <c r="Y119" s="19" t="s">
        <v>3516</v>
      </c>
      <c r="Z119" s="19" t="s">
        <v>3517</v>
      </c>
      <c r="AA119" s="19" t="s">
        <v>3518</v>
      </c>
      <c r="AB119" s="19" t="s">
        <v>3519</v>
      </c>
      <c r="AC119" s="19" t="s">
        <v>3520</v>
      </c>
      <c r="AD119" s="19" t="s">
        <v>3521</v>
      </c>
      <c r="AE119" s="19" t="s">
        <v>3522</v>
      </c>
      <c r="AF119" s="19" t="s">
        <v>3523</v>
      </c>
      <c r="AG119" s="19" t="s">
        <v>3524</v>
      </c>
      <c r="AH119" s="19" t="s">
        <v>3525</v>
      </c>
      <c r="AI119" s="19" t="s">
        <v>3526</v>
      </c>
      <c r="AJ119" s="19" t="s">
        <v>3527</v>
      </c>
      <c r="AK119" s="19" t="s">
        <v>3528</v>
      </c>
      <c r="AL119" s="19" t="s">
        <v>3529</v>
      </c>
      <c r="AM119" s="19" t="s">
        <v>3530</v>
      </c>
      <c r="AN119" s="19" t="s">
        <v>3531</v>
      </c>
      <c r="AO119" s="19" t="s">
        <v>3557</v>
      </c>
      <c r="AP119" s="19" t="s">
        <v>3533</v>
      </c>
      <c r="AQ119" s="19" t="s">
        <v>3534</v>
      </c>
      <c r="AR119" s="19" t="s">
        <v>3535</v>
      </c>
      <c r="AS119" s="19" t="s">
        <v>3536</v>
      </c>
      <c r="AT119" s="19" t="s">
        <v>3537</v>
      </c>
      <c r="AU119" s="19" t="s">
        <v>6</v>
      </c>
      <c r="AV119" s="19" t="s">
        <v>3538</v>
      </c>
      <c r="AW119" s="19" t="s">
        <v>3558</v>
      </c>
      <c r="AX119" s="19" t="s">
        <v>3540</v>
      </c>
      <c r="AY119" s="19" t="s">
        <v>3541</v>
      </c>
      <c r="AZ119" s="19" t="s">
        <v>3542</v>
      </c>
      <c r="BA119" s="19" t="s">
        <v>3543</v>
      </c>
      <c r="BB119" s="19" t="s">
        <v>3544</v>
      </c>
      <c r="BC119" s="23"/>
    </row>
    <row r="120" ht="22.5" customHeight="1">
      <c r="A120" s="11">
        <v>46182.36704938658</v>
      </c>
      <c r="B120" s="12" t="s">
        <v>1804</v>
      </c>
      <c r="C120" s="13">
        <v>40.0</v>
      </c>
      <c r="D120" s="14" t="s">
        <v>3916</v>
      </c>
      <c r="E120" s="15">
        <f t="shared" si="1"/>
        <v>45</v>
      </c>
      <c r="F120" s="12" t="s">
        <v>3917</v>
      </c>
      <c r="G120" s="12" t="s">
        <v>3918</v>
      </c>
      <c r="H120" s="12" t="s">
        <v>1804</v>
      </c>
      <c r="I120" s="15">
        <v>6.305074712E9</v>
      </c>
      <c r="J120" s="12" t="s">
        <v>3547</v>
      </c>
      <c r="K120" s="12" t="s">
        <v>3504</v>
      </c>
      <c r="L120" s="12" t="s">
        <v>3556</v>
      </c>
      <c r="M120" s="16"/>
      <c r="N120" s="12" t="s">
        <v>3506</v>
      </c>
      <c r="O120" s="12" t="s">
        <v>3507</v>
      </c>
      <c r="P120" s="12" t="s">
        <v>3508</v>
      </c>
      <c r="Q120" s="16"/>
      <c r="R120" s="12" t="s">
        <v>3509</v>
      </c>
      <c r="S120" s="12" t="s">
        <v>3510</v>
      </c>
      <c r="T120" s="12" t="s">
        <v>3511</v>
      </c>
      <c r="U120" s="12" t="s">
        <v>3582</v>
      </c>
      <c r="V120" s="12" t="s">
        <v>3513</v>
      </c>
      <c r="W120" s="12" t="s">
        <v>3514</v>
      </c>
      <c r="X120" s="12" t="s">
        <v>3515</v>
      </c>
      <c r="Y120" s="12" t="s">
        <v>3516</v>
      </c>
      <c r="Z120" s="12" t="s">
        <v>3517</v>
      </c>
      <c r="AA120" s="12" t="s">
        <v>3518</v>
      </c>
      <c r="AB120" s="12" t="s">
        <v>3519</v>
      </c>
      <c r="AC120" s="12" t="s">
        <v>3520</v>
      </c>
      <c r="AD120" s="12" t="s">
        <v>3521</v>
      </c>
      <c r="AE120" s="12" t="s">
        <v>3522</v>
      </c>
      <c r="AF120" s="12" t="s">
        <v>3523</v>
      </c>
      <c r="AG120" s="12" t="s">
        <v>3524</v>
      </c>
      <c r="AH120" s="12" t="s">
        <v>3525</v>
      </c>
      <c r="AI120" s="12" t="s">
        <v>3526</v>
      </c>
      <c r="AJ120" s="12" t="s">
        <v>3527</v>
      </c>
      <c r="AK120" s="12" t="s">
        <v>3528</v>
      </c>
      <c r="AL120" s="12" t="s">
        <v>3529</v>
      </c>
      <c r="AM120" s="12" t="s">
        <v>3530</v>
      </c>
      <c r="AN120" s="12" t="s">
        <v>3531</v>
      </c>
      <c r="AO120" s="12" t="s">
        <v>3557</v>
      </c>
      <c r="AP120" s="12" t="s">
        <v>3533</v>
      </c>
      <c r="AQ120" s="12" t="s">
        <v>3534</v>
      </c>
      <c r="AR120" s="12" t="s">
        <v>3535</v>
      </c>
      <c r="AS120" s="12" t="s">
        <v>3536</v>
      </c>
      <c r="AT120" s="12" t="s">
        <v>3537</v>
      </c>
      <c r="AU120" s="12" t="s">
        <v>6</v>
      </c>
      <c r="AV120" s="12" t="s">
        <v>3538</v>
      </c>
      <c r="AW120" s="12" t="s">
        <v>3539</v>
      </c>
      <c r="AX120" s="12" t="s">
        <v>3540</v>
      </c>
      <c r="AY120" s="12" t="s">
        <v>3541</v>
      </c>
      <c r="AZ120" s="12" t="s">
        <v>3542</v>
      </c>
      <c r="BA120" s="12" t="s">
        <v>3543</v>
      </c>
      <c r="BB120" s="12" t="s">
        <v>3544</v>
      </c>
      <c r="BC120" s="17"/>
    </row>
    <row r="121" ht="22.5" customHeight="1">
      <c r="A121" s="18">
        <v>46182.37763983796</v>
      </c>
      <c r="B121" s="19" t="s">
        <v>3919</v>
      </c>
      <c r="C121" s="20">
        <v>38.0</v>
      </c>
      <c r="D121" s="24" t="s">
        <v>3920</v>
      </c>
      <c r="E121" s="22">
        <f t="shared" si="1"/>
        <v>43</v>
      </c>
      <c r="F121" s="19" t="s">
        <v>3921</v>
      </c>
      <c r="G121" s="19" t="s">
        <v>3922</v>
      </c>
      <c r="H121" s="19" t="s">
        <v>1372</v>
      </c>
      <c r="I121" s="22">
        <v>9.328119842E9</v>
      </c>
      <c r="J121" s="19" t="s">
        <v>3547</v>
      </c>
      <c r="K121" s="19" t="s">
        <v>3504</v>
      </c>
      <c r="L121" s="19" t="s">
        <v>3556</v>
      </c>
      <c r="M121" s="21"/>
      <c r="N121" s="19" t="s">
        <v>3548</v>
      </c>
      <c r="O121" s="19" t="s">
        <v>3507</v>
      </c>
      <c r="P121" s="19" t="s">
        <v>3508</v>
      </c>
      <c r="Q121" s="21"/>
      <c r="R121" s="19" t="s">
        <v>3509</v>
      </c>
      <c r="S121" s="19" t="s">
        <v>3510</v>
      </c>
      <c r="T121" s="19" t="s">
        <v>3511</v>
      </c>
      <c r="U121" s="19" t="s">
        <v>3512</v>
      </c>
      <c r="V121" s="19" t="s">
        <v>3513</v>
      </c>
      <c r="W121" s="19" t="s">
        <v>3514</v>
      </c>
      <c r="X121" s="19" t="s">
        <v>3515</v>
      </c>
      <c r="Y121" s="19" t="s">
        <v>3516</v>
      </c>
      <c r="Z121" s="19" t="s">
        <v>3517</v>
      </c>
      <c r="AA121" s="19" t="s">
        <v>3518</v>
      </c>
      <c r="AB121" s="19" t="s">
        <v>3519</v>
      </c>
      <c r="AC121" s="19" t="s">
        <v>3520</v>
      </c>
      <c r="AD121" s="19" t="s">
        <v>3521</v>
      </c>
      <c r="AE121" s="19" t="s">
        <v>3522</v>
      </c>
      <c r="AF121" s="19" t="s">
        <v>3523</v>
      </c>
      <c r="AG121" s="19" t="s">
        <v>3524</v>
      </c>
      <c r="AH121" s="19" t="s">
        <v>3525</v>
      </c>
      <c r="AI121" s="19" t="s">
        <v>3526</v>
      </c>
      <c r="AJ121" s="19" t="s">
        <v>3527</v>
      </c>
      <c r="AK121" s="19" t="s">
        <v>3528</v>
      </c>
      <c r="AL121" s="19" t="s">
        <v>3529</v>
      </c>
      <c r="AM121" s="19" t="s">
        <v>3530</v>
      </c>
      <c r="AN121" s="19" t="s">
        <v>3531</v>
      </c>
      <c r="AO121" s="19" t="s">
        <v>3557</v>
      </c>
      <c r="AP121" s="19" t="s">
        <v>3533</v>
      </c>
      <c r="AQ121" s="19" t="s">
        <v>3534</v>
      </c>
      <c r="AR121" s="19" t="s">
        <v>3535</v>
      </c>
      <c r="AS121" s="19" t="s">
        <v>3536</v>
      </c>
      <c r="AT121" s="19" t="s">
        <v>3537</v>
      </c>
      <c r="AU121" s="19" t="s">
        <v>6</v>
      </c>
      <c r="AV121" s="19" t="s">
        <v>3536</v>
      </c>
      <c r="AW121" s="19" t="s">
        <v>3539</v>
      </c>
      <c r="AX121" s="19" t="s">
        <v>3540</v>
      </c>
      <c r="AY121" s="19" t="s">
        <v>3541</v>
      </c>
      <c r="AZ121" s="19" t="s">
        <v>3542</v>
      </c>
      <c r="BA121" s="19" t="s">
        <v>3543</v>
      </c>
      <c r="BB121" s="19" t="s">
        <v>3544</v>
      </c>
      <c r="BC121" s="23"/>
    </row>
    <row r="122" ht="22.5" customHeight="1">
      <c r="A122" s="11">
        <v>46182.40074748843</v>
      </c>
      <c r="B122" s="12" t="s">
        <v>515</v>
      </c>
      <c r="C122" s="13">
        <v>24.0</v>
      </c>
      <c r="D122" s="16"/>
      <c r="E122" s="15">
        <f t="shared" si="1"/>
        <v>24</v>
      </c>
      <c r="F122" s="12" t="s">
        <v>3923</v>
      </c>
      <c r="G122" s="12" t="s">
        <v>516</v>
      </c>
      <c r="H122" s="12" t="s">
        <v>515</v>
      </c>
      <c r="I122" s="15">
        <v>8.709929371E9</v>
      </c>
      <c r="J122" s="16"/>
      <c r="K122" s="12" t="s">
        <v>3504</v>
      </c>
      <c r="L122" s="16"/>
      <c r="M122" s="16"/>
      <c r="N122" s="12" t="s">
        <v>3569</v>
      </c>
      <c r="O122" s="16"/>
      <c r="P122" s="16"/>
      <c r="Q122" s="16"/>
      <c r="R122" s="16"/>
      <c r="S122" s="12" t="s">
        <v>3510</v>
      </c>
      <c r="T122" s="12" t="s">
        <v>3511</v>
      </c>
      <c r="U122" s="12" t="s">
        <v>3512</v>
      </c>
      <c r="V122" s="16"/>
      <c r="W122" s="12" t="s">
        <v>3514</v>
      </c>
      <c r="X122" s="12" t="s">
        <v>3515</v>
      </c>
      <c r="Y122" s="12" t="s">
        <v>3516</v>
      </c>
      <c r="Z122" s="16"/>
      <c r="AA122" s="16"/>
      <c r="AB122" s="12" t="s">
        <v>3519</v>
      </c>
      <c r="AC122" s="16"/>
      <c r="AD122" s="12" t="s">
        <v>3792</v>
      </c>
      <c r="AE122" s="12" t="s">
        <v>3522</v>
      </c>
      <c r="AF122" s="12" t="s">
        <v>3523</v>
      </c>
      <c r="AG122" s="12" t="s">
        <v>3524</v>
      </c>
      <c r="AH122" s="12" t="s">
        <v>3525</v>
      </c>
      <c r="AI122" s="12" t="s">
        <v>3526</v>
      </c>
      <c r="AJ122" s="12" t="s">
        <v>3527</v>
      </c>
      <c r="AK122" s="12" t="s">
        <v>3528</v>
      </c>
      <c r="AL122" s="12" t="s">
        <v>3529</v>
      </c>
      <c r="AM122" s="16"/>
      <c r="AN122" s="12" t="s">
        <v>3531</v>
      </c>
      <c r="AO122" s="12" t="s">
        <v>3557</v>
      </c>
      <c r="AP122" s="16"/>
      <c r="AQ122" s="16"/>
      <c r="AR122" s="12" t="s">
        <v>3535</v>
      </c>
      <c r="AS122" s="12" t="s">
        <v>3536</v>
      </c>
      <c r="AT122" s="12" t="s">
        <v>3537</v>
      </c>
      <c r="AU122" s="12" t="s">
        <v>6</v>
      </c>
      <c r="AV122" s="12" t="s">
        <v>3538</v>
      </c>
      <c r="AW122" s="12" t="s">
        <v>3558</v>
      </c>
      <c r="AX122" s="12" t="s">
        <v>3540</v>
      </c>
      <c r="AY122" s="12" t="s">
        <v>3541</v>
      </c>
      <c r="AZ122" s="12" t="s">
        <v>3542</v>
      </c>
      <c r="BA122" s="12" t="s">
        <v>3543</v>
      </c>
      <c r="BB122" s="16"/>
      <c r="BC122" s="17"/>
    </row>
    <row r="123" ht="22.5" customHeight="1">
      <c r="A123" s="18">
        <v>46182.40959173611</v>
      </c>
      <c r="B123" s="19" t="s">
        <v>1468</v>
      </c>
      <c r="C123" s="20">
        <v>34.0</v>
      </c>
      <c r="D123" s="21"/>
      <c r="E123" s="22">
        <f t="shared" si="1"/>
        <v>34</v>
      </c>
      <c r="F123" s="19" t="s">
        <v>3924</v>
      </c>
      <c r="G123" s="19" t="s">
        <v>2892</v>
      </c>
      <c r="H123" s="19" t="s">
        <v>1468</v>
      </c>
      <c r="I123" s="22">
        <v>6.355142584E9</v>
      </c>
      <c r="J123" s="19" t="s">
        <v>3503</v>
      </c>
      <c r="K123" s="19" t="s">
        <v>3504</v>
      </c>
      <c r="L123" s="19" t="s">
        <v>3505</v>
      </c>
      <c r="M123" s="21"/>
      <c r="N123" s="19" t="s">
        <v>3506</v>
      </c>
      <c r="O123" s="19" t="s">
        <v>3507</v>
      </c>
      <c r="P123" s="19" t="s">
        <v>3508</v>
      </c>
      <c r="Q123" s="21"/>
      <c r="R123" s="19" t="s">
        <v>3509</v>
      </c>
      <c r="S123" s="19" t="s">
        <v>3510</v>
      </c>
      <c r="T123" s="19" t="s">
        <v>3549</v>
      </c>
      <c r="U123" s="19" t="s">
        <v>3550</v>
      </c>
      <c r="V123" s="19" t="s">
        <v>3513</v>
      </c>
      <c r="W123" s="19" t="s">
        <v>3514</v>
      </c>
      <c r="X123" s="19" t="s">
        <v>3515</v>
      </c>
      <c r="Y123" s="19" t="s">
        <v>3516</v>
      </c>
      <c r="Z123" s="19" t="s">
        <v>3517</v>
      </c>
      <c r="AA123" s="19" t="s">
        <v>3518</v>
      </c>
      <c r="AB123" s="19" t="s">
        <v>3519</v>
      </c>
      <c r="AC123" s="19" t="s">
        <v>3520</v>
      </c>
      <c r="AD123" s="19" t="s">
        <v>3521</v>
      </c>
      <c r="AE123" s="19" t="s">
        <v>3522</v>
      </c>
      <c r="AF123" s="19" t="s">
        <v>3639</v>
      </c>
      <c r="AG123" s="19" t="s">
        <v>3524</v>
      </c>
      <c r="AH123" s="19" t="s">
        <v>3525</v>
      </c>
      <c r="AI123" s="19" t="s">
        <v>3526</v>
      </c>
      <c r="AJ123" s="19" t="s">
        <v>3527</v>
      </c>
      <c r="AK123" s="19" t="s">
        <v>3528</v>
      </c>
      <c r="AL123" s="19" t="s">
        <v>3529</v>
      </c>
      <c r="AM123" s="19" t="s">
        <v>3530</v>
      </c>
      <c r="AN123" s="19" t="s">
        <v>3531</v>
      </c>
      <c r="AO123" s="19" t="s">
        <v>3557</v>
      </c>
      <c r="AP123" s="19" t="s">
        <v>3533</v>
      </c>
      <c r="AQ123" s="19" t="s">
        <v>3534</v>
      </c>
      <c r="AR123" s="19" t="s">
        <v>3535</v>
      </c>
      <c r="AS123" s="19" t="s">
        <v>3538</v>
      </c>
      <c r="AT123" s="19" t="s">
        <v>3562</v>
      </c>
      <c r="AU123" s="21"/>
      <c r="AV123" s="19" t="s">
        <v>3538</v>
      </c>
      <c r="AW123" s="19" t="s">
        <v>3558</v>
      </c>
      <c r="AX123" s="19" t="s">
        <v>3540</v>
      </c>
      <c r="AY123" s="19" t="s">
        <v>3541</v>
      </c>
      <c r="AZ123" s="19" t="s">
        <v>3542</v>
      </c>
      <c r="BA123" s="19" t="s">
        <v>3631</v>
      </c>
      <c r="BB123" s="19" t="s">
        <v>3544</v>
      </c>
      <c r="BC123" s="23"/>
    </row>
    <row r="124" ht="22.5" customHeight="1">
      <c r="A124" s="11">
        <v>46182.42850844907</v>
      </c>
      <c r="B124" s="12" t="s">
        <v>2346</v>
      </c>
      <c r="C124" s="13">
        <v>41.0</v>
      </c>
      <c r="D124" s="14" t="s">
        <v>3925</v>
      </c>
      <c r="E124" s="15">
        <f t="shared" si="1"/>
        <v>46</v>
      </c>
      <c r="F124" s="12" t="s">
        <v>3926</v>
      </c>
      <c r="G124" s="12" t="s">
        <v>3927</v>
      </c>
      <c r="H124" s="12" t="s">
        <v>2346</v>
      </c>
      <c r="I124" s="15">
        <v>8.341034995E9</v>
      </c>
      <c r="J124" s="12" t="s">
        <v>3547</v>
      </c>
      <c r="K124" s="12" t="s">
        <v>3504</v>
      </c>
      <c r="L124" s="12" t="s">
        <v>3556</v>
      </c>
      <c r="M124" s="16"/>
      <c r="N124" s="12" t="s">
        <v>3506</v>
      </c>
      <c r="O124" s="12" t="s">
        <v>3507</v>
      </c>
      <c r="P124" s="12" t="s">
        <v>3508</v>
      </c>
      <c r="Q124" s="16"/>
      <c r="R124" s="12" t="s">
        <v>3509</v>
      </c>
      <c r="S124" s="12" t="s">
        <v>3510</v>
      </c>
      <c r="T124" s="12" t="s">
        <v>3511</v>
      </c>
      <c r="U124" s="12" t="s">
        <v>3550</v>
      </c>
      <c r="V124" s="12" t="s">
        <v>3513</v>
      </c>
      <c r="W124" s="12" t="s">
        <v>3514</v>
      </c>
      <c r="X124" s="12" t="s">
        <v>3515</v>
      </c>
      <c r="Y124" s="12" t="s">
        <v>3516</v>
      </c>
      <c r="Z124" s="12" t="s">
        <v>3517</v>
      </c>
      <c r="AA124" s="12" t="s">
        <v>3518</v>
      </c>
      <c r="AB124" s="12" t="s">
        <v>3519</v>
      </c>
      <c r="AC124" s="12" t="s">
        <v>3520</v>
      </c>
      <c r="AD124" s="12" t="s">
        <v>3521</v>
      </c>
      <c r="AE124" s="12" t="s">
        <v>3522</v>
      </c>
      <c r="AF124" s="12" t="s">
        <v>3523</v>
      </c>
      <c r="AG124" s="12" t="s">
        <v>3524</v>
      </c>
      <c r="AH124" s="12" t="s">
        <v>3525</v>
      </c>
      <c r="AI124" s="12" t="s">
        <v>3526</v>
      </c>
      <c r="AJ124" s="12" t="s">
        <v>3527</v>
      </c>
      <c r="AK124" s="12" t="s">
        <v>3528</v>
      </c>
      <c r="AL124" s="12" t="s">
        <v>3529</v>
      </c>
      <c r="AM124" s="12" t="s">
        <v>3530</v>
      </c>
      <c r="AN124" s="12" t="s">
        <v>3531</v>
      </c>
      <c r="AO124" s="12" t="s">
        <v>3557</v>
      </c>
      <c r="AP124" s="12" t="s">
        <v>3533</v>
      </c>
      <c r="AQ124" s="12" t="s">
        <v>3534</v>
      </c>
      <c r="AR124" s="12" t="s">
        <v>3535</v>
      </c>
      <c r="AS124" s="12" t="s">
        <v>3536</v>
      </c>
      <c r="AT124" s="12" t="s">
        <v>3537</v>
      </c>
      <c r="AU124" s="12" t="s">
        <v>6</v>
      </c>
      <c r="AV124" s="12" t="s">
        <v>3538</v>
      </c>
      <c r="AW124" s="12" t="s">
        <v>3539</v>
      </c>
      <c r="AX124" s="12" t="s">
        <v>3540</v>
      </c>
      <c r="AY124" s="12" t="s">
        <v>3541</v>
      </c>
      <c r="AZ124" s="12" t="s">
        <v>3542</v>
      </c>
      <c r="BA124" s="12" t="s">
        <v>3543</v>
      </c>
      <c r="BB124" s="12" t="s">
        <v>3544</v>
      </c>
      <c r="BC124" s="17"/>
    </row>
    <row r="125" ht="22.5" customHeight="1">
      <c r="A125" s="18">
        <v>46182.451997592594</v>
      </c>
      <c r="B125" s="19" t="s">
        <v>2113</v>
      </c>
      <c r="C125" s="20">
        <v>39.0</v>
      </c>
      <c r="D125" s="24" t="s">
        <v>3928</v>
      </c>
      <c r="E125" s="22">
        <f t="shared" si="1"/>
        <v>44</v>
      </c>
      <c r="F125" s="19" t="s">
        <v>3929</v>
      </c>
      <c r="G125" s="19" t="s">
        <v>2114</v>
      </c>
      <c r="H125" s="19" t="s">
        <v>2113</v>
      </c>
      <c r="I125" s="22">
        <v>8.075872649E9</v>
      </c>
      <c r="J125" s="19" t="s">
        <v>3547</v>
      </c>
      <c r="K125" s="19" t="s">
        <v>3504</v>
      </c>
      <c r="L125" s="19" t="s">
        <v>3556</v>
      </c>
      <c r="M125" s="21"/>
      <c r="N125" s="19" t="s">
        <v>3506</v>
      </c>
      <c r="O125" s="19" t="s">
        <v>3507</v>
      </c>
      <c r="P125" s="19" t="s">
        <v>3508</v>
      </c>
      <c r="Q125" s="21"/>
      <c r="R125" s="19" t="s">
        <v>3509</v>
      </c>
      <c r="S125" s="19" t="s">
        <v>3510</v>
      </c>
      <c r="T125" s="19" t="s">
        <v>3511</v>
      </c>
      <c r="U125" s="19" t="s">
        <v>3512</v>
      </c>
      <c r="V125" s="19" t="s">
        <v>3513</v>
      </c>
      <c r="W125" s="19" t="s">
        <v>3514</v>
      </c>
      <c r="X125" s="19" t="s">
        <v>3588</v>
      </c>
      <c r="Y125" s="19" t="s">
        <v>3516</v>
      </c>
      <c r="Z125" s="19" t="s">
        <v>3517</v>
      </c>
      <c r="AA125" s="19" t="s">
        <v>3518</v>
      </c>
      <c r="AB125" s="19" t="s">
        <v>3519</v>
      </c>
      <c r="AC125" s="19" t="s">
        <v>3520</v>
      </c>
      <c r="AD125" s="19" t="s">
        <v>3521</v>
      </c>
      <c r="AE125" s="19" t="s">
        <v>3522</v>
      </c>
      <c r="AF125" s="19" t="s">
        <v>3523</v>
      </c>
      <c r="AG125" s="19" t="s">
        <v>3524</v>
      </c>
      <c r="AH125" s="19" t="s">
        <v>3525</v>
      </c>
      <c r="AI125" s="19" t="s">
        <v>3526</v>
      </c>
      <c r="AJ125" s="19" t="s">
        <v>3527</v>
      </c>
      <c r="AK125" s="19" t="s">
        <v>3528</v>
      </c>
      <c r="AL125" s="19" t="s">
        <v>3529</v>
      </c>
      <c r="AM125" s="19" t="s">
        <v>3530</v>
      </c>
      <c r="AN125" s="19" t="s">
        <v>3531</v>
      </c>
      <c r="AO125" s="19" t="s">
        <v>3557</v>
      </c>
      <c r="AP125" s="19" t="s">
        <v>3533</v>
      </c>
      <c r="AQ125" s="19" t="s">
        <v>3534</v>
      </c>
      <c r="AR125" s="19" t="s">
        <v>3535</v>
      </c>
      <c r="AS125" s="19" t="s">
        <v>3536</v>
      </c>
      <c r="AT125" s="19" t="s">
        <v>3537</v>
      </c>
      <c r="AU125" s="19" t="s">
        <v>6</v>
      </c>
      <c r="AV125" s="19" t="s">
        <v>3538</v>
      </c>
      <c r="AW125" s="19" t="s">
        <v>3539</v>
      </c>
      <c r="AX125" s="19" t="s">
        <v>3540</v>
      </c>
      <c r="AY125" s="19" t="s">
        <v>3541</v>
      </c>
      <c r="AZ125" s="19" t="s">
        <v>3542</v>
      </c>
      <c r="BA125" s="19" t="s">
        <v>3543</v>
      </c>
      <c r="BB125" s="19" t="s">
        <v>3544</v>
      </c>
      <c r="BC125" s="23"/>
    </row>
    <row r="126" ht="22.5" customHeight="1">
      <c r="A126" s="11">
        <v>46182.460383206024</v>
      </c>
      <c r="B126" s="12" t="s">
        <v>740</v>
      </c>
      <c r="C126" s="13">
        <v>37.0</v>
      </c>
      <c r="D126" s="14" t="s">
        <v>3930</v>
      </c>
      <c r="E126" s="15">
        <f t="shared" si="1"/>
        <v>42</v>
      </c>
      <c r="F126" s="12" t="s">
        <v>3931</v>
      </c>
      <c r="G126" s="12" t="s">
        <v>3932</v>
      </c>
      <c r="H126" s="12" t="s">
        <v>740</v>
      </c>
      <c r="I126" s="15">
        <v>9.474153514E9</v>
      </c>
      <c r="J126" s="12" t="s">
        <v>3547</v>
      </c>
      <c r="K126" s="12" t="s">
        <v>3504</v>
      </c>
      <c r="L126" s="12" t="s">
        <v>3505</v>
      </c>
      <c r="M126" s="16"/>
      <c r="N126" s="12" t="s">
        <v>3506</v>
      </c>
      <c r="O126" s="12" t="s">
        <v>3507</v>
      </c>
      <c r="P126" s="12" t="s">
        <v>3508</v>
      </c>
      <c r="Q126" s="16"/>
      <c r="R126" s="12" t="s">
        <v>3509</v>
      </c>
      <c r="S126" s="12" t="s">
        <v>3510</v>
      </c>
      <c r="T126" s="12" t="s">
        <v>3549</v>
      </c>
      <c r="U126" s="12" t="s">
        <v>3512</v>
      </c>
      <c r="V126" s="12" t="s">
        <v>3513</v>
      </c>
      <c r="W126" s="12" t="s">
        <v>3514</v>
      </c>
      <c r="X126" s="12" t="s">
        <v>3515</v>
      </c>
      <c r="Y126" s="12" t="s">
        <v>3516</v>
      </c>
      <c r="Z126" s="12" t="s">
        <v>3517</v>
      </c>
      <c r="AA126" s="12" t="s">
        <v>3518</v>
      </c>
      <c r="AB126" s="12" t="s">
        <v>3683</v>
      </c>
      <c r="AC126" s="12" t="s">
        <v>3520</v>
      </c>
      <c r="AD126" s="12" t="s">
        <v>3521</v>
      </c>
      <c r="AE126" s="12" t="s">
        <v>3522</v>
      </c>
      <c r="AF126" s="12" t="s">
        <v>3523</v>
      </c>
      <c r="AG126" s="12" t="s">
        <v>3524</v>
      </c>
      <c r="AH126" s="12" t="s">
        <v>3525</v>
      </c>
      <c r="AI126" s="12" t="s">
        <v>3526</v>
      </c>
      <c r="AJ126" s="12" t="s">
        <v>3527</v>
      </c>
      <c r="AK126" s="12" t="s">
        <v>3528</v>
      </c>
      <c r="AL126" s="12" t="s">
        <v>3529</v>
      </c>
      <c r="AM126" s="12" t="s">
        <v>3530</v>
      </c>
      <c r="AN126" s="12" t="s">
        <v>3531</v>
      </c>
      <c r="AO126" s="12" t="s">
        <v>3557</v>
      </c>
      <c r="AP126" s="12" t="s">
        <v>3533</v>
      </c>
      <c r="AQ126" s="12" t="s">
        <v>3534</v>
      </c>
      <c r="AR126" s="12" t="s">
        <v>3535</v>
      </c>
      <c r="AS126" s="12" t="s">
        <v>3536</v>
      </c>
      <c r="AT126" s="12" t="s">
        <v>3537</v>
      </c>
      <c r="AU126" s="15">
        <v>1.0</v>
      </c>
      <c r="AV126" s="12" t="s">
        <v>3538</v>
      </c>
      <c r="AW126" s="12" t="s">
        <v>3558</v>
      </c>
      <c r="AX126" s="12" t="s">
        <v>3540</v>
      </c>
      <c r="AY126" s="12" t="s">
        <v>3541</v>
      </c>
      <c r="AZ126" s="12" t="s">
        <v>3542</v>
      </c>
      <c r="BA126" s="12" t="s">
        <v>3543</v>
      </c>
      <c r="BB126" s="12" t="s">
        <v>3544</v>
      </c>
      <c r="BC126" s="17"/>
    </row>
    <row r="127" ht="22.5" customHeight="1">
      <c r="A127" s="18">
        <v>46182.48026428241</v>
      </c>
      <c r="B127" s="19" t="s">
        <v>2443</v>
      </c>
      <c r="C127" s="20">
        <v>39.0</v>
      </c>
      <c r="D127" s="21"/>
      <c r="E127" s="22">
        <f t="shared" si="1"/>
        <v>39</v>
      </c>
      <c r="F127" s="19" t="s">
        <v>3933</v>
      </c>
      <c r="G127" s="19" t="s">
        <v>2444</v>
      </c>
      <c r="H127" s="19" t="s">
        <v>2443</v>
      </c>
      <c r="I127" s="22">
        <v>6.371640596E9</v>
      </c>
      <c r="J127" s="19" t="s">
        <v>3503</v>
      </c>
      <c r="K127" s="19" t="s">
        <v>3504</v>
      </c>
      <c r="L127" s="19" t="s">
        <v>3556</v>
      </c>
      <c r="M127" s="21"/>
      <c r="N127" s="19" t="s">
        <v>3506</v>
      </c>
      <c r="O127" s="19" t="s">
        <v>3507</v>
      </c>
      <c r="P127" s="19" t="s">
        <v>3508</v>
      </c>
      <c r="Q127" s="21"/>
      <c r="R127" s="19" t="s">
        <v>3509</v>
      </c>
      <c r="S127" s="19" t="s">
        <v>3510</v>
      </c>
      <c r="T127" s="19" t="s">
        <v>3549</v>
      </c>
      <c r="U127" s="19" t="s">
        <v>3512</v>
      </c>
      <c r="V127" s="19" t="s">
        <v>3513</v>
      </c>
      <c r="W127" s="19" t="s">
        <v>3514</v>
      </c>
      <c r="X127" s="19" t="s">
        <v>3515</v>
      </c>
      <c r="Y127" s="19" t="s">
        <v>3516</v>
      </c>
      <c r="Z127" s="19" t="s">
        <v>3517</v>
      </c>
      <c r="AA127" s="19" t="s">
        <v>3518</v>
      </c>
      <c r="AB127" s="19" t="s">
        <v>3519</v>
      </c>
      <c r="AC127" s="19" t="s">
        <v>3520</v>
      </c>
      <c r="AD127" s="19" t="s">
        <v>3521</v>
      </c>
      <c r="AE127" s="19" t="s">
        <v>3522</v>
      </c>
      <c r="AF127" s="19" t="s">
        <v>3523</v>
      </c>
      <c r="AG127" s="19" t="s">
        <v>3524</v>
      </c>
      <c r="AH127" s="19" t="s">
        <v>3525</v>
      </c>
      <c r="AI127" s="19" t="s">
        <v>3526</v>
      </c>
      <c r="AJ127" s="19" t="s">
        <v>3527</v>
      </c>
      <c r="AK127" s="19" t="s">
        <v>3528</v>
      </c>
      <c r="AL127" s="19" t="s">
        <v>3529</v>
      </c>
      <c r="AM127" s="19" t="s">
        <v>3530</v>
      </c>
      <c r="AN127" s="19" t="s">
        <v>3531</v>
      </c>
      <c r="AO127" s="19" t="s">
        <v>3557</v>
      </c>
      <c r="AP127" s="19" t="s">
        <v>3533</v>
      </c>
      <c r="AQ127" s="19" t="s">
        <v>3534</v>
      </c>
      <c r="AR127" s="19" t="s">
        <v>3535</v>
      </c>
      <c r="AS127" s="19" t="s">
        <v>3536</v>
      </c>
      <c r="AT127" s="19" t="s">
        <v>3537</v>
      </c>
      <c r="AU127" s="19" t="s">
        <v>6</v>
      </c>
      <c r="AV127" s="19" t="s">
        <v>3538</v>
      </c>
      <c r="AW127" s="19" t="s">
        <v>3558</v>
      </c>
      <c r="AX127" s="19" t="s">
        <v>3540</v>
      </c>
      <c r="AY127" s="19" t="s">
        <v>3541</v>
      </c>
      <c r="AZ127" s="19" t="s">
        <v>3542</v>
      </c>
      <c r="BA127" s="19" t="s">
        <v>3543</v>
      </c>
      <c r="BB127" s="19" t="s">
        <v>3544</v>
      </c>
      <c r="BC127" s="23"/>
    </row>
    <row r="128" ht="22.5" customHeight="1">
      <c r="A128" s="11">
        <v>46182.483610509255</v>
      </c>
      <c r="B128" s="12" t="s">
        <v>2672</v>
      </c>
      <c r="C128" s="13">
        <v>42.0</v>
      </c>
      <c r="D128" s="14" t="s">
        <v>3934</v>
      </c>
      <c r="E128" s="15">
        <f t="shared" si="1"/>
        <v>47</v>
      </c>
      <c r="F128" s="12" t="s">
        <v>3935</v>
      </c>
      <c r="G128" s="12" t="s">
        <v>2673</v>
      </c>
      <c r="H128" s="12" t="s">
        <v>2672</v>
      </c>
      <c r="I128" s="15">
        <v>8.288890514E9</v>
      </c>
      <c r="J128" s="12" t="s">
        <v>3547</v>
      </c>
      <c r="K128" s="12" t="s">
        <v>3504</v>
      </c>
      <c r="L128" s="12" t="s">
        <v>3556</v>
      </c>
      <c r="M128" s="16"/>
      <c r="N128" s="12" t="s">
        <v>3506</v>
      </c>
      <c r="O128" s="12" t="s">
        <v>3507</v>
      </c>
      <c r="P128" s="12" t="s">
        <v>3508</v>
      </c>
      <c r="Q128" s="16"/>
      <c r="R128" s="12" t="s">
        <v>3509</v>
      </c>
      <c r="S128" s="12" t="s">
        <v>3510</v>
      </c>
      <c r="T128" s="12" t="s">
        <v>3549</v>
      </c>
      <c r="U128" s="12" t="s">
        <v>3550</v>
      </c>
      <c r="V128" s="12" t="s">
        <v>3513</v>
      </c>
      <c r="W128" s="12" t="s">
        <v>3514</v>
      </c>
      <c r="X128" s="12" t="s">
        <v>3515</v>
      </c>
      <c r="Y128" s="12" t="s">
        <v>3516</v>
      </c>
      <c r="Z128" s="12" t="s">
        <v>3517</v>
      </c>
      <c r="AA128" s="12" t="s">
        <v>3518</v>
      </c>
      <c r="AB128" s="12" t="s">
        <v>3519</v>
      </c>
      <c r="AC128" s="12" t="s">
        <v>3520</v>
      </c>
      <c r="AD128" s="12" t="s">
        <v>3521</v>
      </c>
      <c r="AE128" s="12" t="s">
        <v>3522</v>
      </c>
      <c r="AF128" s="12" t="s">
        <v>3523</v>
      </c>
      <c r="AG128" s="12" t="s">
        <v>3524</v>
      </c>
      <c r="AH128" s="12" t="s">
        <v>3525</v>
      </c>
      <c r="AI128" s="12" t="s">
        <v>3526</v>
      </c>
      <c r="AJ128" s="12" t="s">
        <v>3527</v>
      </c>
      <c r="AK128" s="12" t="s">
        <v>3528</v>
      </c>
      <c r="AL128" s="12" t="s">
        <v>3529</v>
      </c>
      <c r="AM128" s="12" t="s">
        <v>3530</v>
      </c>
      <c r="AN128" s="12" t="s">
        <v>3531</v>
      </c>
      <c r="AO128" s="12" t="s">
        <v>3557</v>
      </c>
      <c r="AP128" s="12" t="s">
        <v>3533</v>
      </c>
      <c r="AQ128" s="12" t="s">
        <v>3534</v>
      </c>
      <c r="AR128" s="12" t="s">
        <v>3535</v>
      </c>
      <c r="AS128" s="12" t="s">
        <v>3536</v>
      </c>
      <c r="AT128" s="12" t="s">
        <v>3537</v>
      </c>
      <c r="AU128" s="12" t="s">
        <v>6</v>
      </c>
      <c r="AV128" s="12" t="s">
        <v>3538</v>
      </c>
      <c r="AW128" s="12" t="s">
        <v>3539</v>
      </c>
      <c r="AX128" s="12" t="s">
        <v>3540</v>
      </c>
      <c r="AY128" s="12" t="s">
        <v>3541</v>
      </c>
      <c r="AZ128" s="12" t="s">
        <v>3542</v>
      </c>
      <c r="BA128" s="12" t="s">
        <v>3543</v>
      </c>
      <c r="BB128" s="12" t="s">
        <v>3544</v>
      </c>
      <c r="BC128" s="17"/>
    </row>
    <row r="129" ht="22.5" customHeight="1">
      <c r="A129" s="18">
        <v>46182.494288692134</v>
      </c>
      <c r="B129" s="19" t="s">
        <v>2968</v>
      </c>
      <c r="C129" s="20">
        <v>39.0</v>
      </c>
      <c r="D129" s="24" t="s">
        <v>3936</v>
      </c>
      <c r="E129" s="22">
        <f t="shared" si="1"/>
        <v>44</v>
      </c>
      <c r="F129" s="19" t="s">
        <v>3937</v>
      </c>
      <c r="G129" s="19" t="s">
        <v>3938</v>
      </c>
      <c r="H129" s="19" t="s">
        <v>2968</v>
      </c>
      <c r="I129" s="22">
        <v>9.062412354E9</v>
      </c>
      <c r="J129" s="19" t="s">
        <v>3547</v>
      </c>
      <c r="K129" s="19" t="s">
        <v>3504</v>
      </c>
      <c r="L129" s="19" t="s">
        <v>3556</v>
      </c>
      <c r="M129" s="21"/>
      <c r="N129" s="19" t="s">
        <v>3613</v>
      </c>
      <c r="O129" s="19" t="s">
        <v>3507</v>
      </c>
      <c r="P129" s="19" t="s">
        <v>3508</v>
      </c>
      <c r="Q129" s="21"/>
      <c r="R129" s="19" t="s">
        <v>3509</v>
      </c>
      <c r="S129" s="19" t="s">
        <v>3510</v>
      </c>
      <c r="T129" s="19" t="s">
        <v>3511</v>
      </c>
      <c r="U129" s="19" t="s">
        <v>3512</v>
      </c>
      <c r="V129" s="19" t="s">
        <v>3513</v>
      </c>
      <c r="W129" s="19" t="s">
        <v>3514</v>
      </c>
      <c r="X129" s="19" t="s">
        <v>3515</v>
      </c>
      <c r="Y129" s="19" t="s">
        <v>3516</v>
      </c>
      <c r="Z129" s="19" t="s">
        <v>3517</v>
      </c>
      <c r="AA129" s="19" t="s">
        <v>3518</v>
      </c>
      <c r="AB129" s="19" t="s">
        <v>3519</v>
      </c>
      <c r="AC129" s="19" t="s">
        <v>3520</v>
      </c>
      <c r="AD129" s="19" t="s">
        <v>3521</v>
      </c>
      <c r="AE129" s="19" t="s">
        <v>3522</v>
      </c>
      <c r="AF129" s="19" t="s">
        <v>3523</v>
      </c>
      <c r="AG129" s="19" t="s">
        <v>3524</v>
      </c>
      <c r="AH129" s="19" t="s">
        <v>3525</v>
      </c>
      <c r="AI129" s="19" t="s">
        <v>3526</v>
      </c>
      <c r="AJ129" s="19" t="s">
        <v>3527</v>
      </c>
      <c r="AK129" s="19" t="s">
        <v>3528</v>
      </c>
      <c r="AL129" s="19" t="s">
        <v>3529</v>
      </c>
      <c r="AM129" s="19" t="s">
        <v>3530</v>
      </c>
      <c r="AN129" s="19" t="s">
        <v>3531</v>
      </c>
      <c r="AO129" s="19" t="s">
        <v>3557</v>
      </c>
      <c r="AP129" s="19" t="s">
        <v>3533</v>
      </c>
      <c r="AQ129" s="19" t="s">
        <v>3534</v>
      </c>
      <c r="AR129" s="19" t="s">
        <v>3535</v>
      </c>
      <c r="AS129" s="19" t="s">
        <v>3536</v>
      </c>
      <c r="AT129" s="19" t="s">
        <v>3537</v>
      </c>
      <c r="AU129" s="19" t="s">
        <v>6</v>
      </c>
      <c r="AV129" s="19" t="s">
        <v>3538</v>
      </c>
      <c r="AW129" s="19" t="s">
        <v>3539</v>
      </c>
      <c r="AX129" s="19" t="s">
        <v>3540</v>
      </c>
      <c r="AY129" s="19" t="s">
        <v>3541</v>
      </c>
      <c r="AZ129" s="19" t="s">
        <v>3542</v>
      </c>
      <c r="BA129" s="19" t="s">
        <v>3543</v>
      </c>
      <c r="BB129" s="19" t="s">
        <v>3544</v>
      </c>
      <c r="BC129" s="23"/>
    </row>
    <row r="130" ht="22.5" customHeight="1">
      <c r="A130" s="11">
        <v>46182.50372221065</v>
      </c>
      <c r="B130" s="12" t="s">
        <v>3939</v>
      </c>
      <c r="C130" s="13">
        <v>24.0</v>
      </c>
      <c r="D130" s="14" t="s">
        <v>3828</v>
      </c>
      <c r="E130" s="15">
        <f t="shared" si="1"/>
        <v>29</v>
      </c>
      <c r="F130" s="12" t="s">
        <v>3940</v>
      </c>
      <c r="G130" s="12" t="s">
        <v>1220</v>
      </c>
      <c r="H130" s="12" t="s">
        <v>1219</v>
      </c>
      <c r="I130" s="15">
        <v>7.973396153E9</v>
      </c>
      <c r="J130" s="12" t="s">
        <v>3547</v>
      </c>
      <c r="K130" s="12" t="s">
        <v>3504</v>
      </c>
      <c r="L130" s="12" t="s">
        <v>3556</v>
      </c>
      <c r="M130" s="16"/>
      <c r="N130" s="12" t="s">
        <v>3506</v>
      </c>
      <c r="O130" s="12" t="s">
        <v>3507</v>
      </c>
      <c r="P130" s="12" t="s">
        <v>3508</v>
      </c>
      <c r="Q130" s="16"/>
      <c r="R130" s="12" t="s">
        <v>3509</v>
      </c>
      <c r="S130" s="12" t="s">
        <v>3674</v>
      </c>
      <c r="T130" s="12" t="s">
        <v>3549</v>
      </c>
      <c r="U130" s="12" t="s">
        <v>3512</v>
      </c>
      <c r="V130" s="12" t="s">
        <v>3513</v>
      </c>
      <c r="W130" s="12" t="s">
        <v>3587</v>
      </c>
      <c r="X130" s="12" t="s">
        <v>3515</v>
      </c>
      <c r="Y130" s="12" t="s">
        <v>3576</v>
      </c>
      <c r="Z130" s="12" t="s">
        <v>3517</v>
      </c>
      <c r="AA130" s="12" t="s">
        <v>3518</v>
      </c>
      <c r="AB130" s="12" t="s">
        <v>3683</v>
      </c>
      <c r="AC130" s="12" t="s">
        <v>3520</v>
      </c>
      <c r="AD130" s="12" t="s">
        <v>3521</v>
      </c>
      <c r="AE130" s="12" t="s">
        <v>3522</v>
      </c>
      <c r="AF130" s="12" t="s">
        <v>3523</v>
      </c>
      <c r="AG130" s="12" t="s">
        <v>3524</v>
      </c>
      <c r="AH130" s="12" t="s">
        <v>3600</v>
      </c>
      <c r="AI130" s="12" t="s">
        <v>3526</v>
      </c>
      <c r="AJ130" s="12" t="s">
        <v>3527</v>
      </c>
      <c r="AK130" s="16"/>
      <c r="AL130" s="16"/>
      <c r="AM130" s="16"/>
      <c r="AN130" s="16"/>
      <c r="AO130" s="16"/>
      <c r="AP130" s="16"/>
      <c r="AQ130" s="16"/>
      <c r="AR130" s="12" t="s">
        <v>3535</v>
      </c>
      <c r="AS130" s="12" t="s">
        <v>3536</v>
      </c>
      <c r="AT130" s="12" t="s">
        <v>3537</v>
      </c>
      <c r="AU130" s="12" t="s">
        <v>6</v>
      </c>
      <c r="AV130" s="12" t="s">
        <v>3538</v>
      </c>
      <c r="AW130" s="16"/>
      <c r="AX130" s="16"/>
      <c r="AY130" s="16"/>
      <c r="AZ130" s="16"/>
      <c r="BA130" s="16"/>
      <c r="BB130" s="16"/>
      <c r="BC130" s="17"/>
    </row>
    <row r="131" ht="22.5" customHeight="1">
      <c r="A131" s="18">
        <v>46182.504429583336</v>
      </c>
      <c r="B131" s="19" t="s">
        <v>1384</v>
      </c>
      <c r="C131" s="20">
        <v>39.0</v>
      </c>
      <c r="D131" s="24" t="s">
        <v>3941</v>
      </c>
      <c r="E131" s="22">
        <f t="shared" si="1"/>
        <v>44</v>
      </c>
      <c r="F131" s="19" t="s">
        <v>3942</v>
      </c>
      <c r="G131" s="19" t="s">
        <v>3380</v>
      </c>
      <c r="H131" s="19" t="s">
        <v>1384</v>
      </c>
      <c r="I131" s="22">
        <v>9.832097612E9</v>
      </c>
      <c r="J131" s="19" t="s">
        <v>3503</v>
      </c>
      <c r="K131" s="19" t="s">
        <v>3504</v>
      </c>
      <c r="L131" s="19" t="s">
        <v>3556</v>
      </c>
      <c r="M131" s="21"/>
      <c r="N131" s="19" t="s">
        <v>3506</v>
      </c>
      <c r="O131" s="19" t="s">
        <v>3507</v>
      </c>
      <c r="P131" s="19" t="s">
        <v>3508</v>
      </c>
      <c r="Q131" s="21"/>
      <c r="R131" s="19" t="s">
        <v>3509</v>
      </c>
      <c r="S131" s="19" t="s">
        <v>3510</v>
      </c>
      <c r="T131" s="19" t="s">
        <v>3549</v>
      </c>
      <c r="U131" s="19" t="s">
        <v>3512</v>
      </c>
      <c r="V131" s="19" t="s">
        <v>3513</v>
      </c>
      <c r="W131" s="19" t="s">
        <v>3514</v>
      </c>
      <c r="X131" s="19" t="s">
        <v>3515</v>
      </c>
      <c r="Y131" s="19" t="s">
        <v>3516</v>
      </c>
      <c r="Z131" s="19" t="s">
        <v>3517</v>
      </c>
      <c r="AA131" s="19" t="s">
        <v>3518</v>
      </c>
      <c r="AB131" s="19" t="s">
        <v>3519</v>
      </c>
      <c r="AC131" s="19" t="s">
        <v>3520</v>
      </c>
      <c r="AD131" s="19" t="s">
        <v>3521</v>
      </c>
      <c r="AE131" s="19" t="s">
        <v>3522</v>
      </c>
      <c r="AF131" s="19" t="s">
        <v>3523</v>
      </c>
      <c r="AG131" s="19" t="s">
        <v>3524</v>
      </c>
      <c r="AH131" s="19" t="s">
        <v>3525</v>
      </c>
      <c r="AI131" s="19" t="s">
        <v>3526</v>
      </c>
      <c r="AJ131" s="19" t="s">
        <v>3527</v>
      </c>
      <c r="AK131" s="19" t="s">
        <v>3528</v>
      </c>
      <c r="AL131" s="19" t="s">
        <v>3529</v>
      </c>
      <c r="AM131" s="19" t="s">
        <v>3530</v>
      </c>
      <c r="AN131" s="19" t="s">
        <v>3531</v>
      </c>
      <c r="AO131" s="19" t="s">
        <v>3557</v>
      </c>
      <c r="AP131" s="19" t="s">
        <v>3533</v>
      </c>
      <c r="AQ131" s="19" t="s">
        <v>3534</v>
      </c>
      <c r="AR131" s="19" t="s">
        <v>3535</v>
      </c>
      <c r="AS131" s="19" t="s">
        <v>3536</v>
      </c>
      <c r="AT131" s="19" t="s">
        <v>3537</v>
      </c>
      <c r="AU131" s="19" t="s">
        <v>6</v>
      </c>
      <c r="AV131" s="19" t="s">
        <v>3538</v>
      </c>
      <c r="AW131" s="19" t="s">
        <v>3558</v>
      </c>
      <c r="AX131" s="19" t="s">
        <v>3540</v>
      </c>
      <c r="AY131" s="19" t="s">
        <v>3541</v>
      </c>
      <c r="AZ131" s="19" t="s">
        <v>3542</v>
      </c>
      <c r="BA131" s="19" t="s">
        <v>3543</v>
      </c>
      <c r="BB131" s="19" t="s">
        <v>3544</v>
      </c>
      <c r="BC131" s="23"/>
    </row>
    <row r="132" ht="22.5" customHeight="1">
      <c r="A132" s="11">
        <v>46182.52607238426</v>
      </c>
      <c r="B132" s="12" t="s">
        <v>1323</v>
      </c>
      <c r="C132" s="13">
        <v>36.0</v>
      </c>
      <c r="D132" s="16"/>
      <c r="E132" s="15">
        <f t="shared" si="1"/>
        <v>36</v>
      </c>
      <c r="F132" s="12" t="s">
        <v>3943</v>
      </c>
      <c r="G132" s="12" t="s">
        <v>3944</v>
      </c>
      <c r="H132" s="12" t="s">
        <v>1323</v>
      </c>
      <c r="I132" s="15">
        <v>7.012560335E9</v>
      </c>
      <c r="J132" s="12" t="s">
        <v>3547</v>
      </c>
      <c r="K132" s="12" t="s">
        <v>3504</v>
      </c>
      <c r="L132" s="12" t="s">
        <v>3556</v>
      </c>
      <c r="M132" s="16"/>
      <c r="N132" s="12" t="s">
        <v>3506</v>
      </c>
      <c r="O132" s="12" t="s">
        <v>3614</v>
      </c>
      <c r="P132" s="12" t="s">
        <v>3508</v>
      </c>
      <c r="Q132" s="16"/>
      <c r="R132" s="12" t="s">
        <v>3509</v>
      </c>
      <c r="S132" s="12" t="s">
        <v>3510</v>
      </c>
      <c r="T132" s="12" t="s">
        <v>3549</v>
      </c>
      <c r="U132" s="12" t="s">
        <v>3512</v>
      </c>
      <c r="V132" s="12" t="s">
        <v>3513</v>
      </c>
      <c r="W132" s="12" t="s">
        <v>3575</v>
      </c>
      <c r="X132" s="12" t="s">
        <v>3740</v>
      </c>
      <c r="Y132" s="12" t="s">
        <v>3725</v>
      </c>
      <c r="Z132" s="12" t="s">
        <v>3517</v>
      </c>
      <c r="AA132" s="12" t="s">
        <v>3518</v>
      </c>
      <c r="AB132" s="12" t="s">
        <v>3519</v>
      </c>
      <c r="AC132" s="12" t="s">
        <v>3520</v>
      </c>
      <c r="AD132" s="12" t="s">
        <v>3521</v>
      </c>
      <c r="AE132" s="12" t="s">
        <v>3522</v>
      </c>
      <c r="AF132" s="12" t="s">
        <v>3523</v>
      </c>
      <c r="AG132" s="12" t="s">
        <v>3524</v>
      </c>
      <c r="AH132" s="12" t="s">
        <v>3525</v>
      </c>
      <c r="AI132" s="12" t="s">
        <v>3526</v>
      </c>
      <c r="AJ132" s="12" t="s">
        <v>3527</v>
      </c>
      <c r="AK132" s="12" t="s">
        <v>3528</v>
      </c>
      <c r="AL132" s="12" t="s">
        <v>3590</v>
      </c>
      <c r="AM132" s="12" t="s">
        <v>3530</v>
      </c>
      <c r="AN132" s="12" t="s">
        <v>3531</v>
      </c>
      <c r="AO132" s="12" t="s">
        <v>3557</v>
      </c>
      <c r="AP132" s="12" t="s">
        <v>3533</v>
      </c>
      <c r="AQ132" s="12" t="s">
        <v>3534</v>
      </c>
      <c r="AR132" s="12" t="s">
        <v>3535</v>
      </c>
      <c r="AS132" s="12" t="s">
        <v>3536</v>
      </c>
      <c r="AT132" s="12" t="s">
        <v>3537</v>
      </c>
      <c r="AU132" s="12" t="s">
        <v>6</v>
      </c>
      <c r="AV132" s="12" t="s">
        <v>3538</v>
      </c>
      <c r="AW132" s="12" t="s">
        <v>3539</v>
      </c>
      <c r="AX132" s="12" t="s">
        <v>3540</v>
      </c>
      <c r="AY132" s="12" t="s">
        <v>3541</v>
      </c>
      <c r="AZ132" s="12" t="s">
        <v>3542</v>
      </c>
      <c r="BA132" s="12" t="s">
        <v>3579</v>
      </c>
      <c r="BB132" s="12" t="s">
        <v>3544</v>
      </c>
      <c r="BC132" s="17"/>
    </row>
    <row r="133" ht="22.5" customHeight="1">
      <c r="A133" s="18">
        <v>46182.52664305556</v>
      </c>
      <c r="B133" s="19" t="s">
        <v>1512</v>
      </c>
      <c r="C133" s="20">
        <v>34.0</v>
      </c>
      <c r="D133" s="21"/>
      <c r="E133" s="22">
        <f t="shared" si="1"/>
        <v>34</v>
      </c>
      <c r="F133" s="19" t="s">
        <v>3945</v>
      </c>
      <c r="G133" s="19" t="s">
        <v>1513</v>
      </c>
      <c r="H133" s="19" t="s">
        <v>1512</v>
      </c>
      <c r="I133" s="22">
        <v>8.32989681E9</v>
      </c>
      <c r="J133" s="19" t="s">
        <v>3547</v>
      </c>
      <c r="K133" s="19" t="s">
        <v>3504</v>
      </c>
      <c r="L133" s="19" t="s">
        <v>3556</v>
      </c>
      <c r="M133" s="21"/>
      <c r="N133" s="19" t="s">
        <v>3506</v>
      </c>
      <c r="O133" s="19" t="s">
        <v>3507</v>
      </c>
      <c r="P133" s="19" t="s">
        <v>3508</v>
      </c>
      <c r="Q133" s="21"/>
      <c r="R133" s="19" t="s">
        <v>3509</v>
      </c>
      <c r="S133" s="19" t="s">
        <v>3510</v>
      </c>
      <c r="T133" s="19" t="s">
        <v>3549</v>
      </c>
      <c r="U133" s="19" t="s">
        <v>3512</v>
      </c>
      <c r="V133" s="19" t="s">
        <v>3513</v>
      </c>
      <c r="W133" s="19" t="s">
        <v>3587</v>
      </c>
      <c r="X133" s="19" t="s">
        <v>3515</v>
      </c>
      <c r="Y133" s="19" t="s">
        <v>3516</v>
      </c>
      <c r="Z133" s="19" t="s">
        <v>3517</v>
      </c>
      <c r="AA133" s="19" t="s">
        <v>3518</v>
      </c>
      <c r="AB133" s="19" t="s">
        <v>3519</v>
      </c>
      <c r="AC133" s="19" t="s">
        <v>3520</v>
      </c>
      <c r="AD133" s="19" t="s">
        <v>3521</v>
      </c>
      <c r="AE133" s="19" t="s">
        <v>3522</v>
      </c>
      <c r="AF133" s="19" t="s">
        <v>3523</v>
      </c>
      <c r="AG133" s="19" t="s">
        <v>3524</v>
      </c>
      <c r="AH133" s="19" t="s">
        <v>3525</v>
      </c>
      <c r="AI133" s="19" t="s">
        <v>3526</v>
      </c>
      <c r="AJ133" s="19" t="s">
        <v>3527</v>
      </c>
      <c r="AK133" s="19" t="s">
        <v>3528</v>
      </c>
      <c r="AL133" s="19" t="s">
        <v>3529</v>
      </c>
      <c r="AM133" s="19" t="s">
        <v>3530</v>
      </c>
      <c r="AN133" s="19" t="s">
        <v>3531</v>
      </c>
      <c r="AO133" s="19" t="s">
        <v>3557</v>
      </c>
      <c r="AP133" s="19" t="s">
        <v>3533</v>
      </c>
      <c r="AQ133" s="19" t="s">
        <v>3534</v>
      </c>
      <c r="AR133" s="21"/>
      <c r="AS133" s="21"/>
      <c r="AT133" s="21"/>
      <c r="AU133" s="21"/>
      <c r="AV133" s="21"/>
      <c r="AW133" s="19" t="s">
        <v>3558</v>
      </c>
      <c r="AX133" s="19" t="s">
        <v>3540</v>
      </c>
      <c r="AY133" s="19" t="s">
        <v>3541</v>
      </c>
      <c r="AZ133" s="19" t="s">
        <v>3542</v>
      </c>
      <c r="BA133" s="19" t="s">
        <v>3543</v>
      </c>
      <c r="BB133" s="19" t="s">
        <v>3544</v>
      </c>
      <c r="BC133" s="23"/>
    </row>
    <row r="134" ht="22.5" customHeight="1">
      <c r="A134" s="11">
        <v>46182.527237256945</v>
      </c>
      <c r="B134" s="12" t="s">
        <v>3946</v>
      </c>
      <c r="C134" s="13">
        <v>40.0</v>
      </c>
      <c r="D134" s="14" t="s">
        <v>3947</v>
      </c>
      <c r="E134" s="15">
        <f t="shared" si="1"/>
        <v>45</v>
      </c>
      <c r="F134" s="12" t="s">
        <v>3948</v>
      </c>
      <c r="G134" s="12" t="s">
        <v>202</v>
      </c>
      <c r="H134" s="12" t="s">
        <v>201</v>
      </c>
      <c r="I134" s="15">
        <v>6.283639868E9</v>
      </c>
      <c r="J134" s="12" t="s">
        <v>3547</v>
      </c>
      <c r="K134" s="12" t="s">
        <v>3504</v>
      </c>
      <c r="L134" s="12" t="s">
        <v>3556</v>
      </c>
      <c r="M134" s="16"/>
      <c r="N134" s="12" t="s">
        <v>3506</v>
      </c>
      <c r="O134" s="12" t="s">
        <v>3507</v>
      </c>
      <c r="P134" s="12" t="s">
        <v>3508</v>
      </c>
      <c r="Q134" s="16"/>
      <c r="R134" s="12" t="s">
        <v>3509</v>
      </c>
      <c r="S134" s="12" t="s">
        <v>3510</v>
      </c>
      <c r="T134" s="12" t="s">
        <v>3549</v>
      </c>
      <c r="U134" s="12" t="s">
        <v>3512</v>
      </c>
      <c r="V134" s="12" t="s">
        <v>3513</v>
      </c>
      <c r="W134" s="12" t="s">
        <v>3514</v>
      </c>
      <c r="X134" s="12" t="s">
        <v>3515</v>
      </c>
      <c r="Y134" s="12" t="s">
        <v>3516</v>
      </c>
      <c r="Z134" s="12" t="s">
        <v>3517</v>
      </c>
      <c r="AA134" s="12" t="s">
        <v>3518</v>
      </c>
      <c r="AB134" s="12" t="s">
        <v>3519</v>
      </c>
      <c r="AC134" s="12" t="s">
        <v>3520</v>
      </c>
      <c r="AD134" s="12" t="s">
        <v>3521</v>
      </c>
      <c r="AE134" s="12" t="s">
        <v>3522</v>
      </c>
      <c r="AF134" s="12" t="s">
        <v>3523</v>
      </c>
      <c r="AG134" s="12" t="s">
        <v>3524</v>
      </c>
      <c r="AH134" s="12" t="s">
        <v>3525</v>
      </c>
      <c r="AI134" s="12" t="s">
        <v>3526</v>
      </c>
      <c r="AJ134" s="12" t="s">
        <v>3527</v>
      </c>
      <c r="AK134" s="12" t="s">
        <v>3528</v>
      </c>
      <c r="AL134" s="12" t="s">
        <v>3529</v>
      </c>
      <c r="AM134" s="12" t="s">
        <v>3530</v>
      </c>
      <c r="AN134" s="12" t="s">
        <v>3531</v>
      </c>
      <c r="AO134" s="12" t="s">
        <v>3557</v>
      </c>
      <c r="AP134" s="12" t="s">
        <v>3533</v>
      </c>
      <c r="AQ134" s="12" t="s">
        <v>3534</v>
      </c>
      <c r="AR134" s="12" t="s">
        <v>3535</v>
      </c>
      <c r="AS134" s="12" t="s">
        <v>3536</v>
      </c>
      <c r="AT134" s="12" t="s">
        <v>3537</v>
      </c>
      <c r="AU134" s="12" t="s">
        <v>6</v>
      </c>
      <c r="AV134" s="12" t="s">
        <v>3538</v>
      </c>
      <c r="AW134" s="12" t="s">
        <v>3558</v>
      </c>
      <c r="AX134" s="12" t="s">
        <v>3540</v>
      </c>
      <c r="AY134" s="12" t="s">
        <v>3541</v>
      </c>
      <c r="AZ134" s="12" t="s">
        <v>3542</v>
      </c>
      <c r="BA134" s="12" t="s">
        <v>3543</v>
      </c>
      <c r="BB134" s="12" t="s">
        <v>3544</v>
      </c>
      <c r="BC134" s="17"/>
    </row>
    <row r="135" ht="22.5" customHeight="1">
      <c r="A135" s="18">
        <v>46182.527281875</v>
      </c>
      <c r="B135" s="19" t="s">
        <v>3949</v>
      </c>
      <c r="C135" s="20">
        <v>31.0</v>
      </c>
      <c r="D135" s="21"/>
      <c r="E135" s="22">
        <f t="shared" si="1"/>
        <v>31</v>
      </c>
      <c r="F135" s="22">
        <v>101.0</v>
      </c>
      <c r="G135" s="19" t="s">
        <v>2021</v>
      </c>
      <c r="H135" s="19" t="s">
        <v>3949</v>
      </c>
      <c r="I135" s="22">
        <v>8.847679844E9</v>
      </c>
      <c r="J135" s="19" t="s">
        <v>3503</v>
      </c>
      <c r="K135" s="19" t="s">
        <v>3504</v>
      </c>
      <c r="L135" s="19" t="s">
        <v>3556</v>
      </c>
      <c r="M135" s="21"/>
      <c r="N135" s="19" t="s">
        <v>3548</v>
      </c>
      <c r="O135" s="19" t="s">
        <v>3507</v>
      </c>
      <c r="P135" s="19" t="s">
        <v>3508</v>
      </c>
      <c r="Q135" s="21"/>
      <c r="R135" s="19" t="s">
        <v>3509</v>
      </c>
      <c r="S135" s="19" t="s">
        <v>3510</v>
      </c>
      <c r="T135" s="19" t="s">
        <v>3549</v>
      </c>
      <c r="U135" s="19" t="s">
        <v>3512</v>
      </c>
      <c r="V135" s="19" t="s">
        <v>3513</v>
      </c>
      <c r="W135" s="19" t="s">
        <v>3514</v>
      </c>
      <c r="X135" s="19" t="s">
        <v>3740</v>
      </c>
      <c r="Y135" s="19" t="s">
        <v>3516</v>
      </c>
      <c r="Z135" s="19" t="s">
        <v>3517</v>
      </c>
      <c r="AA135" s="19" t="s">
        <v>3518</v>
      </c>
      <c r="AB135" s="19" t="s">
        <v>3519</v>
      </c>
      <c r="AC135" s="19" t="s">
        <v>3520</v>
      </c>
      <c r="AD135" s="19" t="s">
        <v>3521</v>
      </c>
      <c r="AE135" s="19" t="s">
        <v>3522</v>
      </c>
      <c r="AF135" s="19" t="s">
        <v>3523</v>
      </c>
      <c r="AG135" s="19" t="s">
        <v>3524</v>
      </c>
      <c r="AH135" s="19" t="s">
        <v>3525</v>
      </c>
      <c r="AI135" s="19" t="s">
        <v>3526</v>
      </c>
      <c r="AJ135" s="19" t="s">
        <v>3527</v>
      </c>
      <c r="AK135" s="19" t="s">
        <v>3528</v>
      </c>
      <c r="AL135" s="19" t="s">
        <v>3529</v>
      </c>
      <c r="AM135" s="21"/>
      <c r="AN135" s="21"/>
      <c r="AO135" s="19" t="s">
        <v>3557</v>
      </c>
      <c r="AP135" s="19" t="s">
        <v>3577</v>
      </c>
      <c r="AQ135" s="21"/>
      <c r="AR135" s="19" t="s">
        <v>3535</v>
      </c>
      <c r="AS135" s="19" t="s">
        <v>3536</v>
      </c>
      <c r="AT135" s="19" t="s">
        <v>3562</v>
      </c>
      <c r="AU135" s="19" t="s">
        <v>6</v>
      </c>
      <c r="AV135" s="19" t="s">
        <v>3536</v>
      </c>
      <c r="AW135" s="19" t="s">
        <v>3539</v>
      </c>
      <c r="AX135" s="19" t="s">
        <v>3540</v>
      </c>
      <c r="AY135" s="19" t="s">
        <v>3950</v>
      </c>
      <c r="AZ135" s="19" t="s">
        <v>3542</v>
      </c>
      <c r="BA135" s="19" t="s">
        <v>3543</v>
      </c>
      <c r="BB135" s="19" t="s">
        <v>3544</v>
      </c>
      <c r="BC135" s="23"/>
    </row>
    <row r="136" ht="22.5" customHeight="1">
      <c r="A136" s="11">
        <v>46182.53026875</v>
      </c>
      <c r="B136" s="12" t="s">
        <v>3951</v>
      </c>
      <c r="C136" s="13">
        <v>39.0</v>
      </c>
      <c r="D136" s="14" t="s">
        <v>3952</v>
      </c>
      <c r="E136" s="15">
        <f t="shared" si="1"/>
        <v>44</v>
      </c>
      <c r="F136" s="12" t="s">
        <v>3953</v>
      </c>
      <c r="G136" s="12" t="s">
        <v>3954</v>
      </c>
      <c r="H136" s="12" t="s">
        <v>3955</v>
      </c>
      <c r="I136" s="15">
        <v>9.08498809E9</v>
      </c>
      <c r="J136" s="12" t="s">
        <v>3547</v>
      </c>
      <c r="K136" s="12" t="s">
        <v>3504</v>
      </c>
      <c r="L136" s="12" t="s">
        <v>3556</v>
      </c>
      <c r="M136" s="16"/>
      <c r="N136" s="12" t="s">
        <v>3569</v>
      </c>
      <c r="O136" s="12" t="s">
        <v>3507</v>
      </c>
      <c r="P136" s="12" t="s">
        <v>3508</v>
      </c>
      <c r="Q136" s="16"/>
      <c r="R136" s="12" t="s">
        <v>3509</v>
      </c>
      <c r="S136" s="12" t="s">
        <v>3510</v>
      </c>
      <c r="T136" s="12" t="s">
        <v>3549</v>
      </c>
      <c r="U136" s="12" t="s">
        <v>3512</v>
      </c>
      <c r="V136" s="12" t="s">
        <v>3513</v>
      </c>
      <c r="W136" s="12" t="s">
        <v>3514</v>
      </c>
      <c r="X136" s="12" t="s">
        <v>3515</v>
      </c>
      <c r="Y136" s="12" t="s">
        <v>3516</v>
      </c>
      <c r="Z136" s="12" t="s">
        <v>3517</v>
      </c>
      <c r="AA136" s="12" t="s">
        <v>3518</v>
      </c>
      <c r="AB136" s="12" t="s">
        <v>3519</v>
      </c>
      <c r="AC136" s="12" t="s">
        <v>3520</v>
      </c>
      <c r="AD136" s="12" t="s">
        <v>3521</v>
      </c>
      <c r="AE136" s="12" t="s">
        <v>3522</v>
      </c>
      <c r="AF136" s="12" t="s">
        <v>3523</v>
      </c>
      <c r="AG136" s="12" t="s">
        <v>3524</v>
      </c>
      <c r="AH136" s="12" t="s">
        <v>3525</v>
      </c>
      <c r="AI136" s="12" t="s">
        <v>3526</v>
      </c>
      <c r="AJ136" s="12" t="s">
        <v>3527</v>
      </c>
      <c r="AK136" s="12" t="s">
        <v>3528</v>
      </c>
      <c r="AL136" s="12" t="s">
        <v>3529</v>
      </c>
      <c r="AM136" s="12" t="s">
        <v>3530</v>
      </c>
      <c r="AN136" s="12" t="s">
        <v>3531</v>
      </c>
      <c r="AO136" s="12" t="s">
        <v>3532</v>
      </c>
      <c r="AP136" s="12" t="s">
        <v>3533</v>
      </c>
      <c r="AQ136" s="12" t="s">
        <v>3534</v>
      </c>
      <c r="AR136" s="12" t="s">
        <v>3535</v>
      </c>
      <c r="AS136" s="12" t="s">
        <v>3536</v>
      </c>
      <c r="AT136" s="12" t="s">
        <v>3537</v>
      </c>
      <c r="AU136" s="12" t="s">
        <v>6</v>
      </c>
      <c r="AV136" s="12" t="s">
        <v>3538</v>
      </c>
      <c r="AW136" s="12" t="s">
        <v>3539</v>
      </c>
      <c r="AX136" s="12" t="s">
        <v>3540</v>
      </c>
      <c r="AY136" s="12" t="s">
        <v>3541</v>
      </c>
      <c r="AZ136" s="12" t="s">
        <v>3542</v>
      </c>
      <c r="BA136" s="12" t="s">
        <v>3543</v>
      </c>
      <c r="BB136" s="12" t="s">
        <v>3544</v>
      </c>
      <c r="BC136" s="17"/>
    </row>
    <row r="137" ht="22.5" customHeight="1">
      <c r="A137" s="18">
        <v>46182.53113700231</v>
      </c>
      <c r="B137" s="19" t="s">
        <v>1405</v>
      </c>
      <c r="C137" s="20">
        <v>39.0</v>
      </c>
      <c r="D137" s="24" t="s">
        <v>3956</v>
      </c>
      <c r="E137" s="22">
        <f t="shared" si="1"/>
        <v>44</v>
      </c>
      <c r="F137" s="19" t="s">
        <v>3957</v>
      </c>
      <c r="G137" s="19" t="s">
        <v>1406</v>
      </c>
      <c r="H137" s="19" t="s">
        <v>1405</v>
      </c>
      <c r="I137" s="22">
        <v>8.968537398E9</v>
      </c>
      <c r="J137" s="19" t="s">
        <v>3503</v>
      </c>
      <c r="K137" s="19" t="s">
        <v>3504</v>
      </c>
      <c r="L137" s="19" t="s">
        <v>3556</v>
      </c>
      <c r="M137" s="21"/>
      <c r="N137" s="19" t="s">
        <v>3506</v>
      </c>
      <c r="O137" s="19" t="s">
        <v>3507</v>
      </c>
      <c r="P137" s="19" t="s">
        <v>3508</v>
      </c>
      <c r="Q137" s="21"/>
      <c r="R137" s="19" t="s">
        <v>3574</v>
      </c>
      <c r="S137" s="19" t="s">
        <v>3510</v>
      </c>
      <c r="T137" s="19" t="s">
        <v>3549</v>
      </c>
      <c r="U137" s="19" t="s">
        <v>3550</v>
      </c>
      <c r="V137" s="19" t="s">
        <v>3513</v>
      </c>
      <c r="W137" s="19" t="s">
        <v>3514</v>
      </c>
      <c r="X137" s="19" t="s">
        <v>3515</v>
      </c>
      <c r="Y137" s="19" t="s">
        <v>3516</v>
      </c>
      <c r="Z137" s="19" t="s">
        <v>3517</v>
      </c>
      <c r="AA137" s="19" t="s">
        <v>3518</v>
      </c>
      <c r="AB137" s="19" t="s">
        <v>3519</v>
      </c>
      <c r="AC137" s="19" t="s">
        <v>3520</v>
      </c>
      <c r="AD137" s="19" t="s">
        <v>3521</v>
      </c>
      <c r="AE137" s="19" t="s">
        <v>3522</v>
      </c>
      <c r="AF137" s="19" t="s">
        <v>3523</v>
      </c>
      <c r="AG137" s="19" t="s">
        <v>3524</v>
      </c>
      <c r="AH137" s="19" t="s">
        <v>3525</v>
      </c>
      <c r="AI137" s="19" t="s">
        <v>3526</v>
      </c>
      <c r="AJ137" s="19" t="s">
        <v>3527</v>
      </c>
      <c r="AK137" s="19" t="s">
        <v>3528</v>
      </c>
      <c r="AL137" s="19" t="s">
        <v>3529</v>
      </c>
      <c r="AM137" s="19" t="s">
        <v>3530</v>
      </c>
      <c r="AN137" s="19" t="s">
        <v>3531</v>
      </c>
      <c r="AO137" s="19" t="s">
        <v>3557</v>
      </c>
      <c r="AP137" s="19" t="s">
        <v>3533</v>
      </c>
      <c r="AQ137" s="19" t="s">
        <v>3534</v>
      </c>
      <c r="AR137" s="19" t="s">
        <v>3535</v>
      </c>
      <c r="AS137" s="19" t="s">
        <v>3536</v>
      </c>
      <c r="AT137" s="19" t="s">
        <v>3537</v>
      </c>
      <c r="AU137" s="19" t="s">
        <v>6</v>
      </c>
      <c r="AV137" s="19" t="s">
        <v>3538</v>
      </c>
      <c r="AW137" s="19" t="s">
        <v>3539</v>
      </c>
      <c r="AX137" s="19" t="s">
        <v>3540</v>
      </c>
      <c r="AY137" s="19" t="s">
        <v>3541</v>
      </c>
      <c r="AZ137" s="19" t="s">
        <v>3542</v>
      </c>
      <c r="BA137" s="19" t="s">
        <v>3631</v>
      </c>
      <c r="BB137" s="19" t="s">
        <v>3544</v>
      </c>
      <c r="BC137" s="23"/>
    </row>
    <row r="138" ht="22.5" customHeight="1">
      <c r="A138" s="11">
        <v>46182.53728712963</v>
      </c>
      <c r="B138" s="12" t="s">
        <v>3146</v>
      </c>
      <c r="C138" s="13">
        <v>32.0</v>
      </c>
      <c r="D138" s="14" t="s">
        <v>3958</v>
      </c>
      <c r="E138" s="15">
        <f t="shared" si="1"/>
        <v>37</v>
      </c>
      <c r="F138" s="12" t="s">
        <v>3959</v>
      </c>
      <c r="G138" s="12" t="s">
        <v>3147</v>
      </c>
      <c r="H138" s="12" t="s">
        <v>3146</v>
      </c>
      <c r="I138" s="15">
        <v>7.972332916E9</v>
      </c>
      <c r="J138" s="12" t="s">
        <v>3547</v>
      </c>
      <c r="K138" s="12" t="s">
        <v>3791</v>
      </c>
      <c r="L138" s="12" t="s">
        <v>3556</v>
      </c>
      <c r="M138" s="16"/>
      <c r="N138" s="12" t="s">
        <v>3506</v>
      </c>
      <c r="O138" s="12" t="s">
        <v>3507</v>
      </c>
      <c r="P138" s="12" t="s">
        <v>3508</v>
      </c>
      <c r="Q138" s="16"/>
      <c r="R138" s="12" t="s">
        <v>3509</v>
      </c>
      <c r="S138" s="12" t="s">
        <v>3510</v>
      </c>
      <c r="T138" s="12" t="s">
        <v>3549</v>
      </c>
      <c r="U138" s="12" t="s">
        <v>3550</v>
      </c>
      <c r="V138" s="12" t="s">
        <v>3513</v>
      </c>
      <c r="W138" s="12" t="s">
        <v>3587</v>
      </c>
      <c r="X138" s="12" t="s">
        <v>3515</v>
      </c>
      <c r="Y138" s="12" t="s">
        <v>3680</v>
      </c>
      <c r="Z138" s="12" t="s">
        <v>3517</v>
      </c>
      <c r="AA138" s="12" t="s">
        <v>3518</v>
      </c>
      <c r="AB138" s="12" t="s">
        <v>3519</v>
      </c>
      <c r="AC138" s="12" t="s">
        <v>3638</v>
      </c>
      <c r="AD138" s="12" t="s">
        <v>3521</v>
      </c>
      <c r="AE138" s="12" t="s">
        <v>3522</v>
      </c>
      <c r="AF138" s="12" t="s">
        <v>3639</v>
      </c>
      <c r="AG138" s="12" t="s">
        <v>3589</v>
      </c>
      <c r="AH138" s="12" t="s">
        <v>3525</v>
      </c>
      <c r="AI138" s="12" t="s">
        <v>3526</v>
      </c>
      <c r="AJ138" s="12" t="s">
        <v>3527</v>
      </c>
      <c r="AK138" s="12" t="s">
        <v>3528</v>
      </c>
      <c r="AL138" s="12" t="s">
        <v>3885</v>
      </c>
      <c r="AM138" s="12" t="s">
        <v>3530</v>
      </c>
      <c r="AN138" s="12" t="s">
        <v>3531</v>
      </c>
      <c r="AO138" s="12" t="s">
        <v>3557</v>
      </c>
      <c r="AP138" s="12" t="s">
        <v>3577</v>
      </c>
      <c r="AQ138" s="12" t="s">
        <v>3534</v>
      </c>
      <c r="AR138" s="12" t="s">
        <v>3535</v>
      </c>
      <c r="AS138" s="12" t="s">
        <v>3538</v>
      </c>
      <c r="AT138" s="12" t="s">
        <v>3537</v>
      </c>
      <c r="AU138" s="15">
        <v>1.0</v>
      </c>
      <c r="AV138" s="12" t="s">
        <v>3538</v>
      </c>
      <c r="AW138" s="12" t="s">
        <v>3539</v>
      </c>
      <c r="AX138" s="12" t="s">
        <v>3774</v>
      </c>
      <c r="AY138" s="12" t="s">
        <v>3570</v>
      </c>
      <c r="AZ138" s="12" t="s">
        <v>3542</v>
      </c>
      <c r="BA138" s="12" t="s">
        <v>3543</v>
      </c>
      <c r="BB138" s="12" t="s">
        <v>3544</v>
      </c>
      <c r="BC138" s="17"/>
    </row>
    <row r="139" ht="22.5" customHeight="1">
      <c r="A139" s="18">
        <v>46182.54140263889</v>
      </c>
      <c r="B139" s="19" t="s">
        <v>2020</v>
      </c>
      <c r="C139" s="20">
        <v>28.0</v>
      </c>
      <c r="D139" s="21"/>
      <c r="E139" s="22">
        <f t="shared" si="1"/>
        <v>28</v>
      </c>
      <c r="F139" s="19" t="s">
        <v>3960</v>
      </c>
      <c r="G139" s="19" t="s">
        <v>3961</v>
      </c>
      <c r="H139" s="19" t="s">
        <v>2020</v>
      </c>
      <c r="I139" s="22">
        <v>8.847679844E9</v>
      </c>
      <c r="J139" s="19" t="s">
        <v>3503</v>
      </c>
      <c r="K139" s="19" t="s">
        <v>3504</v>
      </c>
      <c r="L139" s="19" t="s">
        <v>3556</v>
      </c>
      <c r="M139" s="21"/>
      <c r="N139" s="19" t="s">
        <v>3548</v>
      </c>
      <c r="O139" s="19" t="s">
        <v>3507</v>
      </c>
      <c r="P139" s="19" t="s">
        <v>3508</v>
      </c>
      <c r="Q139" s="21"/>
      <c r="R139" s="19" t="s">
        <v>3509</v>
      </c>
      <c r="S139" s="19" t="s">
        <v>3510</v>
      </c>
      <c r="T139" s="19" t="s">
        <v>3549</v>
      </c>
      <c r="U139" s="19" t="s">
        <v>3512</v>
      </c>
      <c r="V139" s="19" t="s">
        <v>3513</v>
      </c>
      <c r="W139" s="19" t="s">
        <v>3514</v>
      </c>
      <c r="X139" s="19" t="s">
        <v>3740</v>
      </c>
      <c r="Y139" s="19" t="s">
        <v>3516</v>
      </c>
      <c r="Z139" s="19" t="s">
        <v>3517</v>
      </c>
      <c r="AA139" s="19" t="s">
        <v>3518</v>
      </c>
      <c r="AB139" s="19" t="s">
        <v>3519</v>
      </c>
      <c r="AC139" s="19" t="s">
        <v>3520</v>
      </c>
      <c r="AD139" s="19" t="s">
        <v>3521</v>
      </c>
      <c r="AE139" s="19" t="s">
        <v>3522</v>
      </c>
      <c r="AF139" s="19" t="s">
        <v>3523</v>
      </c>
      <c r="AG139" s="19" t="s">
        <v>3524</v>
      </c>
      <c r="AH139" s="19" t="s">
        <v>3525</v>
      </c>
      <c r="AI139" s="19" t="s">
        <v>3526</v>
      </c>
      <c r="AJ139" s="19" t="s">
        <v>3527</v>
      </c>
      <c r="AK139" s="19" t="s">
        <v>3528</v>
      </c>
      <c r="AL139" s="19" t="s">
        <v>3529</v>
      </c>
      <c r="AM139" s="21"/>
      <c r="AN139" s="21"/>
      <c r="AO139" s="19" t="s">
        <v>3557</v>
      </c>
      <c r="AP139" s="21"/>
      <c r="AQ139" s="21"/>
      <c r="AR139" s="19" t="s">
        <v>3535</v>
      </c>
      <c r="AS139" s="19" t="s">
        <v>3536</v>
      </c>
      <c r="AT139" s="19" t="s">
        <v>3562</v>
      </c>
      <c r="AU139" s="19" t="s">
        <v>6</v>
      </c>
      <c r="AV139" s="19" t="s">
        <v>3536</v>
      </c>
      <c r="AW139" s="19" t="s">
        <v>3558</v>
      </c>
      <c r="AX139" s="21"/>
      <c r="AY139" s="19" t="s">
        <v>3950</v>
      </c>
      <c r="AZ139" s="19" t="s">
        <v>3542</v>
      </c>
      <c r="BA139" s="19" t="s">
        <v>3543</v>
      </c>
      <c r="BB139" s="21"/>
      <c r="BC139" s="23"/>
    </row>
    <row r="140" ht="22.5" customHeight="1">
      <c r="A140" s="11">
        <v>46182.55360526621</v>
      </c>
      <c r="B140" s="12" t="s">
        <v>853</v>
      </c>
      <c r="C140" s="13">
        <v>30.0</v>
      </c>
      <c r="D140" s="14" t="s">
        <v>3962</v>
      </c>
      <c r="E140" s="15">
        <f t="shared" si="1"/>
        <v>35</v>
      </c>
      <c r="F140" s="12" t="s">
        <v>3963</v>
      </c>
      <c r="G140" s="12" t="s">
        <v>854</v>
      </c>
      <c r="H140" s="12" t="s">
        <v>853</v>
      </c>
      <c r="I140" s="15">
        <v>8.60243621E9</v>
      </c>
      <c r="J140" s="12" t="s">
        <v>3503</v>
      </c>
      <c r="K140" s="12" t="s">
        <v>3504</v>
      </c>
      <c r="L140" s="12" t="s">
        <v>3556</v>
      </c>
      <c r="M140" s="16"/>
      <c r="N140" s="12" t="s">
        <v>3506</v>
      </c>
      <c r="O140" s="12" t="s">
        <v>3507</v>
      </c>
      <c r="P140" s="12" t="s">
        <v>3508</v>
      </c>
      <c r="Q140" s="16"/>
      <c r="R140" s="12" t="s">
        <v>3509</v>
      </c>
      <c r="S140" s="12" t="s">
        <v>3510</v>
      </c>
      <c r="T140" s="12" t="s">
        <v>3549</v>
      </c>
      <c r="U140" s="12" t="s">
        <v>3512</v>
      </c>
      <c r="V140" s="12" t="s">
        <v>3513</v>
      </c>
      <c r="W140" s="12" t="s">
        <v>3587</v>
      </c>
      <c r="X140" s="12" t="s">
        <v>3515</v>
      </c>
      <c r="Y140" s="12" t="s">
        <v>3725</v>
      </c>
      <c r="Z140" s="12" t="s">
        <v>3517</v>
      </c>
      <c r="AA140" s="12" t="s">
        <v>3518</v>
      </c>
      <c r="AB140" s="12" t="s">
        <v>3519</v>
      </c>
      <c r="AC140" s="12" t="s">
        <v>3638</v>
      </c>
      <c r="AD140" s="12" t="s">
        <v>3521</v>
      </c>
      <c r="AE140" s="12" t="s">
        <v>3704</v>
      </c>
      <c r="AF140" s="12" t="s">
        <v>3639</v>
      </c>
      <c r="AG140" s="12" t="s">
        <v>3589</v>
      </c>
      <c r="AH140" s="12" t="s">
        <v>3525</v>
      </c>
      <c r="AI140" s="12" t="s">
        <v>3526</v>
      </c>
      <c r="AJ140" s="12" t="s">
        <v>3527</v>
      </c>
      <c r="AK140" s="12" t="s">
        <v>3528</v>
      </c>
      <c r="AL140" s="12" t="s">
        <v>3529</v>
      </c>
      <c r="AM140" s="12" t="s">
        <v>3530</v>
      </c>
      <c r="AN140" s="12" t="s">
        <v>3531</v>
      </c>
      <c r="AO140" s="12" t="s">
        <v>3551</v>
      </c>
      <c r="AP140" s="12" t="s">
        <v>3533</v>
      </c>
      <c r="AQ140" s="12" t="s">
        <v>3534</v>
      </c>
      <c r="AR140" s="12" t="s">
        <v>3535</v>
      </c>
      <c r="AS140" s="12" t="s">
        <v>3536</v>
      </c>
      <c r="AT140" s="12" t="s">
        <v>3537</v>
      </c>
      <c r="AU140" s="12" t="s">
        <v>6</v>
      </c>
      <c r="AV140" s="12" t="s">
        <v>3536</v>
      </c>
      <c r="AW140" s="12" t="s">
        <v>3558</v>
      </c>
      <c r="AX140" s="12" t="s">
        <v>3540</v>
      </c>
      <c r="AY140" s="12" t="s">
        <v>3570</v>
      </c>
      <c r="AZ140" s="12" t="s">
        <v>3542</v>
      </c>
      <c r="BA140" s="12" t="s">
        <v>3579</v>
      </c>
      <c r="BB140" s="12" t="s">
        <v>3544</v>
      </c>
      <c r="BC140" s="17"/>
    </row>
    <row r="141" ht="22.5" customHeight="1">
      <c r="A141" s="18">
        <v>46182.561966504625</v>
      </c>
      <c r="B141" s="19" t="s">
        <v>1181</v>
      </c>
      <c r="C141" s="20">
        <v>35.0</v>
      </c>
      <c r="D141" s="21"/>
      <c r="E141" s="22">
        <f t="shared" si="1"/>
        <v>35</v>
      </c>
      <c r="F141" s="19" t="s">
        <v>3964</v>
      </c>
      <c r="G141" s="19" t="s">
        <v>3965</v>
      </c>
      <c r="H141" s="19" t="s">
        <v>1181</v>
      </c>
      <c r="I141" s="22">
        <v>8.413972509E9</v>
      </c>
      <c r="J141" s="19" t="s">
        <v>3547</v>
      </c>
      <c r="K141" s="19" t="s">
        <v>3504</v>
      </c>
      <c r="L141" s="19" t="s">
        <v>3556</v>
      </c>
      <c r="M141" s="21"/>
      <c r="N141" s="19" t="s">
        <v>3569</v>
      </c>
      <c r="O141" s="19" t="s">
        <v>3507</v>
      </c>
      <c r="P141" s="19" t="s">
        <v>3508</v>
      </c>
      <c r="Q141" s="21"/>
      <c r="R141" s="19" t="s">
        <v>3509</v>
      </c>
      <c r="S141" s="19" t="s">
        <v>3510</v>
      </c>
      <c r="T141" s="19" t="s">
        <v>3549</v>
      </c>
      <c r="U141" s="19" t="s">
        <v>3512</v>
      </c>
      <c r="V141" s="19" t="s">
        <v>3513</v>
      </c>
      <c r="W141" s="19" t="s">
        <v>3514</v>
      </c>
      <c r="X141" s="19" t="s">
        <v>3515</v>
      </c>
      <c r="Y141" s="19" t="s">
        <v>3516</v>
      </c>
      <c r="Z141" s="19" t="s">
        <v>3517</v>
      </c>
      <c r="AA141" s="19" t="s">
        <v>3518</v>
      </c>
      <c r="AB141" s="19" t="s">
        <v>3519</v>
      </c>
      <c r="AC141" s="19" t="s">
        <v>3520</v>
      </c>
      <c r="AD141" s="19" t="s">
        <v>3521</v>
      </c>
      <c r="AE141" s="19" t="s">
        <v>3522</v>
      </c>
      <c r="AF141" s="19" t="s">
        <v>3523</v>
      </c>
      <c r="AG141" s="19" t="s">
        <v>3524</v>
      </c>
      <c r="AH141" s="19" t="s">
        <v>3525</v>
      </c>
      <c r="AI141" s="19" t="s">
        <v>3526</v>
      </c>
      <c r="AJ141" s="19" t="s">
        <v>3527</v>
      </c>
      <c r="AK141" s="19" t="s">
        <v>3528</v>
      </c>
      <c r="AL141" s="21"/>
      <c r="AM141" s="19" t="s">
        <v>3530</v>
      </c>
      <c r="AN141" s="19" t="s">
        <v>3531</v>
      </c>
      <c r="AO141" s="21"/>
      <c r="AP141" s="19" t="s">
        <v>3533</v>
      </c>
      <c r="AQ141" s="21"/>
      <c r="AR141" s="19" t="s">
        <v>6</v>
      </c>
      <c r="AS141" s="19" t="s">
        <v>3536</v>
      </c>
      <c r="AT141" s="19" t="s">
        <v>3537</v>
      </c>
      <c r="AU141" s="19" t="s">
        <v>6</v>
      </c>
      <c r="AV141" s="19" t="s">
        <v>3538</v>
      </c>
      <c r="AW141" s="19" t="s">
        <v>3539</v>
      </c>
      <c r="AX141" s="19" t="s">
        <v>3540</v>
      </c>
      <c r="AY141" s="19" t="s">
        <v>3541</v>
      </c>
      <c r="AZ141" s="19" t="s">
        <v>3542</v>
      </c>
      <c r="BA141" s="21"/>
      <c r="BB141" s="19" t="s">
        <v>3544</v>
      </c>
      <c r="BC141" s="23"/>
    </row>
    <row r="142" ht="22.5" customHeight="1">
      <c r="A142" s="11">
        <v>46182.564404930556</v>
      </c>
      <c r="B142" s="12" t="s">
        <v>1665</v>
      </c>
      <c r="C142" s="13">
        <v>37.0</v>
      </c>
      <c r="D142" s="14" t="s">
        <v>3966</v>
      </c>
      <c r="E142" s="15">
        <f t="shared" si="1"/>
        <v>42</v>
      </c>
      <c r="F142" s="12" t="s">
        <v>3967</v>
      </c>
      <c r="G142" s="12" t="s">
        <v>3968</v>
      </c>
      <c r="H142" s="12" t="s">
        <v>1665</v>
      </c>
      <c r="I142" s="15">
        <v>9.89822267E9</v>
      </c>
      <c r="J142" s="12" t="s">
        <v>3503</v>
      </c>
      <c r="K142" s="12" t="s">
        <v>3504</v>
      </c>
      <c r="L142" s="12" t="s">
        <v>3556</v>
      </c>
      <c r="M142" s="16"/>
      <c r="N142" s="12" t="s">
        <v>3506</v>
      </c>
      <c r="O142" s="12" t="s">
        <v>3507</v>
      </c>
      <c r="P142" s="12" t="s">
        <v>3508</v>
      </c>
      <c r="Q142" s="16"/>
      <c r="R142" s="12" t="s">
        <v>3509</v>
      </c>
      <c r="S142" s="12" t="s">
        <v>3510</v>
      </c>
      <c r="T142" s="12" t="s">
        <v>3549</v>
      </c>
      <c r="U142" s="12" t="s">
        <v>3512</v>
      </c>
      <c r="V142" s="12" t="s">
        <v>3513</v>
      </c>
      <c r="W142" s="12" t="s">
        <v>3514</v>
      </c>
      <c r="X142" s="12" t="s">
        <v>3515</v>
      </c>
      <c r="Y142" s="12" t="s">
        <v>3516</v>
      </c>
      <c r="Z142" s="12" t="s">
        <v>3517</v>
      </c>
      <c r="AA142" s="12" t="s">
        <v>3518</v>
      </c>
      <c r="AB142" s="12" t="s">
        <v>3519</v>
      </c>
      <c r="AC142" s="12" t="s">
        <v>3520</v>
      </c>
      <c r="AD142" s="12" t="s">
        <v>3521</v>
      </c>
      <c r="AE142" s="12" t="s">
        <v>3522</v>
      </c>
      <c r="AF142" s="12" t="s">
        <v>3523</v>
      </c>
      <c r="AG142" s="12" t="s">
        <v>3589</v>
      </c>
      <c r="AH142" s="12" t="s">
        <v>3525</v>
      </c>
      <c r="AI142" s="12" t="s">
        <v>3526</v>
      </c>
      <c r="AJ142" s="12" t="s">
        <v>3527</v>
      </c>
      <c r="AK142" s="12" t="s">
        <v>3528</v>
      </c>
      <c r="AL142" s="12" t="s">
        <v>3529</v>
      </c>
      <c r="AM142" s="12" t="s">
        <v>3530</v>
      </c>
      <c r="AN142" s="12" t="s">
        <v>3969</v>
      </c>
      <c r="AO142" s="12" t="s">
        <v>3557</v>
      </c>
      <c r="AP142" s="12" t="s">
        <v>3533</v>
      </c>
      <c r="AQ142" s="12" t="s">
        <v>3534</v>
      </c>
      <c r="AR142" s="12" t="s">
        <v>3535</v>
      </c>
      <c r="AS142" s="12" t="s">
        <v>3536</v>
      </c>
      <c r="AT142" s="12" t="s">
        <v>3537</v>
      </c>
      <c r="AU142" s="12" t="s">
        <v>6</v>
      </c>
      <c r="AV142" s="12" t="s">
        <v>3538</v>
      </c>
      <c r="AW142" s="12" t="s">
        <v>3539</v>
      </c>
      <c r="AX142" s="12" t="s">
        <v>3540</v>
      </c>
      <c r="AY142" s="12" t="s">
        <v>3541</v>
      </c>
      <c r="AZ142" s="12" t="s">
        <v>3706</v>
      </c>
      <c r="BA142" s="12" t="s">
        <v>3543</v>
      </c>
      <c r="BB142" s="12" t="s">
        <v>3544</v>
      </c>
      <c r="BC142" s="17"/>
    </row>
    <row r="143" ht="22.5" customHeight="1">
      <c r="A143" s="18">
        <v>46182.564724317126</v>
      </c>
      <c r="B143" s="19" t="s">
        <v>1559</v>
      </c>
      <c r="C143" s="20">
        <v>40.0</v>
      </c>
      <c r="D143" s="24" t="s">
        <v>3970</v>
      </c>
      <c r="E143" s="22">
        <f t="shared" si="1"/>
        <v>45</v>
      </c>
      <c r="F143" s="19" t="s">
        <v>3971</v>
      </c>
      <c r="G143" s="19" t="s">
        <v>3972</v>
      </c>
      <c r="H143" s="19" t="s">
        <v>1559</v>
      </c>
      <c r="I143" s="22">
        <v>7.62283123E8</v>
      </c>
      <c r="J143" s="19" t="s">
        <v>3547</v>
      </c>
      <c r="K143" s="19" t="s">
        <v>3504</v>
      </c>
      <c r="L143" s="19" t="s">
        <v>3556</v>
      </c>
      <c r="M143" s="21"/>
      <c r="N143" s="19" t="s">
        <v>3506</v>
      </c>
      <c r="O143" s="19" t="s">
        <v>3507</v>
      </c>
      <c r="P143" s="19" t="s">
        <v>3508</v>
      </c>
      <c r="Q143" s="21"/>
      <c r="R143" s="19" t="s">
        <v>3509</v>
      </c>
      <c r="S143" s="19" t="s">
        <v>3510</v>
      </c>
      <c r="T143" s="19" t="s">
        <v>3511</v>
      </c>
      <c r="U143" s="19" t="s">
        <v>3512</v>
      </c>
      <c r="V143" s="19" t="s">
        <v>3513</v>
      </c>
      <c r="W143" s="19" t="s">
        <v>3514</v>
      </c>
      <c r="X143" s="19" t="s">
        <v>3515</v>
      </c>
      <c r="Y143" s="19" t="s">
        <v>3516</v>
      </c>
      <c r="Z143" s="19" t="s">
        <v>3517</v>
      </c>
      <c r="AA143" s="19" t="s">
        <v>3518</v>
      </c>
      <c r="AB143" s="19" t="s">
        <v>3519</v>
      </c>
      <c r="AC143" s="19" t="s">
        <v>3520</v>
      </c>
      <c r="AD143" s="19" t="s">
        <v>3521</v>
      </c>
      <c r="AE143" s="19" t="s">
        <v>3522</v>
      </c>
      <c r="AF143" s="19" t="s">
        <v>3523</v>
      </c>
      <c r="AG143" s="19" t="s">
        <v>3524</v>
      </c>
      <c r="AH143" s="19" t="s">
        <v>3525</v>
      </c>
      <c r="AI143" s="19" t="s">
        <v>3526</v>
      </c>
      <c r="AJ143" s="19" t="s">
        <v>3527</v>
      </c>
      <c r="AK143" s="19" t="s">
        <v>3528</v>
      </c>
      <c r="AL143" s="19" t="s">
        <v>3529</v>
      </c>
      <c r="AM143" s="19" t="s">
        <v>3530</v>
      </c>
      <c r="AN143" s="19" t="s">
        <v>3531</v>
      </c>
      <c r="AO143" s="19" t="s">
        <v>3557</v>
      </c>
      <c r="AP143" s="19" t="s">
        <v>3533</v>
      </c>
      <c r="AQ143" s="19" t="s">
        <v>3534</v>
      </c>
      <c r="AR143" s="19" t="s">
        <v>3535</v>
      </c>
      <c r="AS143" s="19" t="s">
        <v>3536</v>
      </c>
      <c r="AT143" s="19" t="s">
        <v>3537</v>
      </c>
      <c r="AU143" s="19" t="s">
        <v>6</v>
      </c>
      <c r="AV143" s="19" t="s">
        <v>3538</v>
      </c>
      <c r="AW143" s="19" t="s">
        <v>3539</v>
      </c>
      <c r="AX143" s="19" t="s">
        <v>3540</v>
      </c>
      <c r="AY143" s="19" t="s">
        <v>3541</v>
      </c>
      <c r="AZ143" s="19" t="s">
        <v>3542</v>
      </c>
      <c r="BA143" s="19" t="s">
        <v>3543</v>
      </c>
      <c r="BB143" s="19" t="s">
        <v>3544</v>
      </c>
      <c r="BC143" s="23"/>
    </row>
    <row r="144" ht="22.5" customHeight="1">
      <c r="A144" s="11">
        <v>46182.57648575232</v>
      </c>
      <c r="B144" s="12" t="s">
        <v>2144</v>
      </c>
      <c r="C144" s="13">
        <v>41.0</v>
      </c>
      <c r="D144" s="14" t="s">
        <v>3973</v>
      </c>
      <c r="E144" s="15">
        <f t="shared" si="1"/>
        <v>46</v>
      </c>
      <c r="F144" s="12" t="s">
        <v>3974</v>
      </c>
      <c r="G144" s="12" t="s">
        <v>2145</v>
      </c>
      <c r="H144" s="12" t="s">
        <v>2144</v>
      </c>
      <c r="I144" s="15">
        <v>8.178210259E9</v>
      </c>
      <c r="J144" s="12" t="s">
        <v>3547</v>
      </c>
      <c r="K144" s="12" t="s">
        <v>3504</v>
      </c>
      <c r="L144" s="12" t="s">
        <v>3556</v>
      </c>
      <c r="M144" s="16"/>
      <c r="N144" s="12" t="s">
        <v>3506</v>
      </c>
      <c r="O144" s="12" t="s">
        <v>3507</v>
      </c>
      <c r="P144" s="12" t="s">
        <v>3508</v>
      </c>
      <c r="Q144" s="16"/>
      <c r="R144" s="12" t="s">
        <v>3509</v>
      </c>
      <c r="S144" s="12" t="s">
        <v>3510</v>
      </c>
      <c r="T144" s="12" t="s">
        <v>3549</v>
      </c>
      <c r="U144" s="12" t="s">
        <v>3512</v>
      </c>
      <c r="V144" s="12" t="s">
        <v>3513</v>
      </c>
      <c r="W144" s="12" t="s">
        <v>3514</v>
      </c>
      <c r="X144" s="12" t="s">
        <v>3515</v>
      </c>
      <c r="Y144" s="12" t="s">
        <v>3516</v>
      </c>
      <c r="Z144" s="12" t="s">
        <v>3517</v>
      </c>
      <c r="AA144" s="12" t="s">
        <v>3518</v>
      </c>
      <c r="AB144" s="12" t="s">
        <v>3519</v>
      </c>
      <c r="AC144" s="12" t="s">
        <v>3520</v>
      </c>
      <c r="AD144" s="12" t="s">
        <v>3521</v>
      </c>
      <c r="AE144" s="12" t="s">
        <v>3522</v>
      </c>
      <c r="AF144" s="12" t="s">
        <v>3523</v>
      </c>
      <c r="AG144" s="12" t="s">
        <v>3524</v>
      </c>
      <c r="AH144" s="12" t="s">
        <v>3525</v>
      </c>
      <c r="AI144" s="12" t="s">
        <v>3526</v>
      </c>
      <c r="AJ144" s="12" t="s">
        <v>3527</v>
      </c>
      <c r="AK144" s="12" t="s">
        <v>3528</v>
      </c>
      <c r="AL144" s="12" t="s">
        <v>3529</v>
      </c>
      <c r="AM144" s="12" t="s">
        <v>3530</v>
      </c>
      <c r="AN144" s="12" t="s">
        <v>3531</v>
      </c>
      <c r="AO144" s="12" t="s">
        <v>3557</v>
      </c>
      <c r="AP144" s="12" t="s">
        <v>3533</v>
      </c>
      <c r="AQ144" s="12" t="s">
        <v>3534</v>
      </c>
      <c r="AR144" s="12" t="s">
        <v>3535</v>
      </c>
      <c r="AS144" s="12" t="s">
        <v>3536</v>
      </c>
      <c r="AT144" s="12" t="s">
        <v>3537</v>
      </c>
      <c r="AU144" s="12" t="s">
        <v>6</v>
      </c>
      <c r="AV144" s="12" t="s">
        <v>3538</v>
      </c>
      <c r="AW144" s="12" t="s">
        <v>3539</v>
      </c>
      <c r="AX144" s="12" t="s">
        <v>3540</v>
      </c>
      <c r="AY144" s="12" t="s">
        <v>3541</v>
      </c>
      <c r="AZ144" s="12" t="s">
        <v>3542</v>
      </c>
      <c r="BA144" s="12" t="s">
        <v>3543</v>
      </c>
      <c r="BB144" s="12" t="s">
        <v>3544</v>
      </c>
      <c r="BC144" s="17"/>
    </row>
    <row r="145" ht="22.5" customHeight="1">
      <c r="A145" s="18">
        <v>46182.57722056713</v>
      </c>
      <c r="B145" s="19" t="s">
        <v>3975</v>
      </c>
      <c r="C145" s="20">
        <v>41.0</v>
      </c>
      <c r="D145" s="24" t="s">
        <v>3828</v>
      </c>
      <c r="E145" s="22">
        <f t="shared" si="1"/>
        <v>46</v>
      </c>
      <c r="F145" s="19" t="s">
        <v>3976</v>
      </c>
      <c r="G145" s="19" t="s">
        <v>3977</v>
      </c>
      <c r="H145" s="19" t="s">
        <v>1988</v>
      </c>
      <c r="I145" s="22">
        <v>9.778441007E9</v>
      </c>
      <c r="J145" s="19" t="s">
        <v>3547</v>
      </c>
      <c r="K145" s="19" t="s">
        <v>3504</v>
      </c>
      <c r="L145" s="19" t="s">
        <v>3556</v>
      </c>
      <c r="M145" s="21"/>
      <c r="N145" s="19" t="s">
        <v>3506</v>
      </c>
      <c r="O145" s="19" t="s">
        <v>3507</v>
      </c>
      <c r="P145" s="19" t="s">
        <v>3508</v>
      </c>
      <c r="Q145" s="21"/>
      <c r="R145" s="19" t="s">
        <v>3509</v>
      </c>
      <c r="S145" s="19" t="s">
        <v>3510</v>
      </c>
      <c r="T145" s="19" t="s">
        <v>3511</v>
      </c>
      <c r="U145" s="19" t="s">
        <v>3550</v>
      </c>
      <c r="V145" s="19" t="s">
        <v>3513</v>
      </c>
      <c r="W145" s="19" t="s">
        <v>3514</v>
      </c>
      <c r="X145" s="19" t="s">
        <v>3515</v>
      </c>
      <c r="Y145" s="19" t="s">
        <v>3516</v>
      </c>
      <c r="Z145" s="19" t="s">
        <v>3517</v>
      </c>
      <c r="AA145" s="19" t="s">
        <v>3518</v>
      </c>
      <c r="AB145" s="19" t="s">
        <v>3519</v>
      </c>
      <c r="AC145" s="19" t="s">
        <v>3520</v>
      </c>
      <c r="AD145" s="19" t="s">
        <v>3521</v>
      </c>
      <c r="AE145" s="19" t="s">
        <v>3522</v>
      </c>
      <c r="AF145" s="19" t="s">
        <v>3523</v>
      </c>
      <c r="AG145" s="19" t="s">
        <v>3524</v>
      </c>
      <c r="AH145" s="19" t="s">
        <v>3525</v>
      </c>
      <c r="AI145" s="19" t="s">
        <v>3526</v>
      </c>
      <c r="AJ145" s="19" t="s">
        <v>3527</v>
      </c>
      <c r="AK145" s="19" t="s">
        <v>3528</v>
      </c>
      <c r="AL145" s="19" t="s">
        <v>3529</v>
      </c>
      <c r="AM145" s="19" t="s">
        <v>3530</v>
      </c>
      <c r="AN145" s="19" t="s">
        <v>3531</v>
      </c>
      <c r="AO145" s="19" t="s">
        <v>3557</v>
      </c>
      <c r="AP145" s="19" t="s">
        <v>3533</v>
      </c>
      <c r="AQ145" s="19" t="s">
        <v>3534</v>
      </c>
      <c r="AR145" s="19" t="s">
        <v>3535</v>
      </c>
      <c r="AS145" s="19" t="s">
        <v>3536</v>
      </c>
      <c r="AT145" s="19" t="s">
        <v>3537</v>
      </c>
      <c r="AU145" s="19" t="s">
        <v>6</v>
      </c>
      <c r="AV145" s="19" t="s">
        <v>3538</v>
      </c>
      <c r="AW145" s="19" t="s">
        <v>3539</v>
      </c>
      <c r="AX145" s="19" t="s">
        <v>3540</v>
      </c>
      <c r="AY145" s="19" t="s">
        <v>3541</v>
      </c>
      <c r="AZ145" s="19" t="s">
        <v>3542</v>
      </c>
      <c r="BA145" s="19" t="s">
        <v>3543</v>
      </c>
      <c r="BB145" s="19" t="s">
        <v>3544</v>
      </c>
      <c r="BC145" s="23"/>
    </row>
    <row r="146" ht="22.5" customHeight="1">
      <c r="A146" s="11">
        <v>46182.57730721065</v>
      </c>
      <c r="B146" s="12" t="s">
        <v>1108</v>
      </c>
      <c r="C146" s="13">
        <v>32.0</v>
      </c>
      <c r="D146" s="14" t="s">
        <v>3978</v>
      </c>
      <c r="E146" s="15">
        <f t="shared" si="1"/>
        <v>37</v>
      </c>
      <c r="F146" s="12" t="s">
        <v>3979</v>
      </c>
      <c r="G146" s="12" t="s">
        <v>3980</v>
      </c>
      <c r="H146" s="12" t="s">
        <v>1108</v>
      </c>
      <c r="I146" s="15">
        <v>9.209373328E9</v>
      </c>
      <c r="J146" s="12" t="s">
        <v>3561</v>
      </c>
      <c r="K146" s="12" t="s">
        <v>3504</v>
      </c>
      <c r="L146" s="12" t="s">
        <v>3612</v>
      </c>
      <c r="M146" s="16"/>
      <c r="N146" s="12" t="s">
        <v>3506</v>
      </c>
      <c r="O146" s="12" t="s">
        <v>3507</v>
      </c>
      <c r="P146" s="12" t="s">
        <v>3981</v>
      </c>
      <c r="Q146" s="16"/>
      <c r="R146" s="12" t="s">
        <v>3509</v>
      </c>
      <c r="S146" s="12" t="s">
        <v>3510</v>
      </c>
      <c r="T146" s="12" t="s">
        <v>3549</v>
      </c>
      <c r="U146" s="12" t="s">
        <v>3512</v>
      </c>
      <c r="V146" s="12" t="s">
        <v>3513</v>
      </c>
      <c r="W146" s="12" t="s">
        <v>3514</v>
      </c>
      <c r="X146" s="12" t="s">
        <v>3515</v>
      </c>
      <c r="Y146" s="12" t="s">
        <v>3516</v>
      </c>
      <c r="Z146" s="12" t="s">
        <v>3517</v>
      </c>
      <c r="AA146" s="12" t="s">
        <v>3518</v>
      </c>
      <c r="AB146" s="12" t="s">
        <v>3519</v>
      </c>
      <c r="AC146" s="12" t="s">
        <v>3638</v>
      </c>
      <c r="AD146" s="12" t="s">
        <v>3521</v>
      </c>
      <c r="AE146" s="12" t="s">
        <v>3522</v>
      </c>
      <c r="AF146" s="12" t="s">
        <v>3523</v>
      </c>
      <c r="AG146" s="12" t="s">
        <v>3524</v>
      </c>
      <c r="AH146" s="12" t="s">
        <v>3525</v>
      </c>
      <c r="AI146" s="12" t="s">
        <v>3526</v>
      </c>
      <c r="AJ146" s="12" t="s">
        <v>3527</v>
      </c>
      <c r="AK146" s="12" t="s">
        <v>3528</v>
      </c>
      <c r="AL146" s="12" t="s">
        <v>3529</v>
      </c>
      <c r="AM146" s="12" t="s">
        <v>3530</v>
      </c>
      <c r="AN146" s="12" t="s">
        <v>3531</v>
      </c>
      <c r="AO146" s="12" t="s">
        <v>3557</v>
      </c>
      <c r="AP146" s="12" t="s">
        <v>3577</v>
      </c>
      <c r="AQ146" s="12" t="s">
        <v>3534</v>
      </c>
      <c r="AR146" s="12" t="s">
        <v>3535</v>
      </c>
      <c r="AS146" s="12" t="s">
        <v>3538</v>
      </c>
      <c r="AT146" s="12" t="s">
        <v>3562</v>
      </c>
      <c r="AU146" s="12" t="s">
        <v>6</v>
      </c>
      <c r="AV146" s="12" t="s">
        <v>3538</v>
      </c>
      <c r="AW146" s="12" t="s">
        <v>3539</v>
      </c>
      <c r="AX146" s="12" t="s">
        <v>3540</v>
      </c>
      <c r="AY146" s="12" t="s">
        <v>3570</v>
      </c>
      <c r="AZ146" s="12" t="s">
        <v>3542</v>
      </c>
      <c r="BA146" s="12" t="s">
        <v>3699</v>
      </c>
      <c r="BB146" s="12" t="s">
        <v>3544</v>
      </c>
      <c r="BC146" s="17"/>
    </row>
    <row r="147" ht="22.5" customHeight="1">
      <c r="A147" s="18">
        <v>46182.581259398146</v>
      </c>
      <c r="B147" s="19" t="s">
        <v>3353</v>
      </c>
      <c r="C147" s="20">
        <v>26.0</v>
      </c>
      <c r="D147" s="21"/>
      <c r="E147" s="22">
        <f t="shared" si="1"/>
        <v>26</v>
      </c>
      <c r="F147" s="19" t="s">
        <v>3445</v>
      </c>
      <c r="G147" s="19" t="s">
        <v>3982</v>
      </c>
      <c r="H147" s="19" t="s">
        <v>3353</v>
      </c>
      <c r="I147" s="22">
        <v>9.711936896E9</v>
      </c>
      <c r="J147" s="19" t="s">
        <v>3547</v>
      </c>
      <c r="K147" s="19" t="s">
        <v>3504</v>
      </c>
      <c r="L147" s="19" t="s">
        <v>3556</v>
      </c>
      <c r="M147" s="21"/>
      <c r="N147" s="19" t="s">
        <v>3569</v>
      </c>
      <c r="O147" s="19" t="s">
        <v>3507</v>
      </c>
      <c r="P147" s="19" t="s">
        <v>3508</v>
      </c>
      <c r="Q147" s="21"/>
      <c r="R147" s="19" t="s">
        <v>3574</v>
      </c>
      <c r="S147" s="19" t="s">
        <v>3510</v>
      </c>
      <c r="T147" s="19" t="s">
        <v>3549</v>
      </c>
      <c r="U147" s="19" t="s">
        <v>3550</v>
      </c>
      <c r="V147" s="19" t="s">
        <v>3513</v>
      </c>
      <c r="W147" s="19" t="s">
        <v>3514</v>
      </c>
      <c r="X147" s="19" t="s">
        <v>3515</v>
      </c>
      <c r="Y147" s="19" t="s">
        <v>3516</v>
      </c>
      <c r="Z147" s="19" t="s">
        <v>3517</v>
      </c>
      <c r="AA147" s="19" t="s">
        <v>3518</v>
      </c>
      <c r="AB147" s="19" t="s">
        <v>3519</v>
      </c>
      <c r="AC147" s="19" t="s">
        <v>3520</v>
      </c>
      <c r="AD147" s="19" t="s">
        <v>3521</v>
      </c>
      <c r="AE147" s="19" t="s">
        <v>3704</v>
      </c>
      <c r="AF147" s="19" t="s">
        <v>3639</v>
      </c>
      <c r="AG147" s="19" t="s">
        <v>3524</v>
      </c>
      <c r="AH147" s="19" t="s">
        <v>3525</v>
      </c>
      <c r="AI147" s="19" t="s">
        <v>3526</v>
      </c>
      <c r="AJ147" s="19" t="s">
        <v>3527</v>
      </c>
      <c r="AK147" s="19" t="s">
        <v>3528</v>
      </c>
      <c r="AL147" s="21"/>
      <c r="AM147" s="21"/>
      <c r="AN147" s="19" t="s">
        <v>3531</v>
      </c>
      <c r="AO147" s="21"/>
      <c r="AP147" s="21"/>
      <c r="AQ147" s="21"/>
      <c r="AR147" s="19" t="s">
        <v>3535</v>
      </c>
      <c r="AS147" s="19" t="s">
        <v>3538</v>
      </c>
      <c r="AT147" s="19" t="s">
        <v>3537</v>
      </c>
      <c r="AU147" s="22">
        <v>2.0</v>
      </c>
      <c r="AV147" s="19" t="s">
        <v>3538</v>
      </c>
      <c r="AW147" s="19" t="s">
        <v>3539</v>
      </c>
      <c r="AX147" s="21"/>
      <c r="AY147" s="21"/>
      <c r="AZ147" s="21"/>
      <c r="BA147" s="21"/>
      <c r="BB147" s="21"/>
      <c r="BC147" s="23"/>
    </row>
    <row r="148" ht="22.5" customHeight="1">
      <c r="A148" s="11">
        <v>46182.62181081019</v>
      </c>
      <c r="B148" s="12" t="s">
        <v>3983</v>
      </c>
      <c r="C148" s="13">
        <v>33.0</v>
      </c>
      <c r="D148" s="14" t="s">
        <v>3984</v>
      </c>
      <c r="E148" s="15">
        <f t="shared" si="1"/>
        <v>38</v>
      </c>
      <c r="F148" s="12" t="s">
        <v>3985</v>
      </c>
      <c r="G148" s="12" t="s">
        <v>3986</v>
      </c>
      <c r="H148" s="12" t="s">
        <v>3987</v>
      </c>
      <c r="I148" s="15">
        <v>9.074737289E9</v>
      </c>
      <c r="J148" s="12" t="s">
        <v>3547</v>
      </c>
      <c r="K148" s="12" t="s">
        <v>3504</v>
      </c>
      <c r="L148" s="12" t="s">
        <v>3556</v>
      </c>
      <c r="M148" s="16"/>
      <c r="N148" s="12" t="s">
        <v>3569</v>
      </c>
      <c r="O148" s="12" t="s">
        <v>3507</v>
      </c>
      <c r="P148" s="12" t="s">
        <v>3508</v>
      </c>
      <c r="Q148" s="16"/>
      <c r="R148" s="12" t="s">
        <v>3509</v>
      </c>
      <c r="S148" s="12" t="s">
        <v>3781</v>
      </c>
      <c r="T148" s="12" t="s">
        <v>3549</v>
      </c>
      <c r="U148" s="12" t="s">
        <v>3512</v>
      </c>
      <c r="V148" s="12" t="s">
        <v>3513</v>
      </c>
      <c r="W148" s="12" t="s">
        <v>3514</v>
      </c>
      <c r="X148" s="12" t="s">
        <v>3515</v>
      </c>
      <c r="Y148" s="12" t="s">
        <v>3516</v>
      </c>
      <c r="Z148" s="12" t="s">
        <v>3517</v>
      </c>
      <c r="AA148" s="12" t="s">
        <v>3518</v>
      </c>
      <c r="AB148" s="12" t="s">
        <v>3519</v>
      </c>
      <c r="AC148" s="12" t="s">
        <v>3520</v>
      </c>
      <c r="AD148" s="12" t="s">
        <v>3521</v>
      </c>
      <c r="AE148" s="12" t="s">
        <v>3522</v>
      </c>
      <c r="AF148" s="12" t="s">
        <v>3594</v>
      </c>
      <c r="AG148" s="12" t="s">
        <v>3524</v>
      </c>
      <c r="AH148" s="12" t="s">
        <v>3525</v>
      </c>
      <c r="AI148" s="12" t="s">
        <v>3526</v>
      </c>
      <c r="AJ148" s="12" t="s">
        <v>3527</v>
      </c>
      <c r="AK148" s="12" t="s">
        <v>3528</v>
      </c>
      <c r="AL148" s="12" t="s">
        <v>3529</v>
      </c>
      <c r="AM148" s="12" t="s">
        <v>3750</v>
      </c>
      <c r="AN148" s="12" t="s">
        <v>3531</v>
      </c>
      <c r="AO148" s="12" t="s">
        <v>3532</v>
      </c>
      <c r="AP148" s="12" t="s">
        <v>3533</v>
      </c>
      <c r="AQ148" s="12" t="s">
        <v>3534</v>
      </c>
      <c r="AR148" s="12" t="s">
        <v>3535</v>
      </c>
      <c r="AS148" s="12" t="s">
        <v>3536</v>
      </c>
      <c r="AT148" s="12" t="s">
        <v>3537</v>
      </c>
      <c r="AU148" s="12" t="s">
        <v>6</v>
      </c>
      <c r="AV148" s="12" t="s">
        <v>3538</v>
      </c>
      <c r="AW148" s="12" t="s">
        <v>3558</v>
      </c>
      <c r="AX148" s="12" t="s">
        <v>3540</v>
      </c>
      <c r="AY148" s="12" t="s">
        <v>3846</v>
      </c>
      <c r="AZ148" s="12" t="s">
        <v>3726</v>
      </c>
      <c r="BA148" s="12" t="s">
        <v>3543</v>
      </c>
      <c r="BB148" s="12" t="s">
        <v>3544</v>
      </c>
      <c r="BC148" s="17"/>
    </row>
    <row r="149" ht="22.5" customHeight="1">
      <c r="A149" s="18">
        <v>46182.62393077546</v>
      </c>
      <c r="B149" s="19" t="s">
        <v>603</v>
      </c>
      <c r="C149" s="20">
        <v>38.0</v>
      </c>
      <c r="D149" s="24" t="s">
        <v>3988</v>
      </c>
      <c r="E149" s="22">
        <f t="shared" si="1"/>
        <v>43</v>
      </c>
      <c r="F149" s="19" t="s">
        <v>3989</v>
      </c>
      <c r="G149" s="19" t="s">
        <v>604</v>
      </c>
      <c r="H149" s="19" t="s">
        <v>603</v>
      </c>
      <c r="I149" s="22">
        <v>8.813811344E9</v>
      </c>
      <c r="J149" s="19" t="s">
        <v>3547</v>
      </c>
      <c r="K149" s="19" t="s">
        <v>3504</v>
      </c>
      <c r="L149" s="19" t="s">
        <v>3556</v>
      </c>
      <c r="M149" s="21"/>
      <c r="N149" s="19" t="s">
        <v>3569</v>
      </c>
      <c r="O149" s="19" t="s">
        <v>3507</v>
      </c>
      <c r="P149" s="19" t="s">
        <v>3508</v>
      </c>
      <c r="Q149" s="21"/>
      <c r="R149" s="19" t="s">
        <v>3509</v>
      </c>
      <c r="S149" s="19" t="s">
        <v>3510</v>
      </c>
      <c r="T149" s="19" t="s">
        <v>3511</v>
      </c>
      <c r="U149" s="19" t="s">
        <v>3512</v>
      </c>
      <c r="V149" s="19" t="s">
        <v>3513</v>
      </c>
      <c r="W149" s="19" t="s">
        <v>3514</v>
      </c>
      <c r="X149" s="19" t="s">
        <v>3740</v>
      </c>
      <c r="Y149" s="19" t="s">
        <v>3516</v>
      </c>
      <c r="Z149" s="19" t="s">
        <v>3517</v>
      </c>
      <c r="AA149" s="19" t="s">
        <v>3518</v>
      </c>
      <c r="AB149" s="19" t="s">
        <v>3519</v>
      </c>
      <c r="AC149" s="19" t="s">
        <v>3520</v>
      </c>
      <c r="AD149" s="19" t="s">
        <v>3521</v>
      </c>
      <c r="AE149" s="19" t="s">
        <v>3522</v>
      </c>
      <c r="AF149" s="19" t="s">
        <v>3523</v>
      </c>
      <c r="AG149" s="19" t="s">
        <v>3524</v>
      </c>
      <c r="AH149" s="19" t="s">
        <v>3525</v>
      </c>
      <c r="AI149" s="19" t="s">
        <v>3526</v>
      </c>
      <c r="AJ149" s="19" t="s">
        <v>3527</v>
      </c>
      <c r="AK149" s="19" t="s">
        <v>3528</v>
      </c>
      <c r="AL149" s="19" t="s">
        <v>3529</v>
      </c>
      <c r="AM149" s="19" t="s">
        <v>3530</v>
      </c>
      <c r="AN149" s="19" t="s">
        <v>3531</v>
      </c>
      <c r="AO149" s="19" t="s">
        <v>3557</v>
      </c>
      <c r="AP149" s="19" t="s">
        <v>3533</v>
      </c>
      <c r="AQ149" s="19" t="s">
        <v>3534</v>
      </c>
      <c r="AR149" s="19" t="s">
        <v>3535</v>
      </c>
      <c r="AS149" s="19" t="s">
        <v>3536</v>
      </c>
      <c r="AT149" s="19" t="s">
        <v>3537</v>
      </c>
      <c r="AU149" s="19" t="s">
        <v>6</v>
      </c>
      <c r="AV149" s="19" t="s">
        <v>3538</v>
      </c>
      <c r="AW149" s="19" t="s">
        <v>3539</v>
      </c>
      <c r="AX149" s="19" t="s">
        <v>3540</v>
      </c>
      <c r="AY149" s="19" t="s">
        <v>3541</v>
      </c>
      <c r="AZ149" s="19" t="s">
        <v>3542</v>
      </c>
      <c r="BA149" s="19" t="s">
        <v>3543</v>
      </c>
      <c r="BB149" s="19" t="s">
        <v>3544</v>
      </c>
      <c r="BC149" s="23"/>
    </row>
    <row r="150" ht="22.5" customHeight="1">
      <c r="A150" s="11">
        <v>46182.63151122685</v>
      </c>
      <c r="B150" s="12" t="s">
        <v>2665</v>
      </c>
      <c r="C150" s="13">
        <v>40.0</v>
      </c>
      <c r="D150" s="16"/>
      <c r="E150" s="15">
        <f t="shared" si="1"/>
        <v>40</v>
      </c>
      <c r="F150" s="25" t="s">
        <v>3990</v>
      </c>
      <c r="G150" s="12" t="s">
        <v>2666</v>
      </c>
      <c r="H150" s="12" t="s">
        <v>2665</v>
      </c>
      <c r="I150" s="15">
        <v>9.149845625E9</v>
      </c>
      <c r="J150" s="12" t="s">
        <v>3547</v>
      </c>
      <c r="K150" s="12" t="s">
        <v>3504</v>
      </c>
      <c r="L150" s="12" t="s">
        <v>3556</v>
      </c>
      <c r="M150" s="16"/>
      <c r="N150" s="12" t="s">
        <v>3506</v>
      </c>
      <c r="O150" s="12" t="s">
        <v>3507</v>
      </c>
      <c r="P150" s="12" t="s">
        <v>3508</v>
      </c>
      <c r="Q150" s="16"/>
      <c r="R150" s="12" t="s">
        <v>3509</v>
      </c>
      <c r="S150" s="12" t="s">
        <v>3510</v>
      </c>
      <c r="T150" s="12" t="s">
        <v>3511</v>
      </c>
      <c r="U150" s="12" t="s">
        <v>3550</v>
      </c>
      <c r="V150" s="12" t="s">
        <v>3513</v>
      </c>
      <c r="W150" s="12" t="s">
        <v>3514</v>
      </c>
      <c r="X150" s="12" t="s">
        <v>3515</v>
      </c>
      <c r="Y150" s="12" t="s">
        <v>3516</v>
      </c>
      <c r="Z150" s="12" t="s">
        <v>3517</v>
      </c>
      <c r="AA150" s="12" t="s">
        <v>3518</v>
      </c>
      <c r="AB150" s="12" t="s">
        <v>3519</v>
      </c>
      <c r="AC150" s="12" t="s">
        <v>3520</v>
      </c>
      <c r="AD150" s="12" t="s">
        <v>3521</v>
      </c>
      <c r="AE150" s="12" t="s">
        <v>3522</v>
      </c>
      <c r="AF150" s="12" t="s">
        <v>3523</v>
      </c>
      <c r="AG150" s="12" t="s">
        <v>3524</v>
      </c>
      <c r="AH150" s="12" t="s">
        <v>3525</v>
      </c>
      <c r="AI150" s="12" t="s">
        <v>3526</v>
      </c>
      <c r="AJ150" s="12" t="s">
        <v>3527</v>
      </c>
      <c r="AK150" s="12" t="s">
        <v>3528</v>
      </c>
      <c r="AL150" s="12" t="s">
        <v>3529</v>
      </c>
      <c r="AM150" s="12" t="s">
        <v>3530</v>
      </c>
      <c r="AN150" s="12" t="s">
        <v>3531</v>
      </c>
      <c r="AO150" s="12" t="s">
        <v>3557</v>
      </c>
      <c r="AP150" s="12" t="s">
        <v>3533</v>
      </c>
      <c r="AQ150" s="12" t="s">
        <v>3534</v>
      </c>
      <c r="AR150" s="12" t="s">
        <v>3535</v>
      </c>
      <c r="AS150" s="12" t="s">
        <v>3536</v>
      </c>
      <c r="AT150" s="12" t="s">
        <v>3537</v>
      </c>
      <c r="AU150" s="12" t="s">
        <v>6</v>
      </c>
      <c r="AV150" s="12" t="s">
        <v>3538</v>
      </c>
      <c r="AW150" s="12" t="s">
        <v>3558</v>
      </c>
      <c r="AX150" s="12" t="s">
        <v>3540</v>
      </c>
      <c r="AY150" s="12" t="s">
        <v>3541</v>
      </c>
      <c r="AZ150" s="12" t="s">
        <v>3542</v>
      </c>
      <c r="BA150" s="12" t="s">
        <v>3543</v>
      </c>
      <c r="BB150" s="12" t="s">
        <v>3544</v>
      </c>
      <c r="BC150" s="17"/>
    </row>
    <row r="151" ht="22.5" customHeight="1">
      <c r="A151" s="18">
        <v>46182.63884655092</v>
      </c>
      <c r="B151" s="19" t="s">
        <v>3991</v>
      </c>
      <c r="C151" s="20">
        <v>38.0</v>
      </c>
      <c r="D151" s="24" t="s">
        <v>3992</v>
      </c>
      <c r="E151" s="22">
        <f t="shared" si="1"/>
        <v>43</v>
      </c>
      <c r="F151" s="19" t="s">
        <v>3993</v>
      </c>
      <c r="G151" s="19" t="s">
        <v>2604</v>
      </c>
      <c r="H151" s="19" t="s">
        <v>2921</v>
      </c>
      <c r="I151" s="22">
        <v>9.785772029E9</v>
      </c>
      <c r="J151" s="19" t="s">
        <v>3547</v>
      </c>
      <c r="K151" s="19" t="s">
        <v>3504</v>
      </c>
      <c r="L151" s="19" t="s">
        <v>3556</v>
      </c>
      <c r="M151" s="21"/>
      <c r="N151" s="19" t="s">
        <v>3569</v>
      </c>
      <c r="O151" s="19" t="s">
        <v>3507</v>
      </c>
      <c r="P151" s="19" t="s">
        <v>3508</v>
      </c>
      <c r="Q151" s="21"/>
      <c r="R151" s="19" t="s">
        <v>3509</v>
      </c>
      <c r="S151" s="19" t="s">
        <v>3510</v>
      </c>
      <c r="T151" s="19" t="s">
        <v>3511</v>
      </c>
      <c r="U151" s="19" t="s">
        <v>3550</v>
      </c>
      <c r="V151" s="19" t="s">
        <v>3513</v>
      </c>
      <c r="W151" s="19" t="s">
        <v>3514</v>
      </c>
      <c r="X151" s="19" t="s">
        <v>3515</v>
      </c>
      <c r="Y151" s="19" t="s">
        <v>3516</v>
      </c>
      <c r="Z151" s="19" t="s">
        <v>3517</v>
      </c>
      <c r="AA151" s="19" t="s">
        <v>3518</v>
      </c>
      <c r="AB151" s="19" t="s">
        <v>3519</v>
      </c>
      <c r="AC151" s="19" t="s">
        <v>3520</v>
      </c>
      <c r="AD151" s="19" t="s">
        <v>3521</v>
      </c>
      <c r="AE151" s="19" t="s">
        <v>3522</v>
      </c>
      <c r="AF151" s="19" t="s">
        <v>3523</v>
      </c>
      <c r="AG151" s="19" t="s">
        <v>3524</v>
      </c>
      <c r="AH151" s="19" t="s">
        <v>3525</v>
      </c>
      <c r="AI151" s="19" t="s">
        <v>3526</v>
      </c>
      <c r="AJ151" s="19" t="s">
        <v>3527</v>
      </c>
      <c r="AK151" s="19" t="s">
        <v>3528</v>
      </c>
      <c r="AL151" s="19" t="s">
        <v>3529</v>
      </c>
      <c r="AM151" s="19" t="s">
        <v>3530</v>
      </c>
      <c r="AN151" s="19" t="s">
        <v>3531</v>
      </c>
      <c r="AO151" s="19" t="s">
        <v>3551</v>
      </c>
      <c r="AP151" s="19" t="s">
        <v>3533</v>
      </c>
      <c r="AQ151" s="19" t="s">
        <v>3534</v>
      </c>
      <c r="AR151" s="19" t="s">
        <v>3535</v>
      </c>
      <c r="AS151" s="19" t="s">
        <v>3536</v>
      </c>
      <c r="AT151" s="19" t="s">
        <v>3537</v>
      </c>
      <c r="AU151" s="19" t="s">
        <v>6</v>
      </c>
      <c r="AV151" s="19" t="s">
        <v>3538</v>
      </c>
      <c r="AW151" s="19" t="s">
        <v>3558</v>
      </c>
      <c r="AX151" s="19" t="s">
        <v>3540</v>
      </c>
      <c r="AY151" s="19" t="s">
        <v>3541</v>
      </c>
      <c r="AZ151" s="19" t="s">
        <v>3542</v>
      </c>
      <c r="BA151" s="19" t="s">
        <v>3543</v>
      </c>
      <c r="BB151" s="19" t="s">
        <v>3544</v>
      </c>
      <c r="BC151" s="23"/>
    </row>
    <row r="152" ht="22.5" customHeight="1">
      <c r="A152" s="11">
        <v>46182.642543738424</v>
      </c>
      <c r="B152" s="12" t="s">
        <v>707</v>
      </c>
      <c r="C152" s="13">
        <v>39.0</v>
      </c>
      <c r="D152" s="16"/>
      <c r="E152" s="15">
        <f t="shared" si="1"/>
        <v>39</v>
      </c>
      <c r="F152" s="12" t="s">
        <v>3994</v>
      </c>
      <c r="G152" s="12" t="s">
        <v>708</v>
      </c>
      <c r="H152" s="12" t="s">
        <v>707</v>
      </c>
      <c r="I152" s="15">
        <v>8.10185322E9</v>
      </c>
      <c r="J152" s="12" t="s">
        <v>3503</v>
      </c>
      <c r="K152" s="12" t="s">
        <v>3504</v>
      </c>
      <c r="L152" s="12" t="s">
        <v>3556</v>
      </c>
      <c r="M152" s="16"/>
      <c r="N152" s="12" t="s">
        <v>3506</v>
      </c>
      <c r="O152" s="12" t="s">
        <v>3507</v>
      </c>
      <c r="P152" s="12" t="s">
        <v>3508</v>
      </c>
      <c r="Q152" s="16"/>
      <c r="R152" s="12" t="s">
        <v>3509</v>
      </c>
      <c r="S152" s="12" t="s">
        <v>3510</v>
      </c>
      <c r="T152" s="12" t="s">
        <v>3549</v>
      </c>
      <c r="U152" s="12" t="s">
        <v>3550</v>
      </c>
      <c r="V152" s="12" t="s">
        <v>3513</v>
      </c>
      <c r="W152" s="12" t="s">
        <v>3514</v>
      </c>
      <c r="X152" s="12" t="s">
        <v>3515</v>
      </c>
      <c r="Y152" s="12" t="s">
        <v>3516</v>
      </c>
      <c r="Z152" s="12" t="s">
        <v>3517</v>
      </c>
      <c r="AA152" s="12" t="s">
        <v>3518</v>
      </c>
      <c r="AB152" s="12" t="s">
        <v>3519</v>
      </c>
      <c r="AC152" s="12" t="s">
        <v>3520</v>
      </c>
      <c r="AD152" s="12" t="s">
        <v>3521</v>
      </c>
      <c r="AE152" s="12" t="s">
        <v>3522</v>
      </c>
      <c r="AF152" s="12" t="s">
        <v>3523</v>
      </c>
      <c r="AG152" s="12" t="s">
        <v>3524</v>
      </c>
      <c r="AH152" s="12" t="s">
        <v>3525</v>
      </c>
      <c r="AI152" s="12" t="s">
        <v>3526</v>
      </c>
      <c r="AJ152" s="16"/>
      <c r="AK152" s="12" t="s">
        <v>3528</v>
      </c>
      <c r="AL152" s="12" t="s">
        <v>3529</v>
      </c>
      <c r="AM152" s="12" t="s">
        <v>3530</v>
      </c>
      <c r="AN152" s="12" t="s">
        <v>3531</v>
      </c>
      <c r="AO152" s="12" t="s">
        <v>3551</v>
      </c>
      <c r="AP152" s="12" t="s">
        <v>3533</v>
      </c>
      <c r="AQ152" s="12" t="s">
        <v>3534</v>
      </c>
      <c r="AR152" s="12" t="s">
        <v>3535</v>
      </c>
      <c r="AS152" s="12" t="s">
        <v>3536</v>
      </c>
      <c r="AT152" s="12" t="s">
        <v>3537</v>
      </c>
      <c r="AU152" s="12" t="s">
        <v>6</v>
      </c>
      <c r="AV152" s="12" t="s">
        <v>3538</v>
      </c>
      <c r="AW152" s="12" t="s">
        <v>3539</v>
      </c>
      <c r="AX152" s="12" t="s">
        <v>3540</v>
      </c>
      <c r="AY152" s="12" t="s">
        <v>3541</v>
      </c>
      <c r="AZ152" s="12" t="s">
        <v>3542</v>
      </c>
      <c r="BA152" s="12" t="s">
        <v>3543</v>
      </c>
      <c r="BB152" s="12" t="s">
        <v>3544</v>
      </c>
      <c r="BC152" s="17"/>
    </row>
    <row r="153" ht="22.5" customHeight="1">
      <c r="A153" s="18">
        <v>46182.644150231485</v>
      </c>
      <c r="B153" s="19" t="s">
        <v>3995</v>
      </c>
      <c r="C153" s="20">
        <v>39.0</v>
      </c>
      <c r="D153" s="24" t="s">
        <v>3996</v>
      </c>
      <c r="E153" s="22">
        <f t="shared" si="1"/>
        <v>44</v>
      </c>
      <c r="F153" s="19" t="s">
        <v>3997</v>
      </c>
      <c r="G153" s="19" t="s">
        <v>3998</v>
      </c>
      <c r="H153" s="19" t="s">
        <v>348</v>
      </c>
      <c r="I153" s="22">
        <v>9.607227534E9</v>
      </c>
      <c r="J153" s="19" t="s">
        <v>3547</v>
      </c>
      <c r="K153" s="19" t="s">
        <v>3504</v>
      </c>
      <c r="L153" s="19" t="s">
        <v>3556</v>
      </c>
      <c r="M153" s="21"/>
      <c r="N153" s="19" t="s">
        <v>3506</v>
      </c>
      <c r="O153" s="19" t="s">
        <v>3507</v>
      </c>
      <c r="P153" s="19" t="s">
        <v>3508</v>
      </c>
      <c r="Q153" s="21"/>
      <c r="R153" s="19" t="s">
        <v>3509</v>
      </c>
      <c r="S153" s="19" t="s">
        <v>3510</v>
      </c>
      <c r="T153" s="19" t="s">
        <v>3549</v>
      </c>
      <c r="U153" s="19" t="s">
        <v>3550</v>
      </c>
      <c r="V153" s="19" t="s">
        <v>3513</v>
      </c>
      <c r="W153" s="19" t="s">
        <v>3514</v>
      </c>
      <c r="X153" s="19" t="s">
        <v>3515</v>
      </c>
      <c r="Y153" s="19" t="s">
        <v>3516</v>
      </c>
      <c r="Z153" s="19" t="s">
        <v>3517</v>
      </c>
      <c r="AA153" s="19" t="s">
        <v>3518</v>
      </c>
      <c r="AB153" s="19" t="s">
        <v>3519</v>
      </c>
      <c r="AC153" s="19" t="s">
        <v>3520</v>
      </c>
      <c r="AD153" s="19" t="s">
        <v>3521</v>
      </c>
      <c r="AE153" s="19" t="s">
        <v>3522</v>
      </c>
      <c r="AF153" s="19" t="s">
        <v>3523</v>
      </c>
      <c r="AG153" s="19" t="s">
        <v>3524</v>
      </c>
      <c r="AH153" s="19" t="s">
        <v>3525</v>
      </c>
      <c r="AI153" s="19" t="s">
        <v>3526</v>
      </c>
      <c r="AJ153" s="19" t="s">
        <v>3527</v>
      </c>
      <c r="AK153" s="19" t="s">
        <v>3528</v>
      </c>
      <c r="AL153" s="19" t="s">
        <v>3529</v>
      </c>
      <c r="AM153" s="19" t="s">
        <v>3530</v>
      </c>
      <c r="AN153" s="19" t="s">
        <v>3531</v>
      </c>
      <c r="AO153" s="19" t="s">
        <v>3557</v>
      </c>
      <c r="AP153" s="19" t="s">
        <v>3533</v>
      </c>
      <c r="AQ153" s="19" t="s">
        <v>3534</v>
      </c>
      <c r="AR153" s="19" t="s">
        <v>3535</v>
      </c>
      <c r="AS153" s="19" t="s">
        <v>3536</v>
      </c>
      <c r="AT153" s="19" t="s">
        <v>3537</v>
      </c>
      <c r="AU153" s="21"/>
      <c r="AV153" s="19" t="s">
        <v>3538</v>
      </c>
      <c r="AW153" s="19" t="s">
        <v>3558</v>
      </c>
      <c r="AX153" s="19" t="s">
        <v>3540</v>
      </c>
      <c r="AY153" s="19" t="s">
        <v>3541</v>
      </c>
      <c r="AZ153" s="19" t="s">
        <v>3542</v>
      </c>
      <c r="BA153" s="19" t="s">
        <v>3579</v>
      </c>
      <c r="BB153" s="19" t="s">
        <v>3544</v>
      </c>
      <c r="BC153" s="23"/>
    </row>
    <row r="154" ht="22.5" customHeight="1">
      <c r="A154" s="11">
        <v>46182.66074424768</v>
      </c>
      <c r="B154" s="12" t="s">
        <v>3999</v>
      </c>
      <c r="C154" s="13">
        <v>37.0</v>
      </c>
      <c r="D154" s="14" t="s">
        <v>4000</v>
      </c>
      <c r="E154" s="15">
        <f t="shared" si="1"/>
        <v>42</v>
      </c>
      <c r="F154" s="12" t="s">
        <v>3651</v>
      </c>
      <c r="G154" s="12" t="s">
        <v>612</v>
      </c>
      <c r="H154" s="12" t="s">
        <v>611</v>
      </c>
      <c r="I154" s="15">
        <v>7.988255239E9</v>
      </c>
      <c r="J154" s="12" t="s">
        <v>3547</v>
      </c>
      <c r="K154" s="12" t="s">
        <v>3504</v>
      </c>
      <c r="L154" s="12" t="s">
        <v>3556</v>
      </c>
      <c r="M154" s="16"/>
      <c r="N154" s="12" t="s">
        <v>3569</v>
      </c>
      <c r="O154" s="12" t="s">
        <v>3507</v>
      </c>
      <c r="P154" s="12" t="s">
        <v>3508</v>
      </c>
      <c r="Q154" s="16"/>
      <c r="R154" s="12" t="s">
        <v>3509</v>
      </c>
      <c r="S154" s="12" t="s">
        <v>3510</v>
      </c>
      <c r="T154" s="12" t="s">
        <v>3549</v>
      </c>
      <c r="U154" s="12" t="s">
        <v>3512</v>
      </c>
      <c r="V154" s="12" t="s">
        <v>3513</v>
      </c>
      <c r="W154" s="12" t="s">
        <v>3514</v>
      </c>
      <c r="X154" s="12" t="s">
        <v>3515</v>
      </c>
      <c r="Y154" s="12" t="s">
        <v>3516</v>
      </c>
      <c r="Z154" s="12" t="s">
        <v>3517</v>
      </c>
      <c r="AA154" s="12" t="s">
        <v>3518</v>
      </c>
      <c r="AB154" s="12" t="s">
        <v>3519</v>
      </c>
      <c r="AC154" s="12" t="s">
        <v>3520</v>
      </c>
      <c r="AD154" s="12" t="s">
        <v>3521</v>
      </c>
      <c r="AE154" s="12" t="s">
        <v>3522</v>
      </c>
      <c r="AF154" s="12" t="s">
        <v>3523</v>
      </c>
      <c r="AG154" s="12" t="s">
        <v>3524</v>
      </c>
      <c r="AH154" s="12" t="s">
        <v>3525</v>
      </c>
      <c r="AI154" s="12" t="s">
        <v>3526</v>
      </c>
      <c r="AJ154" s="12" t="s">
        <v>3527</v>
      </c>
      <c r="AK154" s="12" t="s">
        <v>3528</v>
      </c>
      <c r="AL154" s="12" t="s">
        <v>3529</v>
      </c>
      <c r="AM154" s="12" t="s">
        <v>3530</v>
      </c>
      <c r="AN154" s="12" t="s">
        <v>3531</v>
      </c>
      <c r="AO154" s="12" t="s">
        <v>3557</v>
      </c>
      <c r="AP154" s="12" t="s">
        <v>3533</v>
      </c>
      <c r="AQ154" s="12" t="s">
        <v>3534</v>
      </c>
      <c r="AR154" s="12" t="s">
        <v>3535</v>
      </c>
      <c r="AS154" s="12" t="s">
        <v>3538</v>
      </c>
      <c r="AT154" s="12" t="s">
        <v>3562</v>
      </c>
      <c r="AU154" s="15">
        <v>1.0</v>
      </c>
      <c r="AV154" s="12" t="s">
        <v>3538</v>
      </c>
      <c r="AW154" s="12" t="s">
        <v>3539</v>
      </c>
      <c r="AX154" s="12" t="s">
        <v>3540</v>
      </c>
      <c r="AY154" s="12" t="s">
        <v>3541</v>
      </c>
      <c r="AZ154" s="12" t="s">
        <v>3542</v>
      </c>
      <c r="BA154" s="12" t="s">
        <v>3543</v>
      </c>
      <c r="BB154" s="12" t="s">
        <v>3544</v>
      </c>
      <c r="BC154" s="17"/>
    </row>
    <row r="155" ht="22.5" customHeight="1">
      <c r="A155" s="18">
        <v>46182.663943935186</v>
      </c>
      <c r="B155" s="19" t="s">
        <v>4001</v>
      </c>
      <c r="C155" s="20">
        <v>35.0</v>
      </c>
      <c r="D155" s="24" t="s">
        <v>4002</v>
      </c>
      <c r="E155" s="22">
        <f t="shared" si="1"/>
        <v>40</v>
      </c>
      <c r="F155" s="19" t="s">
        <v>4003</v>
      </c>
      <c r="G155" s="19" t="s">
        <v>1818</v>
      </c>
      <c r="H155" s="19" t="s">
        <v>4001</v>
      </c>
      <c r="I155" s="22">
        <v>9.437728435E9</v>
      </c>
      <c r="J155" s="19" t="s">
        <v>3547</v>
      </c>
      <c r="K155" s="19" t="s">
        <v>3504</v>
      </c>
      <c r="L155" s="19" t="s">
        <v>3505</v>
      </c>
      <c r="M155" s="21"/>
      <c r="N155" s="19" t="s">
        <v>3506</v>
      </c>
      <c r="O155" s="19" t="s">
        <v>3507</v>
      </c>
      <c r="P155" s="19" t="s">
        <v>3508</v>
      </c>
      <c r="Q155" s="21"/>
      <c r="R155" s="19" t="s">
        <v>3509</v>
      </c>
      <c r="S155" s="19" t="s">
        <v>3510</v>
      </c>
      <c r="T155" s="19" t="s">
        <v>3511</v>
      </c>
      <c r="U155" s="19" t="s">
        <v>3512</v>
      </c>
      <c r="V155" s="19" t="s">
        <v>3513</v>
      </c>
      <c r="W155" s="19" t="s">
        <v>3514</v>
      </c>
      <c r="X155" s="19" t="s">
        <v>3515</v>
      </c>
      <c r="Y155" s="19" t="s">
        <v>3516</v>
      </c>
      <c r="Z155" s="19" t="s">
        <v>3517</v>
      </c>
      <c r="AA155" s="19" t="s">
        <v>3518</v>
      </c>
      <c r="AB155" s="19" t="s">
        <v>3519</v>
      </c>
      <c r="AC155" s="19" t="s">
        <v>3520</v>
      </c>
      <c r="AD155" s="19" t="s">
        <v>3615</v>
      </c>
      <c r="AE155" s="19" t="s">
        <v>3522</v>
      </c>
      <c r="AF155" s="19" t="s">
        <v>3523</v>
      </c>
      <c r="AG155" s="19" t="s">
        <v>3524</v>
      </c>
      <c r="AH155" s="19" t="s">
        <v>3525</v>
      </c>
      <c r="AI155" s="21"/>
      <c r="AJ155" s="19" t="s">
        <v>3527</v>
      </c>
      <c r="AK155" s="19" t="s">
        <v>3528</v>
      </c>
      <c r="AL155" s="19" t="s">
        <v>3529</v>
      </c>
      <c r="AM155" s="19" t="s">
        <v>3530</v>
      </c>
      <c r="AN155" s="19" t="s">
        <v>3531</v>
      </c>
      <c r="AO155" s="19" t="s">
        <v>3557</v>
      </c>
      <c r="AP155" s="19" t="s">
        <v>3533</v>
      </c>
      <c r="AQ155" s="19" t="s">
        <v>3534</v>
      </c>
      <c r="AR155" s="19" t="s">
        <v>3535</v>
      </c>
      <c r="AS155" s="19" t="s">
        <v>3538</v>
      </c>
      <c r="AT155" s="19" t="s">
        <v>3562</v>
      </c>
      <c r="AU155" s="19" t="s">
        <v>6</v>
      </c>
      <c r="AV155" s="19" t="s">
        <v>3538</v>
      </c>
      <c r="AW155" s="19" t="s">
        <v>3539</v>
      </c>
      <c r="AX155" s="19" t="s">
        <v>3540</v>
      </c>
      <c r="AY155" s="19" t="s">
        <v>3541</v>
      </c>
      <c r="AZ155" s="19" t="s">
        <v>3542</v>
      </c>
      <c r="BA155" s="19" t="s">
        <v>3543</v>
      </c>
      <c r="BB155" s="19" t="s">
        <v>3544</v>
      </c>
      <c r="BC155" s="23"/>
    </row>
    <row r="156" ht="22.5" customHeight="1">
      <c r="A156" s="11">
        <v>46182.664369074075</v>
      </c>
      <c r="B156" s="12" t="s">
        <v>2176</v>
      </c>
      <c r="C156" s="13">
        <v>40.0</v>
      </c>
      <c r="D156" s="14" t="s">
        <v>4004</v>
      </c>
      <c r="E156" s="15">
        <f t="shared" si="1"/>
        <v>45</v>
      </c>
      <c r="F156" s="12" t="s">
        <v>4005</v>
      </c>
      <c r="G156" s="12" t="s">
        <v>2177</v>
      </c>
      <c r="H156" s="12" t="s">
        <v>2176</v>
      </c>
      <c r="I156" s="15">
        <v>8.838939298E9</v>
      </c>
      <c r="J156" s="12" t="s">
        <v>3547</v>
      </c>
      <c r="K156" s="12" t="s">
        <v>3504</v>
      </c>
      <c r="L156" s="12" t="s">
        <v>3556</v>
      </c>
      <c r="M156" s="16"/>
      <c r="N156" s="12" t="s">
        <v>3506</v>
      </c>
      <c r="O156" s="12" t="s">
        <v>3507</v>
      </c>
      <c r="P156" s="12" t="s">
        <v>3508</v>
      </c>
      <c r="Q156" s="16"/>
      <c r="R156" s="12" t="s">
        <v>3509</v>
      </c>
      <c r="S156" s="12" t="s">
        <v>3510</v>
      </c>
      <c r="T156" s="12" t="s">
        <v>3549</v>
      </c>
      <c r="U156" s="12" t="s">
        <v>3550</v>
      </c>
      <c r="V156" s="12" t="s">
        <v>3513</v>
      </c>
      <c r="W156" s="12" t="s">
        <v>3514</v>
      </c>
      <c r="X156" s="12" t="s">
        <v>3515</v>
      </c>
      <c r="Y156" s="12" t="s">
        <v>3516</v>
      </c>
      <c r="Z156" s="12" t="s">
        <v>3517</v>
      </c>
      <c r="AA156" s="12" t="s">
        <v>3518</v>
      </c>
      <c r="AB156" s="12" t="s">
        <v>3519</v>
      </c>
      <c r="AC156" s="12" t="s">
        <v>3520</v>
      </c>
      <c r="AD156" s="12" t="s">
        <v>3521</v>
      </c>
      <c r="AE156" s="12" t="s">
        <v>3522</v>
      </c>
      <c r="AF156" s="12" t="s">
        <v>3523</v>
      </c>
      <c r="AG156" s="12" t="s">
        <v>3524</v>
      </c>
      <c r="AH156" s="12" t="s">
        <v>3525</v>
      </c>
      <c r="AI156" s="12" t="s">
        <v>3526</v>
      </c>
      <c r="AJ156" s="12" t="s">
        <v>3527</v>
      </c>
      <c r="AK156" s="12" t="s">
        <v>3528</v>
      </c>
      <c r="AL156" s="12" t="s">
        <v>3529</v>
      </c>
      <c r="AM156" s="12" t="s">
        <v>3530</v>
      </c>
      <c r="AN156" s="12" t="s">
        <v>3531</v>
      </c>
      <c r="AO156" s="12" t="s">
        <v>3532</v>
      </c>
      <c r="AP156" s="12" t="s">
        <v>3533</v>
      </c>
      <c r="AQ156" s="12" t="s">
        <v>3534</v>
      </c>
      <c r="AR156" s="12" t="s">
        <v>3535</v>
      </c>
      <c r="AS156" s="12" t="s">
        <v>3536</v>
      </c>
      <c r="AT156" s="12" t="s">
        <v>3578</v>
      </c>
      <c r="AU156" s="12" t="s">
        <v>6</v>
      </c>
      <c r="AV156" s="12" t="s">
        <v>3538</v>
      </c>
      <c r="AW156" s="12" t="s">
        <v>3539</v>
      </c>
      <c r="AX156" s="12" t="s">
        <v>3540</v>
      </c>
      <c r="AY156" s="12" t="s">
        <v>3541</v>
      </c>
      <c r="AZ156" s="12" t="s">
        <v>3542</v>
      </c>
      <c r="BA156" s="12" t="s">
        <v>3543</v>
      </c>
      <c r="BB156" s="12" t="s">
        <v>3544</v>
      </c>
      <c r="BC156" s="17"/>
    </row>
    <row r="157" ht="22.5" customHeight="1">
      <c r="A157" s="18">
        <v>46182.66596994213</v>
      </c>
      <c r="B157" s="19" t="s">
        <v>2678</v>
      </c>
      <c r="C157" s="20">
        <v>26.0</v>
      </c>
      <c r="D157" s="24" t="s">
        <v>4006</v>
      </c>
      <c r="E157" s="22">
        <f t="shared" si="1"/>
        <v>31</v>
      </c>
      <c r="F157" s="19" t="s">
        <v>4007</v>
      </c>
      <c r="G157" s="19" t="s">
        <v>4008</v>
      </c>
      <c r="H157" s="19" t="s">
        <v>2678</v>
      </c>
      <c r="I157" s="22">
        <v>9.830726212E9</v>
      </c>
      <c r="J157" s="19" t="s">
        <v>3547</v>
      </c>
      <c r="K157" s="19" t="s">
        <v>3504</v>
      </c>
      <c r="L157" s="19" t="s">
        <v>3556</v>
      </c>
      <c r="M157" s="21"/>
      <c r="N157" s="19" t="s">
        <v>3548</v>
      </c>
      <c r="O157" s="19" t="s">
        <v>3507</v>
      </c>
      <c r="P157" s="19" t="s">
        <v>3508</v>
      </c>
      <c r="Q157" s="21"/>
      <c r="R157" s="19" t="s">
        <v>3509</v>
      </c>
      <c r="S157" s="19" t="s">
        <v>3510</v>
      </c>
      <c r="T157" s="19" t="s">
        <v>3511</v>
      </c>
      <c r="U157" s="19" t="s">
        <v>3512</v>
      </c>
      <c r="V157" s="19" t="s">
        <v>3513</v>
      </c>
      <c r="W157" s="19" t="s">
        <v>3514</v>
      </c>
      <c r="X157" s="19" t="s">
        <v>3515</v>
      </c>
      <c r="Y157" s="19" t="s">
        <v>3516</v>
      </c>
      <c r="Z157" s="19" t="s">
        <v>3517</v>
      </c>
      <c r="AA157" s="19" t="s">
        <v>3518</v>
      </c>
      <c r="AB157" s="19" t="s">
        <v>3519</v>
      </c>
      <c r="AC157" s="19" t="s">
        <v>3520</v>
      </c>
      <c r="AD157" s="19" t="s">
        <v>3521</v>
      </c>
      <c r="AE157" s="19" t="s">
        <v>3522</v>
      </c>
      <c r="AF157" s="19" t="s">
        <v>3523</v>
      </c>
      <c r="AG157" s="19" t="s">
        <v>3524</v>
      </c>
      <c r="AH157" s="19" t="s">
        <v>3525</v>
      </c>
      <c r="AI157" s="19" t="s">
        <v>3526</v>
      </c>
      <c r="AJ157" s="19" t="s">
        <v>3527</v>
      </c>
      <c r="AK157" s="21"/>
      <c r="AL157" s="21"/>
      <c r="AM157" s="21"/>
      <c r="AN157" s="21"/>
      <c r="AO157" s="21"/>
      <c r="AP157" s="21"/>
      <c r="AQ157" s="21"/>
      <c r="AR157" s="19" t="s">
        <v>3535</v>
      </c>
      <c r="AS157" s="19" t="s">
        <v>3536</v>
      </c>
      <c r="AT157" s="19" t="s">
        <v>3537</v>
      </c>
      <c r="AU157" s="19" t="s">
        <v>6</v>
      </c>
      <c r="AV157" s="19" t="s">
        <v>3538</v>
      </c>
      <c r="AW157" s="21"/>
      <c r="AX157" s="21"/>
      <c r="AY157" s="21"/>
      <c r="AZ157" s="21"/>
      <c r="BA157" s="21"/>
      <c r="BB157" s="21"/>
      <c r="BC157" s="23"/>
    </row>
    <row r="158" ht="22.5" customHeight="1">
      <c r="A158" s="11">
        <v>46182.66840231481</v>
      </c>
      <c r="B158" s="12" t="s">
        <v>2397</v>
      </c>
      <c r="C158" s="13">
        <v>32.0</v>
      </c>
      <c r="D158" s="14" t="s">
        <v>4009</v>
      </c>
      <c r="E158" s="15">
        <f t="shared" si="1"/>
        <v>37</v>
      </c>
      <c r="F158" s="12" t="s">
        <v>4010</v>
      </c>
      <c r="G158" s="12" t="s">
        <v>4011</v>
      </c>
      <c r="H158" s="12" t="s">
        <v>2397</v>
      </c>
      <c r="I158" s="15">
        <v>7.497897874E9</v>
      </c>
      <c r="J158" s="12" t="s">
        <v>3503</v>
      </c>
      <c r="K158" s="12" t="s">
        <v>3504</v>
      </c>
      <c r="L158" s="12" t="s">
        <v>3505</v>
      </c>
      <c r="M158" s="16"/>
      <c r="N158" s="12" t="s">
        <v>3506</v>
      </c>
      <c r="O158" s="12" t="s">
        <v>3507</v>
      </c>
      <c r="P158" s="12" t="s">
        <v>3508</v>
      </c>
      <c r="Q158" s="16"/>
      <c r="R158" s="12" t="s">
        <v>3509</v>
      </c>
      <c r="S158" s="12" t="s">
        <v>3510</v>
      </c>
      <c r="T158" s="12" t="s">
        <v>3549</v>
      </c>
      <c r="U158" s="12" t="s">
        <v>3550</v>
      </c>
      <c r="V158" s="12" t="s">
        <v>3513</v>
      </c>
      <c r="W158" s="12" t="s">
        <v>3514</v>
      </c>
      <c r="X158" s="12" t="s">
        <v>3515</v>
      </c>
      <c r="Y158" s="12" t="s">
        <v>3576</v>
      </c>
      <c r="Z158" s="12" t="s">
        <v>3517</v>
      </c>
      <c r="AA158" s="12" t="s">
        <v>3518</v>
      </c>
      <c r="AB158" s="12" t="s">
        <v>3519</v>
      </c>
      <c r="AC158" s="12" t="s">
        <v>3638</v>
      </c>
      <c r="AD158" s="12" t="s">
        <v>3521</v>
      </c>
      <c r="AE158" s="12" t="s">
        <v>3522</v>
      </c>
      <c r="AF158" s="12" t="s">
        <v>3639</v>
      </c>
      <c r="AG158" s="12" t="s">
        <v>3524</v>
      </c>
      <c r="AH158" s="12" t="s">
        <v>3525</v>
      </c>
      <c r="AI158" s="12" t="s">
        <v>3526</v>
      </c>
      <c r="AJ158" s="12" t="s">
        <v>3527</v>
      </c>
      <c r="AK158" s="12" t="s">
        <v>3528</v>
      </c>
      <c r="AL158" s="12" t="s">
        <v>3529</v>
      </c>
      <c r="AM158" s="12" t="s">
        <v>3530</v>
      </c>
      <c r="AN158" s="12" t="s">
        <v>3531</v>
      </c>
      <c r="AO158" s="12" t="s">
        <v>3551</v>
      </c>
      <c r="AP158" s="12" t="s">
        <v>3533</v>
      </c>
      <c r="AQ158" s="12" t="s">
        <v>3534</v>
      </c>
      <c r="AR158" s="12" t="s">
        <v>3753</v>
      </c>
      <c r="AS158" s="12" t="s">
        <v>6</v>
      </c>
      <c r="AT158" s="12" t="s">
        <v>3537</v>
      </c>
      <c r="AU158" s="12" t="s">
        <v>6</v>
      </c>
      <c r="AV158" s="12" t="s">
        <v>3536</v>
      </c>
      <c r="AW158" s="12" t="s">
        <v>3558</v>
      </c>
      <c r="AX158" s="12" t="s">
        <v>3540</v>
      </c>
      <c r="AY158" s="16"/>
      <c r="AZ158" s="12" t="s">
        <v>3542</v>
      </c>
      <c r="BA158" s="12" t="s">
        <v>3543</v>
      </c>
      <c r="BB158" s="12" t="s">
        <v>3544</v>
      </c>
      <c r="BC158" s="17"/>
    </row>
    <row r="159" ht="22.5" customHeight="1">
      <c r="A159" s="18">
        <v>46182.67480637731</v>
      </c>
      <c r="B159" s="19" t="s">
        <v>4012</v>
      </c>
      <c r="C159" s="20">
        <v>36.0</v>
      </c>
      <c r="D159" s="24" t="s">
        <v>4013</v>
      </c>
      <c r="E159" s="22">
        <f t="shared" si="1"/>
        <v>41</v>
      </c>
      <c r="F159" s="19" t="s">
        <v>4014</v>
      </c>
      <c r="G159" s="19" t="s">
        <v>1115</v>
      </c>
      <c r="H159" s="19" t="s">
        <v>1114</v>
      </c>
      <c r="I159" s="22">
        <v>9.326761061E9</v>
      </c>
      <c r="J159" s="19" t="s">
        <v>3547</v>
      </c>
      <c r="K159" s="19" t="s">
        <v>3504</v>
      </c>
      <c r="L159" s="19" t="s">
        <v>3556</v>
      </c>
      <c r="M159" s="21"/>
      <c r="N159" s="19" t="s">
        <v>3569</v>
      </c>
      <c r="O159" s="19" t="s">
        <v>3507</v>
      </c>
      <c r="P159" s="19" t="s">
        <v>3508</v>
      </c>
      <c r="Q159" s="21"/>
      <c r="R159" s="19" t="s">
        <v>3509</v>
      </c>
      <c r="S159" s="19" t="s">
        <v>3510</v>
      </c>
      <c r="T159" s="19" t="s">
        <v>3549</v>
      </c>
      <c r="U159" s="19" t="s">
        <v>3512</v>
      </c>
      <c r="V159" s="19" t="s">
        <v>3513</v>
      </c>
      <c r="W159" s="19" t="s">
        <v>3587</v>
      </c>
      <c r="X159" s="19" t="s">
        <v>3515</v>
      </c>
      <c r="Y159" s="19" t="s">
        <v>3516</v>
      </c>
      <c r="Z159" s="19" t="s">
        <v>3517</v>
      </c>
      <c r="AA159" s="19" t="s">
        <v>3518</v>
      </c>
      <c r="AB159" s="19" t="s">
        <v>3519</v>
      </c>
      <c r="AC159" s="19" t="s">
        <v>3520</v>
      </c>
      <c r="AD159" s="19" t="s">
        <v>3521</v>
      </c>
      <c r="AE159" s="19" t="s">
        <v>3522</v>
      </c>
      <c r="AF159" s="19" t="s">
        <v>3523</v>
      </c>
      <c r="AG159" s="19" t="s">
        <v>3524</v>
      </c>
      <c r="AH159" s="19" t="s">
        <v>3525</v>
      </c>
      <c r="AI159" s="19" t="s">
        <v>3526</v>
      </c>
      <c r="AJ159" s="19" t="s">
        <v>3773</v>
      </c>
      <c r="AK159" s="19" t="s">
        <v>3528</v>
      </c>
      <c r="AL159" s="19" t="s">
        <v>3529</v>
      </c>
      <c r="AM159" s="19" t="s">
        <v>3530</v>
      </c>
      <c r="AN159" s="19" t="s">
        <v>3531</v>
      </c>
      <c r="AO159" s="19" t="s">
        <v>3557</v>
      </c>
      <c r="AP159" s="19" t="s">
        <v>3533</v>
      </c>
      <c r="AQ159" s="19" t="s">
        <v>3534</v>
      </c>
      <c r="AR159" s="19" t="s">
        <v>3753</v>
      </c>
      <c r="AS159" s="19" t="s">
        <v>3536</v>
      </c>
      <c r="AT159" s="19" t="s">
        <v>3537</v>
      </c>
      <c r="AU159" s="19" t="s">
        <v>6</v>
      </c>
      <c r="AV159" s="19" t="s">
        <v>3538</v>
      </c>
      <c r="AW159" s="19" t="s">
        <v>3558</v>
      </c>
      <c r="AX159" s="19" t="s">
        <v>3540</v>
      </c>
      <c r="AY159" s="19" t="s">
        <v>3541</v>
      </c>
      <c r="AZ159" s="19" t="s">
        <v>3542</v>
      </c>
      <c r="BA159" s="19" t="s">
        <v>3543</v>
      </c>
      <c r="BB159" s="19" t="s">
        <v>3544</v>
      </c>
      <c r="BC159" s="23"/>
    </row>
    <row r="160" ht="22.5" customHeight="1">
      <c r="A160" s="11">
        <v>46182.67733853009</v>
      </c>
      <c r="B160" s="12" t="s">
        <v>1351</v>
      </c>
      <c r="C160" s="13">
        <v>4.0</v>
      </c>
      <c r="D160" s="14" t="s">
        <v>4015</v>
      </c>
      <c r="E160" s="15">
        <f t="shared" si="1"/>
        <v>9</v>
      </c>
      <c r="F160" s="12" t="s">
        <v>4016</v>
      </c>
      <c r="G160" s="12" t="s">
        <v>4017</v>
      </c>
      <c r="H160" s="12" t="s">
        <v>1351</v>
      </c>
      <c r="I160" s="15">
        <v>9.540003673E9</v>
      </c>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2" t="s">
        <v>3535</v>
      </c>
      <c r="AS160" s="12" t="s">
        <v>3536</v>
      </c>
      <c r="AT160" s="12" t="s">
        <v>3562</v>
      </c>
      <c r="AU160" s="12" t="s">
        <v>6</v>
      </c>
      <c r="AV160" s="12" t="s">
        <v>3538</v>
      </c>
      <c r="AW160" s="16"/>
      <c r="AX160" s="16"/>
      <c r="AY160" s="16"/>
      <c r="AZ160" s="16"/>
      <c r="BA160" s="16"/>
      <c r="BB160" s="16"/>
      <c r="BC160" s="17"/>
    </row>
    <row r="161" ht="22.5" customHeight="1">
      <c r="A161" s="18">
        <v>46182.68558193287</v>
      </c>
      <c r="B161" s="19" t="s">
        <v>2005</v>
      </c>
      <c r="C161" s="20">
        <v>38.0</v>
      </c>
      <c r="D161" s="24" t="s">
        <v>4018</v>
      </c>
      <c r="E161" s="22">
        <f t="shared" si="1"/>
        <v>43</v>
      </c>
      <c r="F161" s="19" t="s">
        <v>4019</v>
      </c>
      <c r="G161" s="19" t="s">
        <v>4020</v>
      </c>
      <c r="H161" s="19" t="s">
        <v>4021</v>
      </c>
      <c r="I161" s="22">
        <v>6.363059107E9</v>
      </c>
      <c r="J161" s="19" t="s">
        <v>3547</v>
      </c>
      <c r="K161" s="19" t="s">
        <v>3504</v>
      </c>
      <c r="L161" s="19" t="s">
        <v>3556</v>
      </c>
      <c r="M161" s="21"/>
      <c r="N161" s="19" t="s">
        <v>3548</v>
      </c>
      <c r="O161" s="19" t="s">
        <v>3507</v>
      </c>
      <c r="P161" s="19" t="s">
        <v>3508</v>
      </c>
      <c r="Q161" s="21"/>
      <c r="R161" s="19" t="s">
        <v>3509</v>
      </c>
      <c r="S161" s="19" t="s">
        <v>3510</v>
      </c>
      <c r="T161" s="19" t="s">
        <v>3549</v>
      </c>
      <c r="U161" s="19" t="s">
        <v>3512</v>
      </c>
      <c r="V161" s="19" t="s">
        <v>3513</v>
      </c>
      <c r="W161" s="19" t="s">
        <v>3514</v>
      </c>
      <c r="X161" s="19" t="s">
        <v>3515</v>
      </c>
      <c r="Y161" s="19" t="s">
        <v>3516</v>
      </c>
      <c r="Z161" s="19" t="s">
        <v>3517</v>
      </c>
      <c r="AA161" s="19" t="s">
        <v>3518</v>
      </c>
      <c r="AB161" s="19" t="s">
        <v>3519</v>
      </c>
      <c r="AC161" s="19" t="s">
        <v>3520</v>
      </c>
      <c r="AD161" s="19" t="s">
        <v>3521</v>
      </c>
      <c r="AE161" s="19" t="s">
        <v>3522</v>
      </c>
      <c r="AF161" s="19" t="s">
        <v>3523</v>
      </c>
      <c r="AG161" s="19" t="s">
        <v>3524</v>
      </c>
      <c r="AH161" s="19" t="s">
        <v>3525</v>
      </c>
      <c r="AI161" s="19" t="s">
        <v>3526</v>
      </c>
      <c r="AJ161" s="19" t="s">
        <v>3527</v>
      </c>
      <c r="AK161" s="19" t="s">
        <v>3528</v>
      </c>
      <c r="AL161" s="19" t="s">
        <v>3529</v>
      </c>
      <c r="AM161" s="19" t="s">
        <v>3530</v>
      </c>
      <c r="AN161" s="19" t="s">
        <v>3531</v>
      </c>
      <c r="AO161" s="19" t="s">
        <v>3551</v>
      </c>
      <c r="AP161" s="19" t="s">
        <v>3533</v>
      </c>
      <c r="AQ161" s="19" t="s">
        <v>3534</v>
      </c>
      <c r="AR161" s="19" t="s">
        <v>3535</v>
      </c>
      <c r="AS161" s="19" t="s">
        <v>3536</v>
      </c>
      <c r="AT161" s="19" t="s">
        <v>3537</v>
      </c>
      <c r="AU161" s="19" t="s">
        <v>6</v>
      </c>
      <c r="AV161" s="19" t="s">
        <v>3538</v>
      </c>
      <c r="AW161" s="19" t="s">
        <v>3539</v>
      </c>
      <c r="AX161" s="19" t="s">
        <v>3540</v>
      </c>
      <c r="AY161" s="19" t="s">
        <v>3541</v>
      </c>
      <c r="AZ161" s="19" t="s">
        <v>3542</v>
      </c>
      <c r="BA161" s="19" t="s">
        <v>3631</v>
      </c>
      <c r="BB161" s="19" t="s">
        <v>3544</v>
      </c>
      <c r="BC161" s="23"/>
    </row>
    <row r="162" ht="22.5" customHeight="1">
      <c r="A162" s="11">
        <v>46182.692008530095</v>
      </c>
      <c r="B162" s="12" t="s">
        <v>297</v>
      </c>
      <c r="C162" s="13">
        <v>36.0</v>
      </c>
      <c r="D162" s="16"/>
      <c r="E162" s="15">
        <f t="shared" si="1"/>
        <v>36</v>
      </c>
      <c r="F162" s="12" t="s">
        <v>4022</v>
      </c>
      <c r="G162" s="12" t="s">
        <v>298</v>
      </c>
      <c r="H162" s="12" t="s">
        <v>297</v>
      </c>
      <c r="I162" s="15">
        <v>7.085980742E9</v>
      </c>
      <c r="J162" s="12" t="s">
        <v>3547</v>
      </c>
      <c r="K162" s="12" t="s">
        <v>3504</v>
      </c>
      <c r="L162" s="12" t="s">
        <v>3556</v>
      </c>
      <c r="M162" s="16"/>
      <c r="N162" s="12" t="s">
        <v>3548</v>
      </c>
      <c r="O162" s="12" t="s">
        <v>3507</v>
      </c>
      <c r="P162" s="12" t="s">
        <v>3508</v>
      </c>
      <c r="Q162" s="16"/>
      <c r="R162" s="12" t="s">
        <v>3509</v>
      </c>
      <c r="S162" s="12" t="s">
        <v>3510</v>
      </c>
      <c r="T162" s="12" t="s">
        <v>3549</v>
      </c>
      <c r="U162" s="12" t="s">
        <v>3512</v>
      </c>
      <c r="V162" s="12" t="s">
        <v>3513</v>
      </c>
      <c r="W162" s="12" t="s">
        <v>3514</v>
      </c>
      <c r="X162" s="12" t="s">
        <v>3515</v>
      </c>
      <c r="Y162" s="12" t="s">
        <v>3516</v>
      </c>
      <c r="Z162" s="12" t="s">
        <v>3517</v>
      </c>
      <c r="AA162" s="12" t="s">
        <v>3518</v>
      </c>
      <c r="AB162" s="12" t="s">
        <v>3519</v>
      </c>
      <c r="AC162" s="12" t="s">
        <v>3520</v>
      </c>
      <c r="AD162" s="12" t="s">
        <v>3521</v>
      </c>
      <c r="AE162" s="12" t="s">
        <v>3522</v>
      </c>
      <c r="AF162" s="12" t="s">
        <v>3523</v>
      </c>
      <c r="AG162" s="12" t="s">
        <v>3524</v>
      </c>
      <c r="AH162" s="12" t="s">
        <v>3525</v>
      </c>
      <c r="AI162" s="12" t="s">
        <v>3526</v>
      </c>
      <c r="AJ162" s="12" t="s">
        <v>3527</v>
      </c>
      <c r="AK162" s="12" t="s">
        <v>3528</v>
      </c>
      <c r="AL162" s="12" t="s">
        <v>3529</v>
      </c>
      <c r="AM162" s="12" t="s">
        <v>3530</v>
      </c>
      <c r="AN162" s="12" t="s">
        <v>3531</v>
      </c>
      <c r="AO162" s="12" t="s">
        <v>3557</v>
      </c>
      <c r="AP162" s="12" t="s">
        <v>3533</v>
      </c>
      <c r="AQ162" s="12" t="s">
        <v>3534</v>
      </c>
      <c r="AR162" s="12" t="s">
        <v>3535</v>
      </c>
      <c r="AS162" s="12" t="s">
        <v>3538</v>
      </c>
      <c r="AT162" s="12" t="s">
        <v>3578</v>
      </c>
      <c r="AU162" s="12" t="s">
        <v>6</v>
      </c>
      <c r="AV162" s="12" t="s">
        <v>3536</v>
      </c>
      <c r="AW162" s="12" t="s">
        <v>3558</v>
      </c>
      <c r="AX162" s="12" t="s">
        <v>3540</v>
      </c>
      <c r="AY162" s="12" t="s">
        <v>3541</v>
      </c>
      <c r="AZ162" s="12" t="s">
        <v>3542</v>
      </c>
      <c r="BA162" s="12" t="s">
        <v>3543</v>
      </c>
      <c r="BB162" s="12" t="s">
        <v>3544</v>
      </c>
      <c r="BC162" s="17"/>
    </row>
    <row r="163" ht="22.5" customHeight="1">
      <c r="A163" s="18">
        <v>46182.69551457176</v>
      </c>
      <c r="B163" s="19" t="s">
        <v>3368</v>
      </c>
      <c r="C163" s="20">
        <v>35.0</v>
      </c>
      <c r="D163" s="24" t="s">
        <v>4023</v>
      </c>
      <c r="E163" s="22">
        <f t="shared" si="1"/>
        <v>40</v>
      </c>
      <c r="F163" s="19" t="s">
        <v>4024</v>
      </c>
      <c r="G163" s="19" t="s">
        <v>4025</v>
      </c>
      <c r="H163" s="19" t="s">
        <v>2908</v>
      </c>
      <c r="I163" s="22">
        <v>9.398673873E9</v>
      </c>
      <c r="J163" s="19" t="s">
        <v>3547</v>
      </c>
      <c r="K163" s="19" t="s">
        <v>3504</v>
      </c>
      <c r="L163" s="19" t="s">
        <v>3556</v>
      </c>
      <c r="M163" s="21"/>
      <c r="N163" s="19" t="s">
        <v>3506</v>
      </c>
      <c r="O163" s="19" t="s">
        <v>3507</v>
      </c>
      <c r="P163" s="19" t="s">
        <v>3508</v>
      </c>
      <c r="Q163" s="21"/>
      <c r="R163" s="19" t="s">
        <v>3509</v>
      </c>
      <c r="S163" s="19" t="s">
        <v>3674</v>
      </c>
      <c r="T163" s="19" t="s">
        <v>3549</v>
      </c>
      <c r="U163" s="19" t="s">
        <v>3550</v>
      </c>
      <c r="V163" s="19" t="s">
        <v>3513</v>
      </c>
      <c r="W163" s="19" t="s">
        <v>3514</v>
      </c>
      <c r="X163" s="19" t="s">
        <v>3515</v>
      </c>
      <c r="Y163" s="19" t="s">
        <v>3516</v>
      </c>
      <c r="Z163" s="19" t="s">
        <v>3608</v>
      </c>
      <c r="AA163" s="19" t="s">
        <v>3518</v>
      </c>
      <c r="AB163" s="19" t="s">
        <v>3519</v>
      </c>
      <c r="AC163" s="19" t="s">
        <v>3638</v>
      </c>
      <c r="AD163" s="19" t="s">
        <v>3521</v>
      </c>
      <c r="AE163" s="19" t="s">
        <v>3522</v>
      </c>
      <c r="AF163" s="19" t="s">
        <v>3639</v>
      </c>
      <c r="AG163" s="19" t="s">
        <v>3589</v>
      </c>
      <c r="AH163" s="19" t="s">
        <v>3525</v>
      </c>
      <c r="AI163" s="19" t="s">
        <v>3526</v>
      </c>
      <c r="AJ163" s="19" t="s">
        <v>3527</v>
      </c>
      <c r="AK163" s="19" t="s">
        <v>3528</v>
      </c>
      <c r="AL163" s="19" t="s">
        <v>3590</v>
      </c>
      <c r="AM163" s="19" t="s">
        <v>3530</v>
      </c>
      <c r="AN163" s="19" t="s">
        <v>3531</v>
      </c>
      <c r="AO163" s="19" t="s">
        <v>3557</v>
      </c>
      <c r="AP163" s="19" t="s">
        <v>3533</v>
      </c>
      <c r="AQ163" s="19" t="s">
        <v>3534</v>
      </c>
      <c r="AR163" s="19" t="s">
        <v>3535</v>
      </c>
      <c r="AS163" s="19" t="s">
        <v>3536</v>
      </c>
      <c r="AT163" s="19" t="s">
        <v>3537</v>
      </c>
      <c r="AU163" s="19" t="s">
        <v>6</v>
      </c>
      <c r="AV163" s="19" t="s">
        <v>3536</v>
      </c>
      <c r="AW163" s="19" t="s">
        <v>3539</v>
      </c>
      <c r="AX163" s="19" t="s">
        <v>3540</v>
      </c>
      <c r="AY163" s="19" t="s">
        <v>3541</v>
      </c>
      <c r="AZ163" s="19" t="s">
        <v>3542</v>
      </c>
      <c r="BA163" s="19" t="s">
        <v>3543</v>
      </c>
      <c r="BB163" s="19" t="s">
        <v>3544</v>
      </c>
      <c r="BC163" s="23"/>
    </row>
    <row r="164" ht="22.5" customHeight="1">
      <c r="A164" s="11">
        <v>46182.70529271991</v>
      </c>
      <c r="B164" s="12" t="s">
        <v>279</v>
      </c>
      <c r="C164" s="13">
        <v>39.0</v>
      </c>
      <c r="D164" s="14" t="s">
        <v>4026</v>
      </c>
      <c r="E164" s="15">
        <f t="shared" si="1"/>
        <v>44</v>
      </c>
      <c r="F164" s="12" t="s">
        <v>4027</v>
      </c>
      <c r="G164" s="12" t="s">
        <v>4028</v>
      </c>
      <c r="H164" s="12" t="s">
        <v>279</v>
      </c>
      <c r="I164" s="15">
        <v>8.999457297E9</v>
      </c>
      <c r="J164" s="12" t="s">
        <v>3547</v>
      </c>
      <c r="K164" s="12" t="s">
        <v>3504</v>
      </c>
      <c r="L164" s="12" t="s">
        <v>3556</v>
      </c>
      <c r="M164" s="16"/>
      <c r="N164" s="12" t="s">
        <v>3548</v>
      </c>
      <c r="O164" s="12" t="s">
        <v>3507</v>
      </c>
      <c r="P164" s="12" t="s">
        <v>3508</v>
      </c>
      <c r="Q164" s="16"/>
      <c r="R164" s="12" t="s">
        <v>3509</v>
      </c>
      <c r="S164" s="12" t="s">
        <v>3510</v>
      </c>
      <c r="T164" s="12" t="s">
        <v>3511</v>
      </c>
      <c r="U164" s="12" t="s">
        <v>3512</v>
      </c>
      <c r="V164" s="12" t="s">
        <v>3513</v>
      </c>
      <c r="W164" s="12" t="s">
        <v>3514</v>
      </c>
      <c r="X164" s="12" t="s">
        <v>3515</v>
      </c>
      <c r="Y164" s="12" t="s">
        <v>3516</v>
      </c>
      <c r="Z164" s="12" t="s">
        <v>3517</v>
      </c>
      <c r="AA164" s="12" t="s">
        <v>3518</v>
      </c>
      <c r="AB164" s="12" t="s">
        <v>3519</v>
      </c>
      <c r="AC164" s="12" t="s">
        <v>3520</v>
      </c>
      <c r="AD164" s="12" t="s">
        <v>3521</v>
      </c>
      <c r="AE164" s="12" t="s">
        <v>3522</v>
      </c>
      <c r="AF164" s="12" t="s">
        <v>3523</v>
      </c>
      <c r="AG164" s="12" t="s">
        <v>3524</v>
      </c>
      <c r="AH164" s="12" t="s">
        <v>3525</v>
      </c>
      <c r="AI164" s="12" t="s">
        <v>3526</v>
      </c>
      <c r="AJ164" s="12" t="s">
        <v>3527</v>
      </c>
      <c r="AK164" s="12" t="s">
        <v>3528</v>
      </c>
      <c r="AL164" s="12" t="s">
        <v>3529</v>
      </c>
      <c r="AM164" s="12" t="s">
        <v>3530</v>
      </c>
      <c r="AN164" s="12" t="s">
        <v>3531</v>
      </c>
      <c r="AO164" s="12" t="s">
        <v>3557</v>
      </c>
      <c r="AP164" s="12" t="s">
        <v>3533</v>
      </c>
      <c r="AQ164" s="12" t="s">
        <v>3534</v>
      </c>
      <c r="AR164" s="12" t="s">
        <v>3535</v>
      </c>
      <c r="AS164" s="12" t="s">
        <v>3536</v>
      </c>
      <c r="AT164" s="12" t="s">
        <v>3537</v>
      </c>
      <c r="AU164" s="12" t="s">
        <v>6</v>
      </c>
      <c r="AV164" s="12" t="s">
        <v>3538</v>
      </c>
      <c r="AW164" s="12" t="s">
        <v>3539</v>
      </c>
      <c r="AX164" s="12" t="s">
        <v>3540</v>
      </c>
      <c r="AY164" s="12" t="s">
        <v>3541</v>
      </c>
      <c r="AZ164" s="12" t="s">
        <v>3542</v>
      </c>
      <c r="BA164" s="12" t="s">
        <v>3543</v>
      </c>
      <c r="BB164" s="12" t="s">
        <v>3544</v>
      </c>
      <c r="BC164" s="17"/>
    </row>
    <row r="165" ht="22.5" customHeight="1">
      <c r="A165" s="18">
        <v>46182.72373009259</v>
      </c>
      <c r="B165" s="19" t="s">
        <v>4029</v>
      </c>
      <c r="C165" s="20">
        <v>36.0</v>
      </c>
      <c r="D165" s="24" t="s">
        <v>4030</v>
      </c>
      <c r="E165" s="22">
        <f t="shared" si="1"/>
        <v>41</v>
      </c>
      <c r="F165" s="19" t="s">
        <v>4031</v>
      </c>
      <c r="G165" s="19" t="s">
        <v>4032</v>
      </c>
      <c r="H165" s="19" t="s">
        <v>120</v>
      </c>
      <c r="I165" s="22">
        <v>9.426656212E9</v>
      </c>
      <c r="J165" s="19" t="s">
        <v>3547</v>
      </c>
      <c r="K165" s="19" t="s">
        <v>3504</v>
      </c>
      <c r="L165" s="19" t="s">
        <v>3556</v>
      </c>
      <c r="M165" s="21"/>
      <c r="N165" s="19" t="s">
        <v>3506</v>
      </c>
      <c r="O165" s="21"/>
      <c r="P165" s="19" t="s">
        <v>3508</v>
      </c>
      <c r="Q165" s="21"/>
      <c r="R165" s="19" t="s">
        <v>3574</v>
      </c>
      <c r="S165" s="19" t="s">
        <v>3781</v>
      </c>
      <c r="T165" s="19" t="s">
        <v>3549</v>
      </c>
      <c r="U165" s="19" t="s">
        <v>3550</v>
      </c>
      <c r="V165" s="19" t="s">
        <v>3513</v>
      </c>
      <c r="W165" s="19" t="s">
        <v>3514</v>
      </c>
      <c r="X165" s="19" t="s">
        <v>3515</v>
      </c>
      <c r="Y165" s="19" t="s">
        <v>3516</v>
      </c>
      <c r="Z165" s="19" t="s">
        <v>3517</v>
      </c>
      <c r="AA165" s="19" t="s">
        <v>3518</v>
      </c>
      <c r="AB165" s="19" t="s">
        <v>3519</v>
      </c>
      <c r="AC165" s="19" t="s">
        <v>3638</v>
      </c>
      <c r="AD165" s="19" t="s">
        <v>3521</v>
      </c>
      <c r="AE165" s="19" t="s">
        <v>3522</v>
      </c>
      <c r="AF165" s="21"/>
      <c r="AG165" s="19" t="s">
        <v>3524</v>
      </c>
      <c r="AH165" s="19" t="s">
        <v>3525</v>
      </c>
      <c r="AI165" s="19" t="s">
        <v>3526</v>
      </c>
      <c r="AJ165" s="19" t="s">
        <v>3527</v>
      </c>
      <c r="AK165" s="19" t="s">
        <v>3528</v>
      </c>
      <c r="AL165" s="19" t="s">
        <v>3529</v>
      </c>
      <c r="AM165" s="19" t="s">
        <v>3530</v>
      </c>
      <c r="AN165" s="19" t="s">
        <v>3531</v>
      </c>
      <c r="AO165" s="19" t="s">
        <v>3557</v>
      </c>
      <c r="AP165" s="19" t="s">
        <v>3533</v>
      </c>
      <c r="AQ165" s="19" t="s">
        <v>3534</v>
      </c>
      <c r="AR165" s="19" t="s">
        <v>3535</v>
      </c>
      <c r="AS165" s="19" t="s">
        <v>3536</v>
      </c>
      <c r="AT165" s="19" t="s">
        <v>3537</v>
      </c>
      <c r="AU165" s="19" t="s">
        <v>6</v>
      </c>
      <c r="AV165" s="19" t="s">
        <v>3538</v>
      </c>
      <c r="AW165" s="19" t="s">
        <v>3539</v>
      </c>
      <c r="AX165" s="19" t="s">
        <v>3540</v>
      </c>
      <c r="AY165" s="19" t="s">
        <v>3541</v>
      </c>
      <c r="AZ165" s="19" t="s">
        <v>3542</v>
      </c>
      <c r="BA165" s="19" t="s">
        <v>3579</v>
      </c>
      <c r="BB165" s="19" t="s">
        <v>3544</v>
      </c>
      <c r="BC165" s="23"/>
    </row>
    <row r="166" ht="22.5" customHeight="1">
      <c r="A166" s="11">
        <v>46182.727136863425</v>
      </c>
      <c r="B166" s="12" t="s">
        <v>732</v>
      </c>
      <c r="C166" s="13">
        <v>37.0</v>
      </c>
      <c r="D166" s="14" t="s">
        <v>4033</v>
      </c>
      <c r="E166" s="15">
        <f t="shared" si="1"/>
        <v>42</v>
      </c>
      <c r="F166" s="12" t="s">
        <v>4034</v>
      </c>
      <c r="G166" s="12" t="s">
        <v>4035</v>
      </c>
      <c r="H166" s="12" t="s">
        <v>732</v>
      </c>
      <c r="I166" s="15">
        <v>8.281007127E9</v>
      </c>
      <c r="J166" s="12" t="s">
        <v>3547</v>
      </c>
      <c r="K166" s="12" t="s">
        <v>3504</v>
      </c>
      <c r="L166" s="12" t="s">
        <v>3505</v>
      </c>
      <c r="M166" s="16"/>
      <c r="N166" s="12" t="s">
        <v>3548</v>
      </c>
      <c r="O166" s="12" t="s">
        <v>3507</v>
      </c>
      <c r="P166" s="12" t="s">
        <v>3508</v>
      </c>
      <c r="Q166" s="16"/>
      <c r="R166" s="12" t="s">
        <v>3574</v>
      </c>
      <c r="S166" s="12" t="s">
        <v>3510</v>
      </c>
      <c r="T166" s="12" t="s">
        <v>3549</v>
      </c>
      <c r="U166" s="12" t="s">
        <v>3550</v>
      </c>
      <c r="V166" s="12" t="s">
        <v>3513</v>
      </c>
      <c r="W166" s="12" t="s">
        <v>3514</v>
      </c>
      <c r="X166" s="12" t="s">
        <v>3515</v>
      </c>
      <c r="Y166" s="12" t="s">
        <v>3680</v>
      </c>
      <c r="Z166" s="12" t="s">
        <v>3517</v>
      </c>
      <c r="AA166" s="12" t="s">
        <v>3518</v>
      </c>
      <c r="AB166" s="12" t="s">
        <v>3519</v>
      </c>
      <c r="AC166" s="12" t="s">
        <v>3638</v>
      </c>
      <c r="AD166" s="12" t="s">
        <v>3521</v>
      </c>
      <c r="AE166" s="12" t="s">
        <v>3522</v>
      </c>
      <c r="AF166" s="12" t="s">
        <v>3523</v>
      </c>
      <c r="AG166" s="12" t="s">
        <v>3524</v>
      </c>
      <c r="AH166" s="12" t="s">
        <v>3525</v>
      </c>
      <c r="AI166" s="12" t="s">
        <v>3526</v>
      </c>
      <c r="AJ166" s="12" t="s">
        <v>3527</v>
      </c>
      <c r="AK166" s="12" t="s">
        <v>3528</v>
      </c>
      <c r="AL166" s="12" t="s">
        <v>3529</v>
      </c>
      <c r="AM166" s="12" t="s">
        <v>3530</v>
      </c>
      <c r="AN166" s="12" t="s">
        <v>3531</v>
      </c>
      <c r="AO166" s="12" t="s">
        <v>3557</v>
      </c>
      <c r="AP166" s="12" t="s">
        <v>3533</v>
      </c>
      <c r="AQ166" s="12" t="s">
        <v>3534</v>
      </c>
      <c r="AR166" s="12" t="s">
        <v>3535</v>
      </c>
      <c r="AS166" s="12" t="s">
        <v>3536</v>
      </c>
      <c r="AT166" s="12" t="s">
        <v>3562</v>
      </c>
      <c r="AU166" s="12" t="s">
        <v>6</v>
      </c>
      <c r="AV166" s="12" t="s">
        <v>3538</v>
      </c>
      <c r="AW166" s="12" t="s">
        <v>3539</v>
      </c>
      <c r="AX166" s="12" t="s">
        <v>3540</v>
      </c>
      <c r="AY166" s="12" t="s">
        <v>3541</v>
      </c>
      <c r="AZ166" s="12" t="s">
        <v>4036</v>
      </c>
      <c r="BA166" s="12" t="s">
        <v>3543</v>
      </c>
      <c r="BB166" s="12" t="s">
        <v>3544</v>
      </c>
      <c r="BC166" s="17"/>
    </row>
    <row r="167" ht="22.5" customHeight="1">
      <c r="A167" s="18">
        <v>46182.72987597222</v>
      </c>
      <c r="B167" s="19" t="s">
        <v>1238</v>
      </c>
      <c r="C167" s="20">
        <v>30.0</v>
      </c>
      <c r="D167" s="21"/>
      <c r="E167" s="22">
        <f t="shared" si="1"/>
        <v>30</v>
      </c>
      <c r="F167" s="19" t="s">
        <v>4037</v>
      </c>
      <c r="G167" s="19" t="s">
        <v>4038</v>
      </c>
      <c r="H167" s="19" t="s">
        <v>1238</v>
      </c>
      <c r="I167" s="22">
        <v>7.709150914E9</v>
      </c>
      <c r="J167" s="19" t="s">
        <v>3503</v>
      </c>
      <c r="K167" s="19" t="s">
        <v>3504</v>
      </c>
      <c r="L167" s="19" t="s">
        <v>3556</v>
      </c>
      <c r="M167" s="21"/>
      <c r="N167" s="19" t="s">
        <v>3569</v>
      </c>
      <c r="O167" s="19" t="s">
        <v>3507</v>
      </c>
      <c r="P167" s="19" t="s">
        <v>3508</v>
      </c>
      <c r="Q167" s="21"/>
      <c r="R167" s="19" t="s">
        <v>3509</v>
      </c>
      <c r="S167" s="19" t="s">
        <v>3510</v>
      </c>
      <c r="T167" s="19" t="s">
        <v>3549</v>
      </c>
      <c r="U167" s="19" t="s">
        <v>3512</v>
      </c>
      <c r="V167" s="19" t="s">
        <v>3513</v>
      </c>
      <c r="W167" s="19" t="s">
        <v>3575</v>
      </c>
      <c r="X167" s="19" t="s">
        <v>3515</v>
      </c>
      <c r="Y167" s="19" t="s">
        <v>3516</v>
      </c>
      <c r="Z167" s="19" t="s">
        <v>3517</v>
      </c>
      <c r="AA167" s="19" t="s">
        <v>3518</v>
      </c>
      <c r="AB167" s="19" t="s">
        <v>3519</v>
      </c>
      <c r="AC167" s="19" t="s">
        <v>3638</v>
      </c>
      <c r="AD167" s="19" t="s">
        <v>3521</v>
      </c>
      <c r="AE167" s="21"/>
      <c r="AF167" s="19" t="s">
        <v>3523</v>
      </c>
      <c r="AG167" s="19" t="s">
        <v>3524</v>
      </c>
      <c r="AH167" s="19" t="s">
        <v>3525</v>
      </c>
      <c r="AI167" s="19" t="s">
        <v>3526</v>
      </c>
      <c r="AJ167" s="19" t="s">
        <v>3527</v>
      </c>
      <c r="AK167" s="19" t="s">
        <v>3528</v>
      </c>
      <c r="AL167" s="19" t="s">
        <v>3529</v>
      </c>
      <c r="AM167" s="19" t="s">
        <v>3530</v>
      </c>
      <c r="AN167" s="19" t="s">
        <v>3531</v>
      </c>
      <c r="AO167" s="19" t="s">
        <v>3532</v>
      </c>
      <c r="AP167" s="19" t="s">
        <v>3533</v>
      </c>
      <c r="AQ167" s="19" t="s">
        <v>3534</v>
      </c>
      <c r="AR167" s="21"/>
      <c r="AS167" s="21"/>
      <c r="AT167" s="21"/>
      <c r="AU167" s="21"/>
      <c r="AV167" s="21"/>
      <c r="AW167" s="19" t="s">
        <v>3539</v>
      </c>
      <c r="AX167" s="19" t="s">
        <v>3540</v>
      </c>
      <c r="AY167" s="19" t="s">
        <v>3541</v>
      </c>
      <c r="AZ167" s="19" t="s">
        <v>3542</v>
      </c>
      <c r="BA167" s="19" t="s">
        <v>3543</v>
      </c>
      <c r="BB167" s="19" t="s">
        <v>3544</v>
      </c>
      <c r="BC167" s="23"/>
    </row>
    <row r="168" ht="22.5" customHeight="1">
      <c r="A168" s="11">
        <v>46182.732926550925</v>
      </c>
      <c r="B168" s="12" t="s">
        <v>2343</v>
      </c>
      <c r="C168" s="13">
        <v>21.0</v>
      </c>
      <c r="D168" s="16"/>
      <c r="E168" s="15">
        <f t="shared" si="1"/>
        <v>21</v>
      </c>
      <c r="F168" s="12" t="s">
        <v>4039</v>
      </c>
      <c r="G168" s="12" t="s">
        <v>2344</v>
      </c>
      <c r="H168" s="12" t="s">
        <v>2343</v>
      </c>
      <c r="I168" s="15">
        <v>9.423465188E9</v>
      </c>
      <c r="J168" s="12" t="s">
        <v>3547</v>
      </c>
      <c r="K168" s="12" t="s">
        <v>3504</v>
      </c>
      <c r="L168" s="12" t="s">
        <v>3505</v>
      </c>
      <c r="M168" s="16"/>
      <c r="N168" s="12" t="s">
        <v>3569</v>
      </c>
      <c r="O168" s="16"/>
      <c r="P168" s="12" t="s">
        <v>3508</v>
      </c>
      <c r="Q168" s="16"/>
      <c r="R168" s="12" t="s">
        <v>3509</v>
      </c>
      <c r="S168" s="12" t="s">
        <v>3723</v>
      </c>
      <c r="T168" s="12" t="s">
        <v>3549</v>
      </c>
      <c r="U168" s="12" t="s">
        <v>3550</v>
      </c>
      <c r="V168" s="12" t="s">
        <v>3593</v>
      </c>
      <c r="W168" s="16"/>
      <c r="X168" s="12" t="s">
        <v>3515</v>
      </c>
      <c r="Y168" s="12" t="s">
        <v>3576</v>
      </c>
      <c r="Z168" s="12" t="s">
        <v>3517</v>
      </c>
      <c r="AA168" s="12" t="s">
        <v>3518</v>
      </c>
      <c r="AB168" s="12" t="s">
        <v>3519</v>
      </c>
      <c r="AC168" s="12" t="s">
        <v>3638</v>
      </c>
      <c r="AD168" s="16"/>
      <c r="AE168" s="16"/>
      <c r="AF168" s="12" t="s">
        <v>3639</v>
      </c>
      <c r="AG168" s="12" t="s">
        <v>3589</v>
      </c>
      <c r="AH168" s="12" t="s">
        <v>3525</v>
      </c>
      <c r="AI168" s="12" t="s">
        <v>3772</v>
      </c>
      <c r="AJ168" s="16"/>
      <c r="AK168" s="12" t="s">
        <v>3528</v>
      </c>
      <c r="AL168" s="12" t="s">
        <v>3590</v>
      </c>
      <c r="AM168" s="12" t="s">
        <v>3530</v>
      </c>
      <c r="AN168" s="12" t="s">
        <v>3531</v>
      </c>
      <c r="AO168" s="12" t="s">
        <v>3551</v>
      </c>
      <c r="AP168" s="12" t="s">
        <v>3533</v>
      </c>
      <c r="AQ168" s="12" t="s">
        <v>3534</v>
      </c>
      <c r="AR168" s="12" t="s">
        <v>3753</v>
      </c>
      <c r="AS168" s="12" t="s">
        <v>3536</v>
      </c>
      <c r="AT168" s="12" t="s">
        <v>3578</v>
      </c>
      <c r="AU168" s="12" t="s">
        <v>6</v>
      </c>
      <c r="AV168" s="12" t="s">
        <v>3536</v>
      </c>
      <c r="AW168" s="12" t="s">
        <v>3558</v>
      </c>
      <c r="AX168" s="16"/>
      <c r="AY168" s="12" t="s">
        <v>3541</v>
      </c>
      <c r="AZ168" s="12" t="s">
        <v>3706</v>
      </c>
      <c r="BA168" s="12" t="s">
        <v>3543</v>
      </c>
      <c r="BB168" s="12" t="s">
        <v>3544</v>
      </c>
      <c r="BC168" s="17"/>
    </row>
    <row r="169" ht="22.5" customHeight="1">
      <c r="A169" s="18">
        <v>46182.74544530093</v>
      </c>
      <c r="B169" s="19" t="s">
        <v>4040</v>
      </c>
      <c r="C169" s="20">
        <v>40.0</v>
      </c>
      <c r="D169" s="24" t="s">
        <v>4041</v>
      </c>
      <c r="E169" s="22">
        <f t="shared" si="1"/>
        <v>45</v>
      </c>
      <c r="F169" s="19" t="s">
        <v>4042</v>
      </c>
      <c r="G169" s="19" t="s">
        <v>561</v>
      </c>
      <c r="H169" s="19" t="s">
        <v>4043</v>
      </c>
      <c r="I169" s="22">
        <v>8.839674282E9</v>
      </c>
      <c r="J169" s="19" t="s">
        <v>3547</v>
      </c>
      <c r="K169" s="19" t="s">
        <v>3504</v>
      </c>
      <c r="L169" s="19" t="s">
        <v>3505</v>
      </c>
      <c r="M169" s="21"/>
      <c r="N169" s="19" t="s">
        <v>3506</v>
      </c>
      <c r="O169" s="19" t="s">
        <v>3507</v>
      </c>
      <c r="P169" s="19" t="s">
        <v>3508</v>
      </c>
      <c r="Q169" s="21"/>
      <c r="R169" s="19" t="s">
        <v>3509</v>
      </c>
      <c r="S169" s="19" t="s">
        <v>3510</v>
      </c>
      <c r="T169" s="19" t="s">
        <v>3511</v>
      </c>
      <c r="U169" s="19" t="s">
        <v>3550</v>
      </c>
      <c r="V169" s="19" t="s">
        <v>3513</v>
      </c>
      <c r="W169" s="19" t="s">
        <v>3514</v>
      </c>
      <c r="X169" s="19" t="s">
        <v>3515</v>
      </c>
      <c r="Y169" s="19" t="s">
        <v>3516</v>
      </c>
      <c r="Z169" s="19" t="s">
        <v>3517</v>
      </c>
      <c r="AA169" s="19" t="s">
        <v>3518</v>
      </c>
      <c r="AB169" s="19" t="s">
        <v>3519</v>
      </c>
      <c r="AC169" s="19" t="s">
        <v>3520</v>
      </c>
      <c r="AD169" s="19" t="s">
        <v>3521</v>
      </c>
      <c r="AE169" s="19" t="s">
        <v>3522</v>
      </c>
      <c r="AF169" s="19" t="s">
        <v>3523</v>
      </c>
      <c r="AG169" s="19" t="s">
        <v>3524</v>
      </c>
      <c r="AH169" s="19" t="s">
        <v>3525</v>
      </c>
      <c r="AI169" s="19" t="s">
        <v>3526</v>
      </c>
      <c r="AJ169" s="19" t="s">
        <v>3527</v>
      </c>
      <c r="AK169" s="19" t="s">
        <v>3528</v>
      </c>
      <c r="AL169" s="19" t="s">
        <v>3529</v>
      </c>
      <c r="AM169" s="19" t="s">
        <v>3530</v>
      </c>
      <c r="AN169" s="19" t="s">
        <v>3531</v>
      </c>
      <c r="AO169" s="19" t="s">
        <v>3557</v>
      </c>
      <c r="AP169" s="19" t="s">
        <v>3533</v>
      </c>
      <c r="AQ169" s="19" t="s">
        <v>3534</v>
      </c>
      <c r="AR169" s="19" t="s">
        <v>3535</v>
      </c>
      <c r="AS169" s="19" t="s">
        <v>3536</v>
      </c>
      <c r="AT169" s="19" t="s">
        <v>3537</v>
      </c>
      <c r="AU169" s="19" t="s">
        <v>6</v>
      </c>
      <c r="AV169" s="19" t="s">
        <v>3538</v>
      </c>
      <c r="AW169" s="19" t="s">
        <v>3539</v>
      </c>
      <c r="AX169" s="19" t="s">
        <v>3540</v>
      </c>
      <c r="AY169" s="19" t="s">
        <v>3541</v>
      </c>
      <c r="AZ169" s="19" t="s">
        <v>3542</v>
      </c>
      <c r="BA169" s="19" t="s">
        <v>3543</v>
      </c>
      <c r="BB169" s="19" t="s">
        <v>3544</v>
      </c>
      <c r="BC169" s="23"/>
    </row>
    <row r="170" ht="22.5" customHeight="1">
      <c r="A170" s="11">
        <v>46182.74605306713</v>
      </c>
      <c r="B170" s="12" t="s">
        <v>4044</v>
      </c>
      <c r="C170" s="13">
        <v>10.0</v>
      </c>
      <c r="D170" s="14" t="s">
        <v>4045</v>
      </c>
      <c r="E170" s="15">
        <f t="shared" si="1"/>
        <v>15</v>
      </c>
      <c r="F170" s="12" t="s">
        <v>4046</v>
      </c>
      <c r="G170" s="12" t="s">
        <v>392</v>
      </c>
      <c r="H170" s="12" t="s">
        <v>391</v>
      </c>
      <c r="I170" s="15">
        <v>8.530683333E9</v>
      </c>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2" t="s">
        <v>3528</v>
      </c>
      <c r="AL170" s="12" t="s">
        <v>3529</v>
      </c>
      <c r="AM170" s="16"/>
      <c r="AN170" s="16"/>
      <c r="AO170" s="16"/>
      <c r="AP170" s="12" t="s">
        <v>3533</v>
      </c>
      <c r="AQ170" s="16"/>
      <c r="AR170" s="12" t="s">
        <v>3535</v>
      </c>
      <c r="AS170" s="12" t="s">
        <v>3536</v>
      </c>
      <c r="AT170" s="12" t="s">
        <v>3537</v>
      </c>
      <c r="AU170" s="12" t="s">
        <v>6</v>
      </c>
      <c r="AV170" s="12" t="s">
        <v>3538</v>
      </c>
      <c r="AW170" s="16"/>
      <c r="AX170" s="16"/>
      <c r="AY170" s="12" t="s">
        <v>3541</v>
      </c>
      <c r="AZ170" s="12" t="s">
        <v>3542</v>
      </c>
      <c r="BA170" s="16"/>
      <c r="BB170" s="16"/>
      <c r="BC170" s="17"/>
    </row>
    <row r="171" ht="22.5" customHeight="1">
      <c r="A171" s="18">
        <v>46182.74605239583</v>
      </c>
      <c r="B171" s="19" t="s">
        <v>2674</v>
      </c>
      <c r="C171" s="20">
        <v>40.0</v>
      </c>
      <c r="D171" s="24" t="s">
        <v>4047</v>
      </c>
      <c r="E171" s="22">
        <f t="shared" si="1"/>
        <v>45</v>
      </c>
      <c r="F171" s="19" t="s">
        <v>4048</v>
      </c>
      <c r="G171" s="19" t="s">
        <v>2675</v>
      </c>
      <c r="H171" s="19" t="s">
        <v>2674</v>
      </c>
      <c r="I171" s="22">
        <v>8.547503306E9</v>
      </c>
      <c r="J171" s="19" t="s">
        <v>3547</v>
      </c>
      <c r="K171" s="19" t="s">
        <v>3504</v>
      </c>
      <c r="L171" s="19" t="s">
        <v>3556</v>
      </c>
      <c r="M171" s="21"/>
      <c r="N171" s="19" t="s">
        <v>3506</v>
      </c>
      <c r="O171" s="19" t="s">
        <v>3507</v>
      </c>
      <c r="P171" s="19" t="s">
        <v>3508</v>
      </c>
      <c r="Q171" s="21"/>
      <c r="R171" s="19" t="s">
        <v>3509</v>
      </c>
      <c r="S171" s="19" t="s">
        <v>3510</v>
      </c>
      <c r="T171" s="19" t="s">
        <v>3549</v>
      </c>
      <c r="U171" s="19" t="s">
        <v>3512</v>
      </c>
      <c r="V171" s="19" t="s">
        <v>3513</v>
      </c>
      <c r="W171" s="19" t="s">
        <v>3514</v>
      </c>
      <c r="X171" s="19" t="s">
        <v>3515</v>
      </c>
      <c r="Y171" s="19" t="s">
        <v>3516</v>
      </c>
      <c r="Z171" s="19" t="s">
        <v>3517</v>
      </c>
      <c r="AA171" s="19" t="s">
        <v>3518</v>
      </c>
      <c r="AB171" s="19" t="s">
        <v>3519</v>
      </c>
      <c r="AC171" s="19" t="s">
        <v>3520</v>
      </c>
      <c r="AD171" s="19" t="s">
        <v>3521</v>
      </c>
      <c r="AE171" s="19" t="s">
        <v>3522</v>
      </c>
      <c r="AF171" s="19" t="s">
        <v>3523</v>
      </c>
      <c r="AG171" s="19" t="s">
        <v>3524</v>
      </c>
      <c r="AH171" s="19" t="s">
        <v>3525</v>
      </c>
      <c r="AI171" s="19" t="s">
        <v>3526</v>
      </c>
      <c r="AJ171" s="19" t="s">
        <v>3527</v>
      </c>
      <c r="AK171" s="19" t="s">
        <v>3528</v>
      </c>
      <c r="AL171" s="19" t="s">
        <v>3529</v>
      </c>
      <c r="AM171" s="19" t="s">
        <v>3530</v>
      </c>
      <c r="AN171" s="19" t="s">
        <v>3531</v>
      </c>
      <c r="AO171" s="19" t="s">
        <v>3551</v>
      </c>
      <c r="AP171" s="19" t="s">
        <v>3533</v>
      </c>
      <c r="AQ171" s="19" t="s">
        <v>3534</v>
      </c>
      <c r="AR171" s="19" t="s">
        <v>3535</v>
      </c>
      <c r="AS171" s="19" t="s">
        <v>3536</v>
      </c>
      <c r="AT171" s="19" t="s">
        <v>3537</v>
      </c>
      <c r="AU171" s="19" t="s">
        <v>6</v>
      </c>
      <c r="AV171" s="19" t="s">
        <v>3538</v>
      </c>
      <c r="AW171" s="19" t="s">
        <v>3539</v>
      </c>
      <c r="AX171" s="19" t="s">
        <v>3540</v>
      </c>
      <c r="AY171" s="19" t="s">
        <v>3541</v>
      </c>
      <c r="AZ171" s="19" t="s">
        <v>3542</v>
      </c>
      <c r="BA171" s="19" t="s">
        <v>3543</v>
      </c>
      <c r="BB171" s="19" t="s">
        <v>3544</v>
      </c>
      <c r="BC171" s="23"/>
    </row>
    <row r="172" ht="22.5" customHeight="1">
      <c r="A172" s="11">
        <v>46182.74655297454</v>
      </c>
      <c r="B172" s="12" t="s">
        <v>286</v>
      </c>
      <c r="C172" s="13">
        <v>21.0</v>
      </c>
      <c r="D172" s="14" t="s">
        <v>4049</v>
      </c>
      <c r="E172" s="15">
        <f t="shared" si="1"/>
        <v>26</v>
      </c>
      <c r="F172" s="25" t="s">
        <v>4050</v>
      </c>
      <c r="G172" s="12" t="s">
        <v>287</v>
      </c>
      <c r="H172" s="12" t="s">
        <v>286</v>
      </c>
      <c r="I172" s="15">
        <v>9.495692653E9</v>
      </c>
      <c r="J172" s="16"/>
      <c r="K172" s="16"/>
      <c r="L172" s="12" t="s">
        <v>3556</v>
      </c>
      <c r="M172" s="16"/>
      <c r="N172" s="16"/>
      <c r="O172" s="16"/>
      <c r="P172" s="16"/>
      <c r="Q172" s="16"/>
      <c r="R172" s="16"/>
      <c r="S172" s="16"/>
      <c r="T172" s="12" t="s">
        <v>3549</v>
      </c>
      <c r="U172" s="12" t="s">
        <v>3550</v>
      </c>
      <c r="V172" s="16"/>
      <c r="W172" s="12" t="s">
        <v>3514</v>
      </c>
      <c r="X172" s="12" t="s">
        <v>3515</v>
      </c>
      <c r="Y172" s="16"/>
      <c r="Z172" s="16"/>
      <c r="AA172" s="12" t="s">
        <v>3518</v>
      </c>
      <c r="AB172" s="12" t="s">
        <v>3519</v>
      </c>
      <c r="AC172" s="12" t="s">
        <v>3520</v>
      </c>
      <c r="AD172" s="12" t="s">
        <v>3521</v>
      </c>
      <c r="AE172" s="12" t="s">
        <v>3522</v>
      </c>
      <c r="AF172" s="16"/>
      <c r="AG172" s="16"/>
      <c r="AH172" s="12" t="s">
        <v>3525</v>
      </c>
      <c r="AI172" s="12" t="s">
        <v>3526</v>
      </c>
      <c r="AJ172" s="16"/>
      <c r="AK172" s="12" t="s">
        <v>3528</v>
      </c>
      <c r="AL172" s="16"/>
      <c r="AM172" s="12" t="s">
        <v>3530</v>
      </c>
      <c r="AN172" s="12" t="s">
        <v>3531</v>
      </c>
      <c r="AO172" s="12" t="s">
        <v>3658</v>
      </c>
      <c r="AP172" s="12" t="s">
        <v>3533</v>
      </c>
      <c r="AQ172" s="12" t="s">
        <v>3534</v>
      </c>
      <c r="AR172" s="16"/>
      <c r="AS172" s="16"/>
      <c r="AT172" s="12" t="s">
        <v>3537</v>
      </c>
      <c r="AU172" s="16"/>
      <c r="AV172" s="16"/>
      <c r="AW172" s="12" t="s">
        <v>3539</v>
      </c>
      <c r="AX172" s="16"/>
      <c r="AY172" s="16"/>
      <c r="AZ172" s="12" t="s">
        <v>3542</v>
      </c>
      <c r="BA172" s="16"/>
      <c r="BB172" s="12" t="s">
        <v>3544</v>
      </c>
      <c r="BC172" s="17"/>
    </row>
    <row r="173" ht="22.5" customHeight="1">
      <c r="A173" s="18">
        <v>46182.74916373842</v>
      </c>
      <c r="B173" s="19" t="s">
        <v>4051</v>
      </c>
      <c r="C173" s="20">
        <v>38.0</v>
      </c>
      <c r="D173" s="24" t="s">
        <v>4052</v>
      </c>
      <c r="E173" s="22">
        <f t="shared" si="1"/>
        <v>43</v>
      </c>
      <c r="F173" s="19" t="s">
        <v>4053</v>
      </c>
      <c r="G173" s="19" t="s">
        <v>1199</v>
      </c>
      <c r="H173" s="19" t="s">
        <v>1198</v>
      </c>
      <c r="I173" s="22">
        <v>9.573618704E9</v>
      </c>
      <c r="J173" s="19" t="s">
        <v>3547</v>
      </c>
      <c r="K173" s="19" t="s">
        <v>3504</v>
      </c>
      <c r="L173" s="19" t="s">
        <v>3556</v>
      </c>
      <c r="M173" s="21"/>
      <c r="N173" s="19" t="s">
        <v>3506</v>
      </c>
      <c r="O173" s="19" t="s">
        <v>3507</v>
      </c>
      <c r="P173" s="19" t="s">
        <v>3508</v>
      </c>
      <c r="Q173" s="21"/>
      <c r="R173" s="19" t="s">
        <v>3509</v>
      </c>
      <c r="S173" s="19" t="s">
        <v>3510</v>
      </c>
      <c r="T173" s="19" t="s">
        <v>3549</v>
      </c>
      <c r="U173" s="19" t="s">
        <v>3512</v>
      </c>
      <c r="V173" s="19" t="s">
        <v>3513</v>
      </c>
      <c r="W173" s="19" t="s">
        <v>3514</v>
      </c>
      <c r="X173" s="19" t="s">
        <v>3740</v>
      </c>
      <c r="Y173" s="19" t="s">
        <v>3516</v>
      </c>
      <c r="Z173" s="19" t="s">
        <v>3517</v>
      </c>
      <c r="AA173" s="19" t="s">
        <v>3518</v>
      </c>
      <c r="AB173" s="19" t="s">
        <v>3519</v>
      </c>
      <c r="AC173" s="19" t="s">
        <v>3520</v>
      </c>
      <c r="AD173" s="19" t="s">
        <v>4054</v>
      </c>
      <c r="AE173" s="19" t="s">
        <v>3522</v>
      </c>
      <c r="AF173" s="19" t="s">
        <v>3523</v>
      </c>
      <c r="AG173" s="19" t="s">
        <v>3524</v>
      </c>
      <c r="AH173" s="19" t="s">
        <v>3525</v>
      </c>
      <c r="AI173" s="19" t="s">
        <v>3526</v>
      </c>
      <c r="AJ173" s="19" t="s">
        <v>3527</v>
      </c>
      <c r="AK173" s="19" t="s">
        <v>3528</v>
      </c>
      <c r="AL173" s="19" t="s">
        <v>3529</v>
      </c>
      <c r="AM173" s="19" t="s">
        <v>3530</v>
      </c>
      <c r="AN173" s="19" t="s">
        <v>3531</v>
      </c>
      <c r="AO173" s="19" t="s">
        <v>3551</v>
      </c>
      <c r="AP173" s="19" t="s">
        <v>3533</v>
      </c>
      <c r="AQ173" s="19" t="s">
        <v>3534</v>
      </c>
      <c r="AR173" s="19" t="s">
        <v>3535</v>
      </c>
      <c r="AS173" s="19" t="s">
        <v>3536</v>
      </c>
      <c r="AT173" s="19" t="s">
        <v>3537</v>
      </c>
      <c r="AU173" s="19" t="s">
        <v>6</v>
      </c>
      <c r="AV173" s="19" t="s">
        <v>3538</v>
      </c>
      <c r="AW173" s="19" t="s">
        <v>3539</v>
      </c>
      <c r="AX173" s="19" t="s">
        <v>3540</v>
      </c>
      <c r="AY173" s="19" t="s">
        <v>3541</v>
      </c>
      <c r="AZ173" s="19" t="s">
        <v>3542</v>
      </c>
      <c r="BA173" s="19" t="s">
        <v>3543</v>
      </c>
      <c r="BB173" s="19" t="s">
        <v>3544</v>
      </c>
      <c r="BC173" s="23"/>
    </row>
    <row r="174" ht="22.5" customHeight="1">
      <c r="A174" s="11">
        <v>46182.74966952547</v>
      </c>
      <c r="B174" s="12" t="s">
        <v>1887</v>
      </c>
      <c r="C174" s="13">
        <v>40.0</v>
      </c>
      <c r="D174" s="14" t="s">
        <v>4055</v>
      </c>
      <c r="E174" s="15">
        <f t="shared" si="1"/>
        <v>45</v>
      </c>
      <c r="F174" s="12" t="s">
        <v>4056</v>
      </c>
      <c r="G174" s="12" t="s">
        <v>4057</v>
      </c>
      <c r="H174" s="12" t="s">
        <v>1887</v>
      </c>
      <c r="I174" s="15">
        <v>7.416742931E9</v>
      </c>
      <c r="J174" s="12" t="s">
        <v>3547</v>
      </c>
      <c r="K174" s="12" t="s">
        <v>3504</v>
      </c>
      <c r="L174" s="12" t="s">
        <v>3556</v>
      </c>
      <c r="M174" s="16"/>
      <c r="N174" s="12" t="s">
        <v>3506</v>
      </c>
      <c r="O174" s="12" t="s">
        <v>3507</v>
      </c>
      <c r="P174" s="12" t="s">
        <v>3508</v>
      </c>
      <c r="Q174" s="16"/>
      <c r="R174" s="12" t="s">
        <v>3509</v>
      </c>
      <c r="S174" s="12" t="s">
        <v>3510</v>
      </c>
      <c r="T174" s="12" t="s">
        <v>3549</v>
      </c>
      <c r="U174" s="12" t="s">
        <v>3550</v>
      </c>
      <c r="V174" s="12" t="s">
        <v>3513</v>
      </c>
      <c r="W174" s="12" t="s">
        <v>3514</v>
      </c>
      <c r="X174" s="12" t="s">
        <v>3515</v>
      </c>
      <c r="Y174" s="12" t="s">
        <v>3516</v>
      </c>
      <c r="Z174" s="12" t="s">
        <v>3517</v>
      </c>
      <c r="AA174" s="12" t="s">
        <v>3518</v>
      </c>
      <c r="AB174" s="12" t="s">
        <v>3519</v>
      </c>
      <c r="AC174" s="12" t="s">
        <v>3520</v>
      </c>
      <c r="AD174" s="12" t="s">
        <v>3521</v>
      </c>
      <c r="AE174" s="12" t="s">
        <v>3522</v>
      </c>
      <c r="AF174" s="12" t="s">
        <v>3523</v>
      </c>
      <c r="AG174" s="12" t="s">
        <v>3524</v>
      </c>
      <c r="AH174" s="12" t="s">
        <v>3525</v>
      </c>
      <c r="AI174" s="12" t="s">
        <v>3526</v>
      </c>
      <c r="AJ174" s="12" t="s">
        <v>3527</v>
      </c>
      <c r="AK174" s="12" t="s">
        <v>3528</v>
      </c>
      <c r="AL174" s="12" t="s">
        <v>3529</v>
      </c>
      <c r="AM174" s="12" t="s">
        <v>3530</v>
      </c>
      <c r="AN174" s="12" t="s">
        <v>3531</v>
      </c>
      <c r="AO174" s="12" t="s">
        <v>3557</v>
      </c>
      <c r="AP174" s="12" t="s">
        <v>3533</v>
      </c>
      <c r="AQ174" s="12" t="s">
        <v>3534</v>
      </c>
      <c r="AR174" s="12" t="s">
        <v>3535</v>
      </c>
      <c r="AS174" s="12" t="s">
        <v>3536</v>
      </c>
      <c r="AT174" s="12" t="s">
        <v>3562</v>
      </c>
      <c r="AU174" s="12" t="s">
        <v>6</v>
      </c>
      <c r="AV174" s="12" t="s">
        <v>3538</v>
      </c>
      <c r="AW174" s="12" t="s">
        <v>3558</v>
      </c>
      <c r="AX174" s="12" t="s">
        <v>3540</v>
      </c>
      <c r="AY174" s="12" t="s">
        <v>3541</v>
      </c>
      <c r="AZ174" s="12" t="s">
        <v>3542</v>
      </c>
      <c r="BA174" s="12" t="s">
        <v>3543</v>
      </c>
      <c r="BB174" s="12" t="s">
        <v>3544</v>
      </c>
      <c r="BC174" s="17"/>
    </row>
    <row r="175" ht="22.5" customHeight="1">
      <c r="A175" s="18">
        <v>46182.74980006945</v>
      </c>
      <c r="B175" s="19" t="s">
        <v>4058</v>
      </c>
      <c r="C175" s="20">
        <v>38.0</v>
      </c>
      <c r="D175" s="24" t="s">
        <v>4059</v>
      </c>
      <c r="E175" s="22">
        <f t="shared" si="1"/>
        <v>43</v>
      </c>
      <c r="F175" s="19" t="s">
        <v>4060</v>
      </c>
      <c r="G175" s="19" t="s">
        <v>4061</v>
      </c>
      <c r="H175" s="19" t="s">
        <v>4058</v>
      </c>
      <c r="I175" s="19" t="s">
        <v>1348</v>
      </c>
      <c r="J175" s="19" t="s">
        <v>3503</v>
      </c>
      <c r="K175" s="19" t="s">
        <v>3504</v>
      </c>
      <c r="L175" s="19" t="s">
        <v>3556</v>
      </c>
      <c r="M175" s="21"/>
      <c r="N175" s="19" t="s">
        <v>3506</v>
      </c>
      <c r="O175" s="19" t="s">
        <v>3507</v>
      </c>
      <c r="P175" s="19" t="s">
        <v>3508</v>
      </c>
      <c r="Q175" s="21"/>
      <c r="R175" s="19" t="s">
        <v>3509</v>
      </c>
      <c r="S175" s="19" t="s">
        <v>3510</v>
      </c>
      <c r="T175" s="19" t="s">
        <v>3511</v>
      </c>
      <c r="U175" s="19" t="s">
        <v>3582</v>
      </c>
      <c r="V175" s="19" t="s">
        <v>3513</v>
      </c>
      <c r="W175" s="19" t="s">
        <v>3514</v>
      </c>
      <c r="X175" s="19" t="s">
        <v>3515</v>
      </c>
      <c r="Y175" s="19" t="s">
        <v>3725</v>
      </c>
      <c r="Z175" s="19" t="s">
        <v>3517</v>
      </c>
      <c r="AA175" s="19" t="s">
        <v>3518</v>
      </c>
      <c r="AB175" s="19" t="s">
        <v>3519</v>
      </c>
      <c r="AC175" s="19" t="s">
        <v>3520</v>
      </c>
      <c r="AD175" s="19" t="s">
        <v>3521</v>
      </c>
      <c r="AE175" s="19" t="s">
        <v>3522</v>
      </c>
      <c r="AF175" s="19" t="s">
        <v>3523</v>
      </c>
      <c r="AG175" s="19" t="s">
        <v>3524</v>
      </c>
      <c r="AH175" s="19" t="s">
        <v>3525</v>
      </c>
      <c r="AI175" s="19" t="s">
        <v>3526</v>
      </c>
      <c r="AJ175" s="19" t="s">
        <v>3527</v>
      </c>
      <c r="AK175" s="19" t="s">
        <v>3528</v>
      </c>
      <c r="AL175" s="19" t="s">
        <v>3529</v>
      </c>
      <c r="AM175" s="19" t="s">
        <v>3530</v>
      </c>
      <c r="AN175" s="19" t="s">
        <v>3531</v>
      </c>
      <c r="AO175" s="19" t="s">
        <v>3557</v>
      </c>
      <c r="AP175" s="19" t="s">
        <v>3533</v>
      </c>
      <c r="AQ175" s="19" t="s">
        <v>3534</v>
      </c>
      <c r="AR175" s="19" t="s">
        <v>3535</v>
      </c>
      <c r="AS175" s="19" t="s">
        <v>3536</v>
      </c>
      <c r="AT175" s="19" t="s">
        <v>3537</v>
      </c>
      <c r="AU175" s="19" t="s">
        <v>6</v>
      </c>
      <c r="AV175" s="19" t="s">
        <v>3538</v>
      </c>
      <c r="AW175" s="19" t="s">
        <v>3558</v>
      </c>
      <c r="AX175" s="19" t="s">
        <v>3540</v>
      </c>
      <c r="AY175" s="19" t="s">
        <v>3541</v>
      </c>
      <c r="AZ175" s="19" t="s">
        <v>3542</v>
      </c>
      <c r="BA175" s="19" t="s">
        <v>3543</v>
      </c>
      <c r="BB175" s="19" t="s">
        <v>3544</v>
      </c>
      <c r="BC175" s="23"/>
    </row>
    <row r="176" ht="22.5" customHeight="1">
      <c r="A176" s="11">
        <v>46182.75268799769</v>
      </c>
      <c r="B176" s="12" t="s">
        <v>3404</v>
      </c>
      <c r="C176" s="13">
        <v>40.0</v>
      </c>
      <c r="D176" s="14" t="s">
        <v>4062</v>
      </c>
      <c r="E176" s="15">
        <f t="shared" si="1"/>
        <v>45</v>
      </c>
      <c r="F176" s="12" t="s">
        <v>4063</v>
      </c>
      <c r="G176" s="12" t="s">
        <v>3405</v>
      </c>
      <c r="H176" s="12" t="s">
        <v>3404</v>
      </c>
      <c r="I176" s="15">
        <v>9.028331849E9</v>
      </c>
      <c r="J176" s="12" t="s">
        <v>3547</v>
      </c>
      <c r="K176" s="12" t="s">
        <v>3504</v>
      </c>
      <c r="L176" s="12" t="s">
        <v>3556</v>
      </c>
      <c r="M176" s="16"/>
      <c r="N176" s="12" t="s">
        <v>3506</v>
      </c>
      <c r="O176" s="12" t="s">
        <v>3507</v>
      </c>
      <c r="P176" s="12" t="s">
        <v>3508</v>
      </c>
      <c r="Q176" s="16"/>
      <c r="R176" s="12" t="s">
        <v>3509</v>
      </c>
      <c r="S176" s="12" t="s">
        <v>3510</v>
      </c>
      <c r="T176" s="12" t="s">
        <v>3511</v>
      </c>
      <c r="U176" s="12" t="s">
        <v>3512</v>
      </c>
      <c r="V176" s="12" t="s">
        <v>3513</v>
      </c>
      <c r="W176" s="12" t="s">
        <v>3514</v>
      </c>
      <c r="X176" s="12" t="s">
        <v>3515</v>
      </c>
      <c r="Y176" s="12" t="s">
        <v>3516</v>
      </c>
      <c r="Z176" s="12" t="s">
        <v>3517</v>
      </c>
      <c r="AA176" s="12" t="s">
        <v>3518</v>
      </c>
      <c r="AB176" s="12" t="s">
        <v>3519</v>
      </c>
      <c r="AC176" s="12" t="s">
        <v>3520</v>
      </c>
      <c r="AD176" s="12" t="s">
        <v>3521</v>
      </c>
      <c r="AE176" s="12" t="s">
        <v>3522</v>
      </c>
      <c r="AF176" s="12" t="s">
        <v>3523</v>
      </c>
      <c r="AG176" s="12" t="s">
        <v>3524</v>
      </c>
      <c r="AH176" s="12" t="s">
        <v>3525</v>
      </c>
      <c r="AI176" s="12" t="s">
        <v>3526</v>
      </c>
      <c r="AJ176" s="12" t="s">
        <v>3527</v>
      </c>
      <c r="AK176" s="12" t="s">
        <v>3528</v>
      </c>
      <c r="AL176" s="12" t="s">
        <v>3529</v>
      </c>
      <c r="AM176" s="12" t="s">
        <v>3530</v>
      </c>
      <c r="AN176" s="12" t="s">
        <v>3531</v>
      </c>
      <c r="AO176" s="12" t="s">
        <v>3557</v>
      </c>
      <c r="AP176" s="12" t="s">
        <v>3533</v>
      </c>
      <c r="AQ176" s="12" t="s">
        <v>3534</v>
      </c>
      <c r="AR176" s="12" t="s">
        <v>3535</v>
      </c>
      <c r="AS176" s="12" t="s">
        <v>3536</v>
      </c>
      <c r="AT176" s="12" t="s">
        <v>3537</v>
      </c>
      <c r="AU176" s="12" t="s">
        <v>6</v>
      </c>
      <c r="AV176" s="12" t="s">
        <v>3538</v>
      </c>
      <c r="AW176" s="12" t="s">
        <v>3539</v>
      </c>
      <c r="AX176" s="12" t="s">
        <v>3540</v>
      </c>
      <c r="AY176" s="12" t="s">
        <v>3541</v>
      </c>
      <c r="AZ176" s="12" t="s">
        <v>3542</v>
      </c>
      <c r="BA176" s="12" t="s">
        <v>3543</v>
      </c>
      <c r="BB176" s="12" t="s">
        <v>3544</v>
      </c>
      <c r="BC176" s="17"/>
    </row>
    <row r="177" ht="22.5" customHeight="1">
      <c r="A177" s="18">
        <v>46182.75554347222</v>
      </c>
      <c r="B177" s="19" t="s">
        <v>2748</v>
      </c>
      <c r="C177" s="20">
        <v>27.0</v>
      </c>
      <c r="D177" s="21"/>
      <c r="E177" s="22">
        <f t="shared" si="1"/>
        <v>27</v>
      </c>
      <c r="F177" s="19" t="s">
        <v>4064</v>
      </c>
      <c r="G177" s="19" t="s">
        <v>2749</v>
      </c>
      <c r="H177" s="19" t="s">
        <v>2748</v>
      </c>
      <c r="I177" s="22">
        <v>9.656883988E9</v>
      </c>
      <c r="J177" s="19" t="s">
        <v>3503</v>
      </c>
      <c r="K177" s="19" t="s">
        <v>3504</v>
      </c>
      <c r="L177" s="19" t="s">
        <v>3505</v>
      </c>
      <c r="M177" s="21"/>
      <c r="N177" s="19" t="s">
        <v>3506</v>
      </c>
      <c r="O177" s="19" t="s">
        <v>3507</v>
      </c>
      <c r="P177" s="19" t="s">
        <v>3508</v>
      </c>
      <c r="Q177" s="21"/>
      <c r="R177" s="19" t="s">
        <v>3509</v>
      </c>
      <c r="S177" s="19" t="s">
        <v>3723</v>
      </c>
      <c r="T177" s="19" t="s">
        <v>3549</v>
      </c>
      <c r="U177" s="19" t="s">
        <v>3550</v>
      </c>
      <c r="V177" s="19" t="s">
        <v>3599</v>
      </c>
      <c r="W177" s="19" t="s">
        <v>3514</v>
      </c>
      <c r="X177" s="19" t="s">
        <v>3515</v>
      </c>
      <c r="Y177" s="19" t="s">
        <v>3725</v>
      </c>
      <c r="Z177" s="19" t="s">
        <v>3517</v>
      </c>
      <c r="AA177" s="19" t="s">
        <v>3703</v>
      </c>
      <c r="AB177" s="19" t="s">
        <v>3519</v>
      </c>
      <c r="AC177" s="19" t="s">
        <v>3520</v>
      </c>
      <c r="AD177" s="19" t="s">
        <v>3521</v>
      </c>
      <c r="AE177" s="19" t="s">
        <v>3522</v>
      </c>
      <c r="AF177" s="19" t="s">
        <v>3639</v>
      </c>
      <c r="AG177" s="19" t="s">
        <v>3524</v>
      </c>
      <c r="AH177" s="19" t="s">
        <v>3525</v>
      </c>
      <c r="AI177" s="19" t="s">
        <v>3749</v>
      </c>
      <c r="AJ177" s="19" t="s">
        <v>3527</v>
      </c>
      <c r="AK177" s="19" t="s">
        <v>3528</v>
      </c>
      <c r="AL177" s="19" t="s">
        <v>3885</v>
      </c>
      <c r="AM177" s="19" t="s">
        <v>3530</v>
      </c>
      <c r="AN177" s="19" t="s">
        <v>3531</v>
      </c>
      <c r="AO177" s="19" t="s">
        <v>3557</v>
      </c>
      <c r="AP177" s="19" t="s">
        <v>3533</v>
      </c>
      <c r="AQ177" s="19" t="s">
        <v>3534</v>
      </c>
      <c r="AR177" s="19" t="s">
        <v>3753</v>
      </c>
      <c r="AS177" s="19" t="s">
        <v>3536</v>
      </c>
      <c r="AT177" s="19" t="s">
        <v>3643</v>
      </c>
      <c r="AU177" s="19" t="s">
        <v>2802</v>
      </c>
      <c r="AV177" s="19" t="s">
        <v>3536</v>
      </c>
      <c r="AW177" s="19" t="s">
        <v>3558</v>
      </c>
      <c r="AX177" s="19" t="s">
        <v>3540</v>
      </c>
      <c r="AY177" s="19" t="s">
        <v>3570</v>
      </c>
      <c r="AZ177" s="19" t="s">
        <v>3542</v>
      </c>
      <c r="BA177" s="19" t="s">
        <v>3699</v>
      </c>
      <c r="BB177" s="19" t="s">
        <v>3544</v>
      </c>
      <c r="BC177" s="23"/>
    </row>
    <row r="178" ht="22.5" customHeight="1">
      <c r="A178" s="11">
        <v>46182.76727414352</v>
      </c>
      <c r="B178" s="12" t="s">
        <v>1844</v>
      </c>
      <c r="C178" s="13">
        <v>42.0</v>
      </c>
      <c r="D178" s="14" t="s">
        <v>4065</v>
      </c>
      <c r="E178" s="15">
        <f t="shared" si="1"/>
        <v>47</v>
      </c>
      <c r="F178" s="12" t="s">
        <v>4066</v>
      </c>
      <c r="G178" s="12" t="s">
        <v>1845</v>
      </c>
      <c r="H178" s="12" t="s">
        <v>1844</v>
      </c>
      <c r="I178" s="15">
        <v>9.37160628E9</v>
      </c>
      <c r="J178" s="12" t="s">
        <v>3547</v>
      </c>
      <c r="K178" s="12" t="s">
        <v>3504</v>
      </c>
      <c r="L178" s="12" t="s">
        <v>3556</v>
      </c>
      <c r="M178" s="16"/>
      <c r="N178" s="12" t="s">
        <v>3506</v>
      </c>
      <c r="O178" s="12" t="s">
        <v>3507</v>
      </c>
      <c r="P178" s="12" t="s">
        <v>3508</v>
      </c>
      <c r="Q178" s="16"/>
      <c r="R178" s="12" t="s">
        <v>3509</v>
      </c>
      <c r="S178" s="12" t="s">
        <v>3510</v>
      </c>
      <c r="T178" s="12" t="s">
        <v>3549</v>
      </c>
      <c r="U178" s="12" t="s">
        <v>3550</v>
      </c>
      <c r="V178" s="12" t="s">
        <v>3513</v>
      </c>
      <c r="W178" s="12" t="s">
        <v>3514</v>
      </c>
      <c r="X178" s="12" t="s">
        <v>3515</v>
      </c>
      <c r="Y178" s="12" t="s">
        <v>3516</v>
      </c>
      <c r="Z178" s="12" t="s">
        <v>3517</v>
      </c>
      <c r="AA178" s="12" t="s">
        <v>3518</v>
      </c>
      <c r="AB178" s="12" t="s">
        <v>3519</v>
      </c>
      <c r="AC178" s="12" t="s">
        <v>3520</v>
      </c>
      <c r="AD178" s="12" t="s">
        <v>3521</v>
      </c>
      <c r="AE178" s="12" t="s">
        <v>3522</v>
      </c>
      <c r="AF178" s="12" t="s">
        <v>3523</v>
      </c>
      <c r="AG178" s="12" t="s">
        <v>3524</v>
      </c>
      <c r="AH178" s="12" t="s">
        <v>3525</v>
      </c>
      <c r="AI178" s="12" t="s">
        <v>3526</v>
      </c>
      <c r="AJ178" s="12" t="s">
        <v>3527</v>
      </c>
      <c r="AK178" s="12" t="s">
        <v>3528</v>
      </c>
      <c r="AL178" s="12" t="s">
        <v>3529</v>
      </c>
      <c r="AM178" s="12" t="s">
        <v>3530</v>
      </c>
      <c r="AN178" s="12" t="s">
        <v>3531</v>
      </c>
      <c r="AO178" s="12" t="s">
        <v>3557</v>
      </c>
      <c r="AP178" s="12" t="s">
        <v>3533</v>
      </c>
      <c r="AQ178" s="12" t="s">
        <v>3534</v>
      </c>
      <c r="AR178" s="12" t="s">
        <v>3535</v>
      </c>
      <c r="AS178" s="12" t="s">
        <v>3536</v>
      </c>
      <c r="AT178" s="12" t="s">
        <v>3537</v>
      </c>
      <c r="AU178" s="12" t="s">
        <v>6</v>
      </c>
      <c r="AV178" s="12" t="s">
        <v>3538</v>
      </c>
      <c r="AW178" s="12" t="s">
        <v>3539</v>
      </c>
      <c r="AX178" s="12" t="s">
        <v>3540</v>
      </c>
      <c r="AY178" s="12" t="s">
        <v>3541</v>
      </c>
      <c r="AZ178" s="12" t="s">
        <v>3542</v>
      </c>
      <c r="BA178" s="12" t="s">
        <v>3543</v>
      </c>
      <c r="BB178" s="12" t="s">
        <v>3544</v>
      </c>
      <c r="BC178" s="17"/>
    </row>
    <row r="179" ht="22.5" customHeight="1">
      <c r="A179" s="18">
        <v>46182.772934594905</v>
      </c>
      <c r="B179" s="19" t="s">
        <v>1273</v>
      </c>
      <c r="C179" s="20">
        <v>35.0</v>
      </c>
      <c r="D179" s="21"/>
      <c r="E179" s="22">
        <f t="shared" si="1"/>
        <v>35</v>
      </c>
      <c r="F179" s="19" t="s">
        <v>4067</v>
      </c>
      <c r="G179" s="19" t="s">
        <v>4068</v>
      </c>
      <c r="H179" s="19" t="s">
        <v>1273</v>
      </c>
      <c r="I179" s="22">
        <v>9.426572784E9</v>
      </c>
      <c r="J179" s="19" t="s">
        <v>3547</v>
      </c>
      <c r="K179" s="19" t="s">
        <v>3504</v>
      </c>
      <c r="L179" s="19" t="s">
        <v>3556</v>
      </c>
      <c r="M179" s="21"/>
      <c r="N179" s="21"/>
      <c r="O179" s="19" t="s">
        <v>3507</v>
      </c>
      <c r="P179" s="19" t="s">
        <v>3508</v>
      </c>
      <c r="Q179" s="21"/>
      <c r="R179" s="19" t="s">
        <v>3509</v>
      </c>
      <c r="S179" s="19" t="s">
        <v>3510</v>
      </c>
      <c r="T179" s="19" t="s">
        <v>3511</v>
      </c>
      <c r="U179" s="21"/>
      <c r="V179" s="21"/>
      <c r="W179" s="19" t="s">
        <v>3514</v>
      </c>
      <c r="X179" s="19" t="s">
        <v>3515</v>
      </c>
      <c r="Y179" s="19" t="s">
        <v>3516</v>
      </c>
      <c r="Z179" s="19" t="s">
        <v>3517</v>
      </c>
      <c r="AA179" s="19" t="s">
        <v>3518</v>
      </c>
      <c r="AB179" s="19" t="s">
        <v>3519</v>
      </c>
      <c r="AC179" s="19" t="s">
        <v>3520</v>
      </c>
      <c r="AD179" s="19" t="s">
        <v>3521</v>
      </c>
      <c r="AE179" s="21"/>
      <c r="AF179" s="19" t="s">
        <v>3523</v>
      </c>
      <c r="AG179" s="19" t="s">
        <v>3524</v>
      </c>
      <c r="AH179" s="19" t="s">
        <v>3525</v>
      </c>
      <c r="AI179" s="19" t="s">
        <v>3526</v>
      </c>
      <c r="AJ179" s="19" t="s">
        <v>3527</v>
      </c>
      <c r="AK179" s="19" t="s">
        <v>3528</v>
      </c>
      <c r="AL179" s="19" t="s">
        <v>3529</v>
      </c>
      <c r="AM179" s="19" t="s">
        <v>3530</v>
      </c>
      <c r="AN179" s="19" t="s">
        <v>3531</v>
      </c>
      <c r="AO179" s="19" t="s">
        <v>3658</v>
      </c>
      <c r="AP179" s="19" t="s">
        <v>3533</v>
      </c>
      <c r="AQ179" s="19" t="s">
        <v>3534</v>
      </c>
      <c r="AR179" s="19" t="s">
        <v>3535</v>
      </c>
      <c r="AS179" s="19" t="s">
        <v>3538</v>
      </c>
      <c r="AT179" s="19" t="s">
        <v>3537</v>
      </c>
      <c r="AU179" s="19" t="s">
        <v>6</v>
      </c>
      <c r="AV179" s="19" t="s">
        <v>3538</v>
      </c>
      <c r="AW179" s="19" t="s">
        <v>3539</v>
      </c>
      <c r="AX179" s="19" t="s">
        <v>3540</v>
      </c>
      <c r="AY179" s="19" t="s">
        <v>3541</v>
      </c>
      <c r="AZ179" s="19" t="s">
        <v>3542</v>
      </c>
      <c r="BA179" s="19" t="s">
        <v>3543</v>
      </c>
      <c r="BB179" s="19" t="s">
        <v>3544</v>
      </c>
      <c r="BC179" s="23"/>
    </row>
    <row r="180" ht="22.5" customHeight="1">
      <c r="A180" s="11">
        <v>46182.77410086806</v>
      </c>
      <c r="B180" s="12" t="s">
        <v>1488</v>
      </c>
      <c r="C180" s="13">
        <v>39.0</v>
      </c>
      <c r="D180" s="14" t="s">
        <v>4069</v>
      </c>
      <c r="E180" s="15">
        <f t="shared" si="1"/>
        <v>44</v>
      </c>
      <c r="F180" s="12" t="s">
        <v>4070</v>
      </c>
      <c r="G180" s="12" t="s">
        <v>4071</v>
      </c>
      <c r="H180" s="12" t="s">
        <v>1488</v>
      </c>
      <c r="I180" s="15">
        <v>7.908212937E9</v>
      </c>
      <c r="J180" s="12" t="s">
        <v>3547</v>
      </c>
      <c r="K180" s="12" t="s">
        <v>3504</v>
      </c>
      <c r="L180" s="12" t="s">
        <v>3556</v>
      </c>
      <c r="M180" s="16"/>
      <c r="N180" s="12" t="s">
        <v>3506</v>
      </c>
      <c r="O180" s="12" t="s">
        <v>3507</v>
      </c>
      <c r="P180" s="12" t="s">
        <v>3508</v>
      </c>
      <c r="Q180" s="16"/>
      <c r="R180" s="12" t="s">
        <v>3509</v>
      </c>
      <c r="S180" s="12" t="s">
        <v>3510</v>
      </c>
      <c r="T180" s="12" t="s">
        <v>3511</v>
      </c>
      <c r="U180" s="12" t="s">
        <v>3550</v>
      </c>
      <c r="V180" s="12" t="s">
        <v>3513</v>
      </c>
      <c r="W180" s="12" t="s">
        <v>3587</v>
      </c>
      <c r="X180" s="12" t="s">
        <v>3515</v>
      </c>
      <c r="Y180" s="12" t="s">
        <v>3516</v>
      </c>
      <c r="Z180" s="12" t="s">
        <v>3517</v>
      </c>
      <c r="AA180" s="12" t="s">
        <v>3518</v>
      </c>
      <c r="AB180" s="12" t="s">
        <v>3519</v>
      </c>
      <c r="AC180" s="12" t="s">
        <v>3520</v>
      </c>
      <c r="AD180" s="12" t="s">
        <v>3521</v>
      </c>
      <c r="AE180" s="12" t="s">
        <v>3522</v>
      </c>
      <c r="AF180" s="12" t="s">
        <v>3523</v>
      </c>
      <c r="AG180" s="12" t="s">
        <v>3524</v>
      </c>
      <c r="AH180" s="12" t="s">
        <v>3525</v>
      </c>
      <c r="AI180" s="12" t="s">
        <v>3526</v>
      </c>
      <c r="AJ180" s="12" t="s">
        <v>3527</v>
      </c>
      <c r="AK180" s="12" t="s">
        <v>3528</v>
      </c>
      <c r="AL180" s="12" t="s">
        <v>3529</v>
      </c>
      <c r="AM180" s="12" t="s">
        <v>3530</v>
      </c>
      <c r="AN180" s="12" t="s">
        <v>3531</v>
      </c>
      <c r="AO180" s="12" t="s">
        <v>3557</v>
      </c>
      <c r="AP180" s="12" t="s">
        <v>3533</v>
      </c>
      <c r="AQ180" s="12" t="s">
        <v>3534</v>
      </c>
      <c r="AR180" s="12" t="s">
        <v>3535</v>
      </c>
      <c r="AS180" s="12" t="s">
        <v>3536</v>
      </c>
      <c r="AT180" s="12" t="s">
        <v>3562</v>
      </c>
      <c r="AU180" s="12" t="s">
        <v>6</v>
      </c>
      <c r="AV180" s="12" t="s">
        <v>3538</v>
      </c>
      <c r="AW180" s="12" t="s">
        <v>3539</v>
      </c>
      <c r="AX180" s="12" t="s">
        <v>3540</v>
      </c>
      <c r="AY180" s="12" t="s">
        <v>3541</v>
      </c>
      <c r="AZ180" s="12" t="s">
        <v>3542</v>
      </c>
      <c r="BA180" s="12" t="s">
        <v>3543</v>
      </c>
      <c r="BB180" s="12" t="s">
        <v>3544</v>
      </c>
      <c r="BC180" s="17"/>
    </row>
    <row r="181" ht="22.5" customHeight="1">
      <c r="A181" s="18">
        <v>46182.77457628472</v>
      </c>
      <c r="B181" s="19" t="s">
        <v>4072</v>
      </c>
      <c r="C181" s="20">
        <v>36.0</v>
      </c>
      <c r="D181" s="24" t="s">
        <v>4073</v>
      </c>
      <c r="E181" s="22">
        <f t="shared" si="1"/>
        <v>41</v>
      </c>
      <c r="F181" s="19" t="s">
        <v>4074</v>
      </c>
      <c r="G181" s="19" t="s">
        <v>4075</v>
      </c>
      <c r="H181" s="19" t="s">
        <v>2388</v>
      </c>
      <c r="I181" s="22">
        <v>9.604432631E9</v>
      </c>
      <c r="J181" s="19" t="s">
        <v>3503</v>
      </c>
      <c r="K181" s="19" t="s">
        <v>3504</v>
      </c>
      <c r="L181" s="19" t="s">
        <v>3556</v>
      </c>
      <c r="M181" s="21"/>
      <c r="N181" s="19" t="s">
        <v>3506</v>
      </c>
      <c r="O181" s="19" t="s">
        <v>3507</v>
      </c>
      <c r="P181" s="19" t="s">
        <v>3981</v>
      </c>
      <c r="Q181" s="21"/>
      <c r="R181" s="19" t="s">
        <v>3509</v>
      </c>
      <c r="S181" s="19" t="s">
        <v>3510</v>
      </c>
      <c r="T181" s="19" t="s">
        <v>3511</v>
      </c>
      <c r="U181" s="19" t="s">
        <v>3512</v>
      </c>
      <c r="V181" s="19" t="s">
        <v>3513</v>
      </c>
      <c r="W181" s="19" t="s">
        <v>3514</v>
      </c>
      <c r="X181" s="19" t="s">
        <v>3515</v>
      </c>
      <c r="Y181" s="19" t="s">
        <v>3516</v>
      </c>
      <c r="Z181" s="21"/>
      <c r="AA181" s="19" t="s">
        <v>3518</v>
      </c>
      <c r="AB181" s="19" t="s">
        <v>3519</v>
      </c>
      <c r="AC181" s="19" t="s">
        <v>3520</v>
      </c>
      <c r="AD181" s="19" t="s">
        <v>3521</v>
      </c>
      <c r="AE181" s="19" t="s">
        <v>3522</v>
      </c>
      <c r="AF181" s="19" t="s">
        <v>3523</v>
      </c>
      <c r="AG181" s="19" t="s">
        <v>3524</v>
      </c>
      <c r="AH181" s="19" t="s">
        <v>3525</v>
      </c>
      <c r="AI181" s="19" t="s">
        <v>3526</v>
      </c>
      <c r="AJ181" s="19" t="s">
        <v>3527</v>
      </c>
      <c r="AK181" s="19" t="s">
        <v>3528</v>
      </c>
      <c r="AL181" s="19" t="s">
        <v>3529</v>
      </c>
      <c r="AM181" s="19" t="s">
        <v>3530</v>
      </c>
      <c r="AN181" s="19" t="s">
        <v>3531</v>
      </c>
      <c r="AO181" s="19" t="s">
        <v>3557</v>
      </c>
      <c r="AP181" s="19" t="s">
        <v>3533</v>
      </c>
      <c r="AQ181" s="19" t="s">
        <v>3534</v>
      </c>
      <c r="AR181" s="19" t="s">
        <v>3535</v>
      </c>
      <c r="AS181" s="21"/>
      <c r="AT181" s="19" t="s">
        <v>3537</v>
      </c>
      <c r="AU181" s="19" t="s">
        <v>6</v>
      </c>
      <c r="AV181" s="19" t="s">
        <v>3538</v>
      </c>
      <c r="AW181" s="19" t="s">
        <v>3539</v>
      </c>
      <c r="AX181" s="19" t="s">
        <v>3540</v>
      </c>
      <c r="AY181" s="19" t="s">
        <v>3541</v>
      </c>
      <c r="AZ181" s="19" t="s">
        <v>3542</v>
      </c>
      <c r="BA181" s="19" t="s">
        <v>3543</v>
      </c>
      <c r="BB181" s="19" t="s">
        <v>3544</v>
      </c>
      <c r="BC181" s="23"/>
    </row>
    <row r="182" ht="22.5" customHeight="1">
      <c r="A182" s="11">
        <v>46182.778789178235</v>
      </c>
      <c r="B182" s="12" t="s">
        <v>3350</v>
      </c>
      <c r="C182" s="13">
        <v>23.0</v>
      </c>
      <c r="D182" s="16"/>
      <c r="E182" s="15">
        <f t="shared" si="1"/>
        <v>23</v>
      </c>
      <c r="F182" s="12" t="s">
        <v>4076</v>
      </c>
      <c r="G182" s="12" t="s">
        <v>3351</v>
      </c>
      <c r="H182" s="12" t="s">
        <v>3350</v>
      </c>
      <c r="I182" s="15">
        <v>7.696904849E9</v>
      </c>
      <c r="J182" s="12" t="s">
        <v>3547</v>
      </c>
      <c r="K182" s="12" t="s">
        <v>3504</v>
      </c>
      <c r="L182" s="12" t="s">
        <v>3556</v>
      </c>
      <c r="M182" s="16"/>
      <c r="N182" s="12" t="s">
        <v>3506</v>
      </c>
      <c r="O182" s="12" t="s">
        <v>3507</v>
      </c>
      <c r="P182" s="12" t="s">
        <v>3508</v>
      </c>
      <c r="Q182" s="16"/>
      <c r="R182" s="12" t="s">
        <v>3509</v>
      </c>
      <c r="S182" s="12" t="s">
        <v>3510</v>
      </c>
      <c r="T182" s="12" t="s">
        <v>3549</v>
      </c>
      <c r="U182" s="12" t="s">
        <v>3512</v>
      </c>
      <c r="V182" s="12" t="s">
        <v>3513</v>
      </c>
      <c r="W182" s="12" t="s">
        <v>3514</v>
      </c>
      <c r="X182" s="12" t="s">
        <v>3515</v>
      </c>
      <c r="Y182" s="12" t="s">
        <v>3516</v>
      </c>
      <c r="Z182" s="12" t="s">
        <v>3517</v>
      </c>
      <c r="AA182" s="12" t="s">
        <v>3518</v>
      </c>
      <c r="AB182" s="12" t="s">
        <v>3519</v>
      </c>
      <c r="AC182" s="12" t="s">
        <v>3520</v>
      </c>
      <c r="AD182" s="12" t="s">
        <v>3521</v>
      </c>
      <c r="AE182" s="12" t="s">
        <v>3522</v>
      </c>
      <c r="AF182" s="12" t="s">
        <v>3523</v>
      </c>
      <c r="AG182" s="12" t="s">
        <v>3524</v>
      </c>
      <c r="AH182" s="12" t="s">
        <v>3525</v>
      </c>
      <c r="AI182" s="12" t="s">
        <v>3526</v>
      </c>
      <c r="AJ182" s="12" t="s">
        <v>3527</v>
      </c>
      <c r="AK182" s="16"/>
      <c r="AL182" s="16"/>
      <c r="AM182" s="16"/>
      <c r="AN182" s="16"/>
      <c r="AO182" s="16"/>
      <c r="AP182" s="16"/>
      <c r="AQ182" s="16"/>
      <c r="AR182" s="16"/>
      <c r="AS182" s="16"/>
      <c r="AT182" s="16"/>
      <c r="AU182" s="16"/>
      <c r="AV182" s="16"/>
      <c r="AW182" s="16"/>
      <c r="AX182" s="16"/>
      <c r="AY182" s="16"/>
      <c r="AZ182" s="16"/>
      <c r="BA182" s="16"/>
      <c r="BB182" s="16"/>
      <c r="BC182" s="17"/>
    </row>
    <row r="183" ht="22.5" customHeight="1">
      <c r="A183" s="18">
        <v>46182.78350016204</v>
      </c>
      <c r="B183" s="19" t="s">
        <v>69</v>
      </c>
      <c r="C183" s="20">
        <v>34.0</v>
      </c>
      <c r="D183" s="24" t="s">
        <v>4077</v>
      </c>
      <c r="E183" s="22">
        <f t="shared" si="1"/>
        <v>39</v>
      </c>
      <c r="F183" s="19" t="s">
        <v>4078</v>
      </c>
      <c r="G183" s="19" t="s">
        <v>4079</v>
      </c>
      <c r="H183" s="19" t="s">
        <v>69</v>
      </c>
      <c r="I183" s="22">
        <v>8.867400191E9</v>
      </c>
      <c r="J183" s="19" t="s">
        <v>3503</v>
      </c>
      <c r="K183" s="19" t="s">
        <v>3504</v>
      </c>
      <c r="L183" s="19" t="s">
        <v>3556</v>
      </c>
      <c r="M183" s="21"/>
      <c r="N183" s="19" t="s">
        <v>3569</v>
      </c>
      <c r="O183" s="19" t="s">
        <v>3507</v>
      </c>
      <c r="P183" s="19" t="s">
        <v>3508</v>
      </c>
      <c r="Q183" s="21"/>
      <c r="R183" s="19" t="s">
        <v>3509</v>
      </c>
      <c r="S183" s="19" t="s">
        <v>3510</v>
      </c>
      <c r="T183" s="19" t="s">
        <v>3549</v>
      </c>
      <c r="U183" s="19" t="s">
        <v>3582</v>
      </c>
      <c r="V183" s="19" t="s">
        <v>3513</v>
      </c>
      <c r="W183" s="19" t="s">
        <v>3514</v>
      </c>
      <c r="X183" s="19" t="s">
        <v>3515</v>
      </c>
      <c r="Y183" s="19" t="s">
        <v>3725</v>
      </c>
      <c r="Z183" s="19" t="s">
        <v>3517</v>
      </c>
      <c r="AA183" s="19" t="s">
        <v>3518</v>
      </c>
      <c r="AB183" s="19" t="s">
        <v>3519</v>
      </c>
      <c r="AC183" s="19" t="s">
        <v>3520</v>
      </c>
      <c r="AD183" s="19" t="s">
        <v>3521</v>
      </c>
      <c r="AE183" s="19" t="s">
        <v>3522</v>
      </c>
      <c r="AF183" s="19" t="s">
        <v>3594</v>
      </c>
      <c r="AG183" s="19" t="s">
        <v>3524</v>
      </c>
      <c r="AH183" s="19" t="s">
        <v>3525</v>
      </c>
      <c r="AI183" s="19" t="s">
        <v>3526</v>
      </c>
      <c r="AJ183" s="19" t="s">
        <v>3527</v>
      </c>
      <c r="AK183" s="19" t="s">
        <v>3528</v>
      </c>
      <c r="AL183" s="19" t="s">
        <v>3529</v>
      </c>
      <c r="AM183" s="19" t="s">
        <v>3530</v>
      </c>
      <c r="AN183" s="19" t="s">
        <v>3531</v>
      </c>
      <c r="AO183" s="19" t="s">
        <v>3557</v>
      </c>
      <c r="AP183" s="19" t="s">
        <v>3533</v>
      </c>
      <c r="AQ183" s="19" t="s">
        <v>3534</v>
      </c>
      <c r="AR183" s="19" t="s">
        <v>3535</v>
      </c>
      <c r="AS183" s="19" t="s">
        <v>3536</v>
      </c>
      <c r="AT183" s="19" t="s">
        <v>3562</v>
      </c>
      <c r="AU183" s="19" t="s">
        <v>6</v>
      </c>
      <c r="AV183" s="19" t="s">
        <v>3538</v>
      </c>
      <c r="AW183" s="19" t="s">
        <v>3558</v>
      </c>
      <c r="AX183" s="19" t="s">
        <v>3774</v>
      </c>
      <c r="AY183" s="19" t="s">
        <v>3570</v>
      </c>
      <c r="AZ183" s="19" t="s">
        <v>3542</v>
      </c>
      <c r="BA183" s="19" t="s">
        <v>3543</v>
      </c>
      <c r="BB183" s="19" t="s">
        <v>3544</v>
      </c>
      <c r="BC183" s="23"/>
    </row>
    <row r="184" ht="22.5" customHeight="1">
      <c r="A184" s="11">
        <v>46182.78545971065</v>
      </c>
      <c r="B184" s="12" t="s">
        <v>1734</v>
      </c>
      <c r="C184" s="13">
        <v>41.0</v>
      </c>
      <c r="D184" s="14" t="s">
        <v>4080</v>
      </c>
      <c r="E184" s="15">
        <f t="shared" si="1"/>
        <v>46</v>
      </c>
      <c r="F184" s="12" t="s">
        <v>4081</v>
      </c>
      <c r="G184" s="12" t="s">
        <v>1735</v>
      </c>
      <c r="H184" s="12" t="s">
        <v>1734</v>
      </c>
      <c r="I184" s="15">
        <v>8.147213298E9</v>
      </c>
      <c r="J184" s="12" t="s">
        <v>3547</v>
      </c>
      <c r="K184" s="12" t="s">
        <v>3504</v>
      </c>
      <c r="L184" s="12" t="s">
        <v>3556</v>
      </c>
      <c r="M184" s="16"/>
      <c r="N184" s="12" t="s">
        <v>3506</v>
      </c>
      <c r="O184" s="12" t="s">
        <v>3507</v>
      </c>
      <c r="P184" s="12" t="s">
        <v>3508</v>
      </c>
      <c r="Q184" s="16"/>
      <c r="R184" s="12" t="s">
        <v>3509</v>
      </c>
      <c r="S184" s="12" t="s">
        <v>3510</v>
      </c>
      <c r="T184" s="12" t="s">
        <v>3511</v>
      </c>
      <c r="U184" s="12" t="s">
        <v>3550</v>
      </c>
      <c r="V184" s="12" t="s">
        <v>3513</v>
      </c>
      <c r="W184" s="12" t="s">
        <v>3514</v>
      </c>
      <c r="X184" s="12" t="s">
        <v>3515</v>
      </c>
      <c r="Y184" s="12" t="s">
        <v>3516</v>
      </c>
      <c r="Z184" s="12" t="s">
        <v>3517</v>
      </c>
      <c r="AA184" s="12" t="s">
        <v>3518</v>
      </c>
      <c r="AB184" s="12" t="s">
        <v>3519</v>
      </c>
      <c r="AC184" s="12" t="s">
        <v>3520</v>
      </c>
      <c r="AD184" s="12" t="s">
        <v>3521</v>
      </c>
      <c r="AE184" s="12" t="s">
        <v>3522</v>
      </c>
      <c r="AF184" s="12" t="s">
        <v>3523</v>
      </c>
      <c r="AG184" s="12" t="s">
        <v>3524</v>
      </c>
      <c r="AH184" s="12" t="s">
        <v>3525</v>
      </c>
      <c r="AI184" s="12" t="s">
        <v>3526</v>
      </c>
      <c r="AJ184" s="12" t="s">
        <v>3527</v>
      </c>
      <c r="AK184" s="12" t="s">
        <v>3528</v>
      </c>
      <c r="AL184" s="12" t="s">
        <v>3529</v>
      </c>
      <c r="AM184" s="12" t="s">
        <v>3530</v>
      </c>
      <c r="AN184" s="12" t="s">
        <v>3531</v>
      </c>
      <c r="AO184" s="12" t="s">
        <v>3557</v>
      </c>
      <c r="AP184" s="12" t="s">
        <v>3533</v>
      </c>
      <c r="AQ184" s="12" t="s">
        <v>3534</v>
      </c>
      <c r="AR184" s="12" t="s">
        <v>3535</v>
      </c>
      <c r="AS184" s="12" t="s">
        <v>3536</v>
      </c>
      <c r="AT184" s="12" t="s">
        <v>3537</v>
      </c>
      <c r="AU184" s="12" t="s">
        <v>6</v>
      </c>
      <c r="AV184" s="12" t="s">
        <v>3538</v>
      </c>
      <c r="AW184" s="12" t="s">
        <v>3539</v>
      </c>
      <c r="AX184" s="12" t="s">
        <v>3540</v>
      </c>
      <c r="AY184" s="12" t="s">
        <v>3541</v>
      </c>
      <c r="AZ184" s="12" t="s">
        <v>3542</v>
      </c>
      <c r="BA184" s="12" t="s">
        <v>3543</v>
      </c>
      <c r="BB184" s="12" t="s">
        <v>3544</v>
      </c>
      <c r="BC184" s="17"/>
    </row>
    <row r="185" ht="22.5" customHeight="1">
      <c r="A185" s="18">
        <v>46182.79063505787</v>
      </c>
      <c r="B185" s="19" t="s">
        <v>2682</v>
      </c>
      <c r="C185" s="20">
        <v>39.0</v>
      </c>
      <c r="D185" s="24" t="s">
        <v>3828</v>
      </c>
      <c r="E185" s="22">
        <f t="shared" si="1"/>
        <v>44</v>
      </c>
      <c r="F185" s="19" t="s">
        <v>4082</v>
      </c>
      <c r="G185" s="19" t="s">
        <v>4083</v>
      </c>
      <c r="H185" s="19" t="s">
        <v>2682</v>
      </c>
      <c r="I185" s="22">
        <v>7.306196956E9</v>
      </c>
      <c r="J185" s="19" t="s">
        <v>3547</v>
      </c>
      <c r="K185" s="19" t="s">
        <v>3504</v>
      </c>
      <c r="L185" s="19" t="s">
        <v>3556</v>
      </c>
      <c r="M185" s="21"/>
      <c r="N185" s="19" t="s">
        <v>3506</v>
      </c>
      <c r="O185" s="19" t="s">
        <v>3507</v>
      </c>
      <c r="P185" s="19" t="s">
        <v>3508</v>
      </c>
      <c r="Q185" s="21"/>
      <c r="R185" s="19" t="s">
        <v>3509</v>
      </c>
      <c r="S185" s="19" t="s">
        <v>3510</v>
      </c>
      <c r="T185" s="19" t="s">
        <v>3511</v>
      </c>
      <c r="U185" s="19" t="s">
        <v>3512</v>
      </c>
      <c r="V185" s="19" t="s">
        <v>3593</v>
      </c>
      <c r="W185" s="19" t="s">
        <v>3514</v>
      </c>
      <c r="X185" s="19" t="s">
        <v>3515</v>
      </c>
      <c r="Y185" s="19" t="s">
        <v>3516</v>
      </c>
      <c r="Z185" s="19" t="s">
        <v>3517</v>
      </c>
      <c r="AA185" s="19" t="s">
        <v>3518</v>
      </c>
      <c r="AB185" s="19" t="s">
        <v>3519</v>
      </c>
      <c r="AC185" s="19" t="s">
        <v>3520</v>
      </c>
      <c r="AD185" s="19" t="s">
        <v>3521</v>
      </c>
      <c r="AE185" s="19" t="s">
        <v>3522</v>
      </c>
      <c r="AF185" s="19" t="s">
        <v>3523</v>
      </c>
      <c r="AG185" s="19" t="s">
        <v>3524</v>
      </c>
      <c r="AH185" s="19" t="s">
        <v>3525</v>
      </c>
      <c r="AI185" s="19" t="s">
        <v>3526</v>
      </c>
      <c r="AJ185" s="19" t="s">
        <v>3527</v>
      </c>
      <c r="AK185" s="19" t="s">
        <v>3528</v>
      </c>
      <c r="AL185" s="19" t="s">
        <v>3529</v>
      </c>
      <c r="AM185" s="19" t="s">
        <v>3530</v>
      </c>
      <c r="AN185" s="19" t="s">
        <v>3531</v>
      </c>
      <c r="AO185" s="19" t="s">
        <v>3557</v>
      </c>
      <c r="AP185" s="19" t="s">
        <v>3533</v>
      </c>
      <c r="AQ185" s="19" t="s">
        <v>3534</v>
      </c>
      <c r="AR185" s="19" t="s">
        <v>3535</v>
      </c>
      <c r="AS185" s="19" t="s">
        <v>3536</v>
      </c>
      <c r="AT185" s="19" t="s">
        <v>3537</v>
      </c>
      <c r="AU185" s="19" t="s">
        <v>6</v>
      </c>
      <c r="AV185" s="19" t="s">
        <v>3538</v>
      </c>
      <c r="AW185" s="19" t="s">
        <v>3539</v>
      </c>
      <c r="AX185" s="19" t="s">
        <v>3540</v>
      </c>
      <c r="AY185" s="19" t="s">
        <v>3541</v>
      </c>
      <c r="AZ185" s="19" t="s">
        <v>3542</v>
      </c>
      <c r="BA185" s="19" t="s">
        <v>3543</v>
      </c>
      <c r="BB185" s="19" t="s">
        <v>3544</v>
      </c>
      <c r="BC185" s="23"/>
    </row>
    <row r="186" ht="22.5" customHeight="1">
      <c r="A186" s="11">
        <v>46182.79217854167</v>
      </c>
      <c r="B186" s="12" t="s">
        <v>1097</v>
      </c>
      <c r="C186" s="13">
        <v>35.0</v>
      </c>
      <c r="D186" s="14" t="s">
        <v>4084</v>
      </c>
      <c r="E186" s="15">
        <f t="shared" si="1"/>
        <v>40</v>
      </c>
      <c r="F186" s="12" t="s">
        <v>4085</v>
      </c>
      <c r="G186" s="12" t="s">
        <v>4086</v>
      </c>
      <c r="H186" s="12" t="s">
        <v>1097</v>
      </c>
      <c r="I186" s="15">
        <v>7.506180076E9</v>
      </c>
      <c r="J186" s="12" t="s">
        <v>3547</v>
      </c>
      <c r="K186" s="12" t="s">
        <v>3504</v>
      </c>
      <c r="L186" s="12" t="s">
        <v>3612</v>
      </c>
      <c r="M186" s="16"/>
      <c r="N186" s="12" t="s">
        <v>3506</v>
      </c>
      <c r="O186" s="12" t="s">
        <v>3614</v>
      </c>
      <c r="P186" s="12" t="s">
        <v>3508</v>
      </c>
      <c r="Q186" s="16"/>
      <c r="R186" s="12" t="s">
        <v>3509</v>
      </c>
      <c r="S186" s="12" t="s">
        <v>3510</v>
      </c>
      <c r="T186" s="12" t="s">
        <v>3549</v>
      </c>
      <c r="U186" s="12" t="s">
        <v>3550</v>
      </c>
      <c r="V186" s="12" t="s">
        <v>3513</v>
      </c>
      <c r="W186" s="12" t="s">
        <v>3587</v>
      </c>
      <c r="X186" s="12" t="s">
        <v>3588</v>
      </c>
      <c r="Y186" s="12" t="s">
        <v>3516</v>
      </c>
      <c r="Z186" s="12" t="s">
        <v>3517</v>
      </c>
      <c r="AA186" s="12" t="s">
        <v>3518</v>
      </c>
      <c r="AB186" s="12" t="s">
        <v>3519</v>
      </c>
      <c r="AC186" s="12" t="s">
        <v>3520</v>
      </c>
      <c r="AD186" s="12" t="s">
        <v>3521</v>
      </c>
      <c r="AE186" s="12" t="s">
        <v>3704</v>
      </c>
      <c r="AF186" s="12" t="s">
        <v>3523</v>
      </c>
      <c r="AG186" s="12" t="s">
        <v>3524</v>
      </c>
      <c r="AH186" s="12" t="s">
        <v>3525</v>
      </c>
      <c r="AI186" s="12" t="s">
        <v>3526</v>
      </c>
      <c r="AJ186" s="12" t="s">
        <v>3527</v>
      </c>
      <c r="AK186" s="12" t="s">
        <v>3528</v>
      </c>
      <c r="AL186" s="12" t="s">
        <v>3529</v>
      </c>
      <c r="AM186" s="12" t="s">
        <v>3530</v>
      </c>
      <c r="AN186" s="12" t="s">
        <v>3531</v>
      </c>
      <c r="AO186" s="12" t="s">
        <v>3557</v>
      </c>
      <c r="AP186" s="12" t="s">
        <v>3533</v>
      </c>
      <c r="AQ186" s="12" t="s">
        <v>3534</v>
      </c>
      <c r="AR186" s="12" t="s">
        <v>3535</v>
      </c>
      <c r="AS186" s="12" t="s">
        <v>3536</v>
      </c>
      <c r="AT186" s="12" t="s">
        <v>3562</v>
      </c>
      <c r="AU186" s="12" t="s">
        <v>6</v>
      </c>
      <c r="AV186" s="12" t="s">
        <v>3538</v>
      </c>
      <c r="AW186" s="12" t="s">
        <v>3558</v>
      </c>
      <c r="AX186" s="12" t="s">
        <v>3540</v>
      </c>
      <c r="AY186" s="12" t="s">
        <v>3541</v>
      </c>
      <c r="AZ186" s="12" t="s">
        <v>3542</v>
      </c>
      <c r="BA186" s="12" t="s">
        <v>3543</v>
      </c>
      <c r="BB186" s="12" t="s">
        <v>3544</v>
      </c>
      <c r="BC186" s="17"/>
    </row>
    <row r="187" ht="22.5" customHeight="1">
      <c r="A187" s="18">
        <v>46182.79493659722</v>
      </c>
      <c r="B187" s="19" t="s">
        <v>2399</v>
      </c>
      <c r="C187" s="20">
        <v>23.0</v>
      </c>
      <c r="D187" s="24" t="s">
        <v>4087</v>
      </c>
      <c r="E187" s="22">
        <f t="shared" si="1"/>
        <v>28</v>
      </c>
      <c r="F187" s="19" t="s">
        <v>4088</v>
      </c>
      <c r="G187" s="19" t="s">
        <v>4089</v>
      </c>
      <c r="H187" s="19" t="s">
        <v>4090</v>
      </c>
      <c r="I187" s="22">
        <v>8.375929719E9</v>
      </c>
      <c r="J187" s="19" t="s">
        <v>3547</v>
      </c>
      <c r="K187" s="19" t="s">
        <v>3504</v>
      </c>
      <c r="L187" s="19" t="s">
        <v>3505</v>
      </c>
      <c r="M187" s="21"/>
      <c r="N187" s="19" t="s">
        <v>3506</v>
      </c>
      <c r="O187" s="19" t="s">
        <v>3779</v>
      </c>
      <c r="P187" s="19" t="s">
        <v>3981</v>
      </c>
      <c r="Q187" s="21"/>
      <c r="R187" s="19" t="s">
        <v>3574</v>
      </c>
      <c r="S187" s="19" t="s">
        <v>3510</v>
      </c>
      <c r="T187" s="19" t="s">
        <v>3549</v>
      </c>
      <c r="U187" s="19" t="s">
        <v>3550</v>
      </c>
      <c r="V187" s="19" t="s">
        <v>3513</v>
      </c>
      <c r="W187" s="19" t="s">
        <v>3514</v>
      </c>
      <c r="X187" s="19" t="s">
        <v>3515</v>
      </c>
      <c r="Y187" s="19" t="s">
        <v>3516</v>
      </c>
      <c r="Z187" s="19" t="s">
        <v>3517</v>
      </c>
      <c r="AA187" s="19" t="s">
        <v>3518</v>
      </c>
      <c r="AB187" s="19" t="s">
        <v>3519</v>
      </c>
      <c r="AC187" s="19" t="s">
        <v>3520</v>
      </c>
      <c r="AD187" s="19" t="s">
        <v>3521</v>
      </c>
      <c r="AE187" s="19" t="s">
        <v>3704</v>
      </c>
      <c r="AF187" s="19" t="s">
        <v>3681</v>
      </c>
      <c r="AG187" s="19" t="s">
        <v>3589</v>
      </c>
      <c r="AH187" s="19" t="s">
        <v>3525</v>
      </c>
      <c r="AI187" s="19" t="s">
        <v>3526</v>
      </c>
      <c r="AJ187" s="19" t="s">
        <v>4091</v>
      </c>
      <c r="AK187" s="19" t="s">
        <v>3528</v>
      </c>
      <c r="AL187" s="19" t="s">
        <v>3590</v>
      </c>
      <c r="AM187" s="19" t="s">
        <v>3698</v>
      </c>
      <c r="AN187" s="19" t="s">
        <v>3751</v>
      </c>
      <c r="AO187" s="19" t="s">
        <v>3557</v>
      </c>
      <c r="AP187" s="19" t="s">
        <v>3577</v>
      </c>
      <c r="AQ187" s="19" t="s">
        <v>3534</v>
      </c>
      <c r="AR187" s="19" t="s">
        <v>3535</v>
      </c>
      <c r="AS187" s="19" t="s">
        <v>6</v>
      </c>
      <c r="AT187" s="19" t="s">
        <v>3562</v>
      </c>
      <c r="AU187" s="22">
        <v>2.0</v>
      </c>
      <c r="AV187" s="19" t="s">
        <v>3538</v>
      </c>
      <c r="AW187" s="19" t="s">
        <v>3558</v>
      </c>
      <c r="AX187" s="21"/>
      <c r="AY187" s="19" t="s">
        <v>3570</v>
      </c>
      <c r="AZ187" s="19" t="s">
        <v>3542</v>
      </c>
      <c r="BA187" s="19" t="s">
        <v>3699</v>
      </c>
      <c r="BB187" s="19" t="s">
        <v>3544</v>
      </c>
      <c r="BC187" s="23"/>
    </row>
    <row r="188" ht="22.5" customHeight="1">
      <c r="A188" s="11">
        <v>46182.80316606481</v>
      </c>
      <c r="B188" s="12" t="s">
        <v>4092</v>
      </c>
      <c r="C188" s="13">
        <v>37.0</v>
      </c>
      <c r="D188" s="14" t="s">
        <v>4093</v>
      </c>
      <c r="E188" s="15">
        <f t="shared" si="1"/>
        <v>42</v>
      </c>
      <c r="F188" s="12" t="s">
        <v>4094</v>
      </c>
      <c r="G188" s="12" t="s">
        <v>4095</v>
      </c>
      <c r="H188" s="12" t="s">
        <v>141</v>
      </c>
      <c r="I188" s="15">
        <v>9.46991882E9</v>
      </c>
      <c r="J188" s="12" t="s">
        <v>3547</v>
      </c>
      <c r="K188" s="12" t="s">
        <v>3504</v>
      </c>
      <c r="L188" s="12" t="s">
        <v>3556</v>
      </c>
      <c r="M188" s="16"/>
      <c r="N188" s="12" t="s">
        <v>3506</v>
      </c>
      <c r="O188" s="12" t="s">
        <v>3507</v>
      </c>
      <c r="P188" s="12" t="s">
        <v>3508</v>
      </c>
      <c r="Q188" s="16"/>
      <c r="R188" s="12" t="s">
        <v>3509</v>
      </c>
      <c r="S188" s="12" t="s">
        <v>3723</v>
      </c>
      <c r="T188" s="12" t="s">
        <v>3511</v>
      </c>
      <c r="U188" s="12" t="s">
        <v>3550</v>
      </c>
      <c r="V188" s="12" t="s">
        <v>3513</v>
      </c>
      <c r="W188" s="12" t="s">
        <v>3514</v>
      </c>
      <c r="X188" s="12" t="s">
        <v>3740</v>
      </c>
      <c r="Y188" s="12" t="s">
        <v>3516</v>
      </c>
      <c r="Z188" s="12" t="s">
        <v>3517</v>
      </c>
      <c r="AA188" s="12" t="s">
        <v>3518</v>
      </c>
      <c r="AB188" s="12" t="s">
        <v>3519</v>
      </c>
      <c r="AC188" s="12" t="s">
        <v>3520</v>
      </c>
      <c r="AD188" s="12" t="s">
        <v>3521</v>
      </c>
      <c r="AE188" s="12" t="s">
        <v>3522</v>
      </c>
      <c r="AF188" s="12" t="s">
        <v>3523</v>
      </c>
      <c r="AG188" s="12" t="s">
        <v>3524</v>
      </c>
      <c r="AH188" s="12" t="s">
        <v>3525</v>
      </c>
      <c r="AI188" s="12" t="s">
        <v>3526</v>
      </c>
      <c r="AJ188" s="12" t="s">
        <v>3527</v>
      </c>
      <c r="AK188" s="12" t="s">
        <v>3528</v>
      </c>
      <c r="AL188" s="12" t="s">
        <v>3860</v>
      </c>
      <c r="AM188" s="12" t="s">
        <v>3530</v>
      </c>
      <c r="AN188" s="12" t="s">
        <v>3531</v>
      </c>
      <c r="AO188" s="12" t="s">
        <v>3557</v>
      </c>
      <c r="AP188" s="12" t="s">
        <v>3533</v>
      </c>
      <c r="AQ188" s="12" t="s">
        <v>3534</v>
      </c>
      <c r="AR188" s="12" t="s">
        <v>3535</v>
      </c>
      <c r="AS188" s="12" t="s">
        <v>3536</v>
      </c>
      <c r="AT188" s="12" t="s">
        <v>3537</v>
      </c>
      <c r="AU188" s="12" t="s">
        <v>6</v>
      </c>
      <c r="AV188" s="12" t="s">
        <v>3538</v>
      </c>
      <c r="AW188" s="12" t="s">
        <v>3539</v>
      </c>
      <c r="AX188" s="12" t="s">
        <v>3540</v>
      </c>
      <c r="AY188" s="12" t="s">
        <v>3541</v>
      </c>
      <c r="AZ188" s="12" t="s">
        <v>3542</v>
      </c>
      <c r="BA188" s="12" t="s">
        <v>3543</v>
      </c>
      <c r="BB188" s="12" t="s">
        <v>3832</v>
      </c>
      <c r="BC188" s="17"/>
    </row>
    <row r="189" ht="22.5" customHeight="1">
      <c r="A189" s="18">
        <v>46182.813115578705</v>
      </c>
      <c r="B189" s="19" t="s">
        <v>1455</v>
      </c>
      <c r="C189" s="20">
        <v>28.0</v>
      </c>
      <c r="D189" s="24" t="s">
        <v>4096</v>
      </c>
      <c r="E189" s="22">
        <f t="shared" si="1"/>
        <v>33</v>
      </c>
      <c r="F189" s="19" t="s">
        <v>4097</v>
      </c>
      <c r="G189" s="19" t="s">
        <v>1456</v>
      </c>
      <c r="H189" s="19" t="s">
        <v>1455</v>
      </c>
      <c r="I189" s="22">
        <v>9.179840616E9</v>
      </c>
      <c r="J189" s="19" t="s">
        <v>3503</v>
      </c>
      <c r="K189" s="19" t="s">
        <v>3504</v>
      </c>
      <c r="L189" s="19" t="s">
        <v>3505</v>
      </c>
      <c r="M189" s="21"/>
      <c r="N189" s="19" t="s">
        <v>3506</v>
      </c>
      <c r="O189" s="19" t="s">
        <v>3507</v>
      </c>
      <c r="P189" s="19" t="s">
        <v>3508</v>
      </c>
      <c r="Q189" s="21"/>
      <c r="R189" s="19" t="s">
        <v>3509</v>
      </c>
      <c r="S189" s="19" t="s">
        <v>3781</v>
      </c>
      <c r="T189" s="19" t="s">
        <v>3549</v>
      </c>
      <c r="U189" s="19" t="s">
        <v>3550</v>
      </c>
      <c r="V189" s="19" t="s">
        <v>3513</v>
      </c>
      <c r="W189" s="19" t="s">
        <v>3587</v>
      </c>
      <c r="X189" s="19" t="s">
        <v>3515</v>
      </c>
      <c r="Y189" s="19" t="s">
        <v>3516</v>
      </c>
      <c r="Z189" s="19" t="s">
        <v>3517</v>
      </c>
      <c r="AA189" s="19" t="s">
        <v>3518</v>
      </c>
      <c r="AB189" s="19" t="s">
        <v>3519</v>
      </c>
      <c r="AC189" s="19" t="s">
        <v>3638</v>
      </c>
      <c r="AD189" s="19" t="s">
        <v>3521</v>
      </c>
      <c r="AE189" s="19" t="s">
        <v>3704</v>
      </c>
      <c r="AF189" s="19" t="s">
        <v>3681</v>
      </c>
      <c r="AG189" s="19" t="s">
        <v>3589</v>
      </c>
      <c r="AH189" s="19" t="s">
        <v>3525</v>
      </c>
      <c r="AI189" s="19" t="s">
        <v>3526</v>
      </c>
      <c r="AJ189" s="19" t="s">
        <v>3527</v>
      </c>
      <c r="AK189" s="19" t="s">
        <v>3528</v>
      </c>
      <c r="AL189" s="19" t="s">
        <v>3860</v>
      </c>
      <c r="AM189" s="19" t="s">
        <v>3530</v>
      </c>
      <c r="AN189" s="19" t="s">
        <v>3531</v>
      </c>
      <c r="AO189" s="19" t="s">
        <v>3551</v>
      </c>
      <c r="AP189" s="19" t="s">
        <v>3533</v>
      </c>
      <c r="AQ189" s="19" t="s">
        <v>3534</v>
      </c>
      <c r="AR189" s="19" t="s">
        <v>2802</v>
      </c>
      <c r="AS189" s="19" t="s">
        <v>3536</v>
      </c>
      <c r="AT189" s="19" t="s">
        <v>3562</v>
      </c>
      <c r="AU189" s="22">
        <v>2.0</v>
      </c>
      <c r="AV189" s="19" t="s">
        <v>3538</v>
      </c>
      <c r="AW189" s="19" t="s">
        <v>3539</v>
      </c>
      <c r="AX189" s="19" t="s">
        <v>3540</v>
      </c>
      <c r="AY189" s="19" t="s">
        <v>3541</v>
      </c>
      <c r="AZ189" s="19" t="s">
        <v>3542</v>
      </c>
      <c r="BA189" s="19" t="s">
        <v>3579</v>
      </c>
      <c r="BB189" s="19" t="s">
        <v>3544</v>
      </c>
      <c r="BC189" s="23"/>
    </row>
    <row r="190" ht="22.5" customHeight="1">
      <c r="A190" s="11">
        <v>46182.828157048614</v>
      </c>
      <c r="B190" s="12" t="s">
        <v>1263</v>
      </c>
      <c r="C190" s="13">
        <v>33.0</v>
      </c>
      <c r="D190" s="14" t="s">
        <v>4098</v>
      </c>
      <c r="E190" s="15">
        <f t="shared" si="1"/>
        <v>38</v>
      </c>
      <c r="F190" s="12" t="s">
        <v>4099</v>
      </c>
      <c r="G190" s="12" t="s">
        <v>4100</v>
      </c>
      <c r="H190" s="12" t="s">
        <v>1263</v>
      </c>
      <c r="I190" s="15">
        <v>8.807821768E9</v>
      </c>
      <c r="J190" s="12" t="s">
        <v>3547</v>
      </c>
      <c r="K190" s="12" t="s">
        <v>3791</v>
      </c>
      <c r="L190" s="12" t="s">
        <v>3505</v>
      </c>
      <c r="M190" s="16"/>
      <c r="N190" s="12" t="s">
        <v>3506</v>
      </c>
      <c r="O190" s="12" t="s">
        <v>3507</v>
      </c>
      <c r="P190" s="12" t="s">
        <v>3508</v>
      </c>
      <c r="Q190" s="16"/>
      <c r="R190" s="12" t="s">
        <v>3509</v>
      </c>
      <c r="S190" s="12" t="s">
        <v>3510</v>
      </c>
      <c r="T190" s="12" t="s">
        <v>3549</v>
      </c>
      <c r="U190" s="12" t="s">
        <v>3512</v>
      </c>
      <c r="V190" s="12" t="s">
        <v>3513</v>
      </c>
      <c r="W190" s="12" t="s">
        <v>3514</v>
      </c>
      <c r="X190" s="12" t="s">
        <v>3740</v>
      </c>
      <c r="Y190" s="12" t="s">
        <v>3576</v>
      </c>
      <c r="Z190" s="12" t="s">
        <v>3517</v>
      </c>
      <c r="AA190" s="12" t="s">
        <v>3518</v>
      </c>
      <c r="AB190" s="12" t="s">
        <v>3519</v>
      </c>
      <c r="AC190" s="12" t="s">
        <v>3520</v>
      </c>
      <c r="AD190" s="12" t="s">
        <v>3521</v>
      </c>
      <c r="AE190" s="12" t="s">
        <v>3704</v>
      </c>
      <c r="AF190" s="12" t="s">
        <v>3639</v>
      </c>
      <c r="AG190" s="12" t="s">
        <v>3589</v>
      </c>
      <c r="AH190" s="12" t="s">
        <v>3525</v>
      </c>
      <c r="AI190" s="12" t="s">
        <v>3526</v>
      </c>
      <c r="AJ190" s="12" t="s">
        <v>3527</v>
      </c>
      <c r="AK190" s="12" t="s">
        <v>3528</v>
      </c>
      <c r="AL190" s="12" t="s">
        <v>3529</v>
      </c>
      <c r="AM190" s="12" t="s">
        <v>3530</v>
      </c>
      <c r="AN190" s="12" t="s">
        <v>3531</v>
      </c>
      <c r="AO190" s="12" t="s">
        <v>3557</v>
      </c>
      <c r="AP190" s="12" t="s">
        <v>3533</v>
      </c>
      <c r="AQ190" s="12" t="s">
        <v>3534</v>
      </c>
      <c r="AR190" s="12" t="s">
        <v>3535</v>
      </c>
      <c r="AS190" s="12" t="s">
        <v>3536</v>
      </c>
      <c r="AT190" s="12" t="s">
        <v>3537</v>
      </c>
      <c r="AU190" s="12" t="s">
        <v>6</v>
      </c>
      <c r="AV190" s="12" t="s">
        <v>3538</v>
      </c>
      <c r="AW190" s="12" t="s">
        <v>3539</v>
      </c>
      <c r="AX190" s="12" t="s">
        <v>3540</v>
      </c>
      <c r="AY190" s="12" t="s">
        <v>3570</v>
      </c>
      <c r="AZ190" s="12" t="s">
        <v>3542</v>
      </c>
      <c r="BA190" s="12" t="s">
        <v>3579</v>
      </c>
      <c r="BB190" s="12" t="s">
        <v>3544</v>
      </c>
      <c r="BC190" s="17"/>
    </row>
    <row r="191" ht="22.5" customHeight="1">
      <c r="A191" s="18">
        <v>46182.835753113424</v>
      </c>
      <c r="B191" s="19" t="s">
        <v>3216</v>
      </c>
      <c r="C191" s="20">
        <v>31.0</v>
      </c>
      <c r="D191" s="21"/>
      <c r="E191" s="22">
        <f t="shared" si="1"/>
        <v>31</v>
      </c>
      <c r="F191" s="19" t="s">
        <v>4101</v>
      </c>
      <c r="G191" s="19" t="s">
        <v>3217</v>
      </c>
      <c r="H191" s="19" t="s">
        <v>3216</v>
      </c>
      <c r="I191" s="22">
        <v>9.498314311E9</v>
      </c>
      <c r="J191" s="19" t="s">
        <v>3503</v>
      </c>
      <c r="K191" s="19" t="s">
        <v>3504</v>
      </c>
      <c r="L191" s="19" t="s">
        <v>3556</v>
      </c>
      <c r="M191" s="21"/>
      <c r="N191" s="19" t="s">
        <v>3506</v>
      </c>
      <c r="O191" s="19" t="s">
        <v>3507</v>
      </c>
      <c r="P191" s="19" t="s">
        <v>3508</v>
      </c>
      <c r="Q191" s="21"/>
      <c r="R191" s="19" t="s">
        <v>3509</v>
      </c>
      <c r="S191" s="19" t="s">
        <v>3723</v>
      </c>
      <c r="T191" s="19" t="s">
        <v>3549</v>
      </c>
      <c r="U191" s="19" t="s">
        <v>3550</v>
      </c>
      <c r="V191" s="19" t="s">
        <v>3593</v>
      </c>
      <c r="W191" s="19" t="s">
        <v>3587</v>
      </c>
      <c r="X191" s="19" t="s">
        <v>3740</v>
      </c>
      <c r="Y191" s="19" t="s">
        <v>3725</v>
      </c>
      <c r="Z191" s="21"/>
      <c r="AA191" s="19" t="s">
        <v>3703</v>
      </c>
      <c r="AB191" s="19" t="s">
        <v>3519</v>
      </c>
      <c r="AC191" s="19" t="s">
        <v>3520</v>
      </c>
      <c r="AD191" s="19" t="s">
        <v>3521</v>
      </c>
      <c r="AE191" s="19" t="s">
        <v>3522</v>
      </c>
      <c r="AF191" s="19" t="s">
        <v>3523</v>
      </c>
      <c r="AG191" s="19" t="s">
        <v>3524</v>
      </c>
      <c r="AH191" s="19" t="s">
        <v>3525</v>
      </c>
      <c r="AI191" s="19" t="s">
        <v>3526</v>
      </c>
      <c r="AJ191" s="19" t="s">
        <v>3527</v>
      </c>
      <c r="AK191" s="19" t="s">
        <v>3528</v>
      </c>
      <c r="AL191" s="19" t="s">
        <v>3529</v>
      </c>
      <c r="AM191" s="19" t="s">
        <v>3530</v>
      </c>
      <c r="AN191" s="21"/>
      <c r="AO191" s="19" t="s">
        <v>3557</v>
      </c>
      <c r="AP191" s="19" t="s">
        <v>3533</v>
      </c>
      <c r="AQ191" s="19" t="s">
        <v>3534</v>
      </c>
      <c r="AR191" s="19" t="s">
        <v>3535</v>
      </c>
      <c r="AS191" s="19" t="s">
        <v>3536</v>
      </c>
      <c r="AT191" s="19" t="s">
        <v>3537</v>
      </c>
      <c r="AU191" s="19" t="s">
        <v>6</v>
      </c>
      <c r="AV191" s="19" t="s">
        <v>3538</v>
      </c>
      <c r="AW191" s="19" t="s">
        <v>3558</v>
      </c>
      <c r="AX191" s="19" t="s">
        <v>3694</v>
      </c>
      <c r="AY191" s="19" t="s">
        <v>3570</v>
      </c>
      <c r="AZ191" s="19" t="s">
        <v>3542</v>
      </c>
      <c r="BA191" s="19" t="s">
        <v>3543</v>
      </c>
      <c r="BB191" s="19" t="s">
        <v>3544</v>
      </c>
      <c r="BC191" s="23"/>
    </row>
    <row r="192" ht="22.5" customHeight="1">
      <c r="A192" s="11">
        <v>46182.84157052083</v>
      </c>
      <c r="B192" s="12" t="s">
        <v>4102</v>
      </c>
      <c r="C192" s="13">
        <v>39.0</v>
      </c>
      <c r="D192" s="14" t="s">
        <v>4103</v>
      </c>
      <c r="E192" s="15">
        <f t="shared" si="1"/>
        <v>44</v>
      </c>
      <c r="F192" s="12" t="s">
        <v>4104</v>
      </c>
      <c r="G192" s="12" t="s">
        <v>150</v>
      </c>
      <c r="H192" s="12" t="s">
        <v>149</v>
      </c>
      <c r="I192" s="15">
        <v>9.063701484E9</v>
      </c>
      <c r="J192" s="12" t="s">
        <v>3503</v>
      </c>
      <c r="K192" s="12" t="s">
        <v>3504</v>
      </c>
      <c r="L192" s="12" t="s">
        <v>3556</v>
      </c>
      <c r="M192" s="16"/>
      <c r="N192" s="12" t="s">
        <v>3569</v>
      </c>
      <c r="O192" s="12" t="s">
        <v>3507</v>
      </c>
      <c r="P192" s="12" t="s">
        <v>3508</v>
      </c>
      <c r="Q192" s="16"/>
      <c r="R192" s="12" t="s">
        <v>3509</v>
      </c>
      <c r="S192" s="12" t="s">
        <v>3510</v>
      </c>
      <c r="T192" s="12" t="s">
        <v>3549</v>
      </c>
      <c r="U192" s="12" t="s">
        <v>3550</v>
      </c>
      <c r="V192" s="12" t="s">
        <v>3513</v>
      </c>
      <c r="W192" s="12" t="s">
        <v>3514</v>
      </c>
      <c r="X192" s="12" t="s">
        <v>3515</v>
      </c>
      <c r="Y192" s="12" t="s">
        <v>3516</v>
      </c>
      <c r="Z192" s="12" t="s">
        <v>3517</v>
      </c>
      <c r="AA192" s="12" t="s">
        <v>3518</v>
      </c>
      <c r="AB192" s="12" t="s">
        <v>3519</v>
      </c>
      <c r="AC192" s="12" t="s">
        <v>3520</v>
      </c>
      <c r="AD192" s="12" t="s">
        <v>3521</v>
      </c>
      <c r="AE192" s="12" t="s">
        <v>3522</v>
      </c>
      <c r="AF192" s="12" t="s">
        <v>3523</v>
      </c>
      <c r="AG192" s="12" t="s">
        <v>3524</v>
      </c>
      <c r="AH192" s="12" t="s">
        <v>3525</v>
      </c>
      <c r="AI192" s="12" t="s">
        <v>3526</v>
      </c>
      <c r="AJ192" s="12" t="s">
        <v>3527</v>
      </c>
      <c r="AK192" s="12" t="s">
        <v>3528</v>
      </c>
      <c r="AL192" s="12" t="s">
        <v>3529</v>
      </c>
      <c r="AM192" s="12" t="s">
        <v>3530</v>
      </c>
      <c r="AN192" s="12" t="s">
        <v>3531</v>
      </c>
      <c r="AO192" s="12" t="s">
        <v>3658</v>
      </c>
      <c r="AP192" s="12" t="s">
        <v>3533</v>
      </c>
      <c r="AQ192" s="12" t="s">
        <v>3534</v>
      </c>
      <c r="AR192" s="12" t="s">
        <v>3535</v>
      </c>
      <c r="AS192" s="12" t="s">
        <v>3536</v>
      </c>
      <c r="AT192" s="12" t="s">
        <v>3537</v>
      </c>
      <c r="AU192" s="12" t="s">
        <v>6</v>
      </c>
      <c r="AV192" s="12" t="s">
        <v>3538</v>
      </c>
      <c r="AW192" s="12" t="s">
        <v>3539</v>
      </c>
      <c r="AX192" s="12" t="s">
        <v>3540</v>
      </c>
      <c r="AY192" s="12" t="s">
        <v>3541</v>
      </c>
      <c r="AZ192" s="12" t="s">
        <v>3542</v>
      </c>
      <c r="BA192" s="12" t="s">
        <v>3543</v>
      </c>
      <c r="BB192" s="12" t="s">
        <v>3544</v>
      </c>
      <c r="BC192" s="17"/>
    </row>
    <row r="193" ht="22.5" customHeight="1">
      <c r="A193" s="18">
        <v>46182.84546668982</v>
      </c>
      <c r="B193" s="19" t="s">
        <v>353</v>
      </c>
      <c r="C193" s="20">
        <v>25.0</v>
      </c>
      <c r="D193" s="21"/>
      <c r="E193" s="22">
        <f t="shared" si="1"/>
        <v>25</v>
      </c>
      <c r="F193" s="19" t="s">
        <v>4105</v>
      </c>
      <c r="G193" s="19" t="s">
        <v>4106</v>
      </c>
      <c r="H193" s="19" t="s">
        <v>353</v>
      </c>
      <c r="I193" s="22">
        <v>9.822736556E9</v>
      </c>
      <c r="J193" s="19" t="s">
        <v>3503</v>
      </c>
      <c r="K193" s="19" t="s">
        <v>3791</v>
      </c>
      <c r="L193" s="19" t="s">
        <v>3505</v>
      </c>
      <c r="M193" s="21"/>
      <c r="N193" s="19" t="s">
        <v>3569</v>
      </c>
      <c r="O193" s="19" t="s">
        <v>3507</v>
      </c>
      <c r="P193" s="19" t="s">
        <v>3508</v>
      </c>
      <c r="Q193" s="21"/>
      <c r="R193" s="19" t="s">
        <v>3509</v>
      </c>
      <c r="S193" s="19" t="s">
        <v>3510</v>
      </c>
      <c r="T193" s="19" t="s">
        <v>3549</v>
      </c>
      <c r="U193" s="19" t="s">
        <v>3512</v>
      </c>
      <c r="V193" s="19" t="s">
        <v>3513</v>
      </c>
      <c r="W193" s="19" t="s">
        <v>3514</v>
      </c>
      <c r="X193" s="19" t="s">
        <v>3515</v>
      </c>
      <c r="Y193" s="19" t="s">
        <v>3516</v>
      </c>
      <c r="Z193" s="19" t="s">
        <v>3517</v>
      </c>
      <c r="AA193" s="19" t="s">
        <v>3518</v>
      </c>
      <c r="AB193" s="19" t="s">
        <v>3519</v>
      </c>
      <c r="AC193" s="19" t="s">
        <v>3520</v>
      </c>
      <c r="AD193" s="19" t="s">
        <v>3521</v>
      </c>
      <c r="AE193" s="19" t="s">
        <v>3522</v>
      </c>
      <c r="AF193" s="19" t="s">
        <v>3523</v>
      </c>
      <c r="AG193" s="19" t="s">
        <v>3589</v>
      </c>
      <c r="AH193" s="19" t="s">
        <v>3525</v>
      </c>
      <c r="AI193" s="19" t="s">
        <v>3526</v>
      </c>
      <c r="AJ193" s="19" t="s">
        <v>3773</v>
      </c>
      <c r="AK193" s="19" t="s">
        <v>4107</v>
      </c>
      <c r="AL193" s="19" t="s">
        <v>3529</v>
      </c>
      <c r="AM193" s="19" t="s">
        <v>4108</v>
      </c>
      <c r="AN193" s="19" t="s">
        <v>3531</v>
      </c>
      <c r="AO193" s="19" t="s">
        <v>3658</v>
      </c>
      <c r="AP193" s="19" t="s">
        <v>4109</v>
      </c>
      <c r="AQ193" s="19" t="s">
        <v>3534</v>
      </c>
      <c r="AR193" s="19" t="s">
        <v>3753</v>
      </c>
      <c r="AS193" s="19" t="s">
        <v>3538</v>
      </c>
      <c r="AT193" s="19" t="s">
        <v>3643</v>
      </c>
      <c r="AU193" s="22">
        <v>2.0</v>
      </c>
      <c r="AV193" s="19" t="s">
        <v>3536</v>
      </c>
      <c r="AW193" s="19" t="s">
        <v>3539</v>
      </c>
      <c r="AX193" s="19" t="s">
        <v>3540</v>
      </c>
      <c r="AY193" s="19" t="s">
        <v>3541</v>
      </c>
      <c r="AZ193" s="19" t="s">
        <v>3542</v>
      </c>
      <c r="BA193" s="19" t="s">
        <v>3579</v>
      </c>
      <c r="BB193" s="19" t="s">
        <v>3544</v>
      </c>
      <c r="BC193" s="23"/>
    </row>
    <row r="194" ht="22.5" customHeight="1">
      <c r="A194" s="11">
        <v>46182.84886479167</v>
      </c>
      <c r="B194" s="12" t="s">
        <v>2711</v>
      </c>
      <c r="C194" s="13">
        <v>33.0</v>
      </c>
      <c r="D194" s="16"/>
      <c r="E194" s="15">
        <f t="shared" si="1"/>
        <v>33</v>
      </c>
      <c r="F194" s="12" t="s">
        <v>4110</v>
      </c>
      <c r="G194" s="12" t="s">
        <v>2712</v>
      </c>
      <c r="H194" s="12" t="s">
        <v>2711</v>
      </c>
      <c r="I194" s="15">
        <v>8.840424165E9</v>
      </c>
      <c r="J194" s="12" t="s">
        <v>3547</v>
      </c>
      <c r="K194" s="12" t="s">
        <v>3504</v>
      </c>
      <c r="L194" s="12" t="s">
        <v>3556</v>
      </c>
      <c r="M194" s="16"/>
      <c r="N194" s="12" t="s">
        <v>3506</v>
      </c>
      <c r="O194" s="12" t="s">
        <v>3507</v>
      </c>
      <c r="P194" s="12" t="s">
        <v>3508</v>
      </c>
      <c r="Q194" s="16"/>
      <c r="R194" s="12" t="s">
        <v>3509</v>
      </c>
      <c r="S194" s="12" t="s">
        <v>3510</v>
      </c>
      <c r="T194" s="12" t="s">
        <v>3511</v>
      </c>
      <c r="U194" s="12" t="s">
        <v>3512</v>
      </c>
      <c r="V194" s="12" t="s">
        <v>3513</v>
      </c>
      <c r="W194" s="12" t="s">
        <v>3514</v>
      </c>
      <c r="X194" s="12" t="s">
        <v>3515</v>
      </c>
      <c r="Y194" s="12" t="s">
        <v>3516</v>
      </c>
      <c r="Z194" s="12" t="s">
        <v>3517</v>
      </c>
      <c r="AA194" s="12" t="s">
        <v>3518</v>
      </c>
      <c r="AB194" s="12" t="s">
        <v>3519</v>
      </c>
      <c r="AC194" s="12" t="s">
        <v>3520</v>
      </c>
      <c r="AD194" s="12" t="s">
        <v>3521</v>
      </c>
      <c r="AE194" s="12" t="s">
        <v>3704</v>
      </c>
      <c r="AF194" s="12" t="s">
        <v>3639</v>
      </c>
      <c r="AG194" s="12" t="s">
        <v>3524</v>
      </c>
      <c r="AH194" s="12" t="s">
        <v>3525</v>
      </c>
      <c r="AI194" s="12" t="s">
        <v>3526</v>
      </c>
      <c r="AJ194" s="12" t="s">
        <v>3527</v>
      </c>
      <c r="AK194" s="12" t="s">
        <v>3528</v>
      </c>
      <c r="AL194" s="12" t="s">
        <v>3529</v>
      </c>
      <c r="AM194" s="12" t="s">
        <v>3530</v>
      </c>
      <c r="AN194" s="12" t="s">
        <v>3531</v>
      </c>
      <c r="AO194" s="12" t="s">
        <v>3557</v>
      </c>
      <c r="AP194" s="12" t="s">
        <v>3533</v>
      </c>
      <c r="AQ194" s="12" t="s">
        <v>3534</v>
      </c>
      <c r="AR194" s="16"/>
      <c r="AS194" s="16"/>
      <c r="AT194" s="16"/>
      <c r="AU194" s="16"/>
      <c r="AV194" s="16"/>
      <c r="AW194" s="12" t="s">
        <v>3539</v>
      </c>
      <c r="AX194" s="12" t="s">
        <v>3540</v>
      </c>
      <c r="AY194" s="12" t="s">
        <v>3541</v>
      </c>
      <c r="AZ194" s="12" t="s">
        <v>3542</v>
      </c>
      <c r="BA194" s="12" t="s">
        <v>3543</v>
      </c>
      <c r="BB194" s="12" t="s">
        <v>3544</v>
      </c>
      <c r="BC194" s="17"/>
    </row>
    <row r="195" ht="22.5" customHeight="1">
      <c r="A195" s="18">
        <v>46182.850422557865</v>
      </c>
      <c r="B195" s="19" t="s">
        <v>2522</v>
      </c>
      <c r="C195" s="20">
        <v>17.0</v>
      </c>
      <c r="D195" s="21"/>
      <c r="E195" s="22">
        <f t="shared" si="1"/>
        <v>17</v>
      </c>
      <c r="F195" s="19" t="s">
        <v>4111</v>
      </c>
      <c r="G195" s="19" t="s">
        <v>4112</v>
      </c>
      <c r="H195" s="19" t="s">
        <v>2522</v>
      </c>
      <c r="I195" s="22">
        <v>8.328087019E9</v>
      </c>
      <c r="J195" s="19" t="s">
        <v>3547</v>
      </c>
      <c r="K195" s="19" t="s">
        <v>3504</v>
      </c>
      <c r="L195" s="19" t="s">
        <v>3556</v>
      </c>
      <c r="M195" s="21"/>
      <c r="N195" s="19" t="s">
        <v>3506</v>
      </c>
      <c r="O195" s="19" t="s">
        <v>3507</v>
      </c>
      <c r="P195" s="19" t="s">
        <v>3877</v>
      </c>
      <c r="Q195" s="21"/>
      <c r="R195" s="19" t="s">
        <v>3574</v>
      </c>
      <c r="S195" s="19" t="s">
        <v>3781</v>
      </c>
      <c r="T195" s="19" t="s">
        <v>3549</v>
      </c>
      <c r="U195" s="19" t="s">
        <v>3550</v>
      </c>
      <c r="V195" s="19" t="s">
        <v>3513</v>
      </c>
      <c r="W195" s="19" t="s">
        <v>3575</v>
      </c>
      <c r="X195" s="19" t="s">
        <v>3515</v>
      </c>
      <c r="Y195" s="19" t="s">
        <v>3576</v>
      </c>
      <c r="Z195" s="19" t="s">
        <v>3517</v>
      </c>
      <c r="AA195" s="19" t="s">
        <v>3703</v>
      </c>
      <c r="AB195" s="19" t="s">
        <v>3683</v>
      </c>
      <c r="AC195" s="19" t="s">
        <v>3520</v>
      </c>
      <c r="AD195" s="19" t="s">
        <v>3521</v>
      </c>
      <c r="AE195" s="19" t="s">
        <v>3704</v>
      </c>
      <c r="AF195" s="19" t="s">
        <v>3639</v>
      </c>
      <c r="AG195" s="19" t="s">
        <v>3589</v>
      </c>
      <c r="AH195" s="19" t="s">
        <v>4113</v>
      </c>
      <c r="AI195" s="19" t="s">
        <v>3526</v>
      </c>
      <c r="AJ195" s="19" t="s">
        <v>3527</v>
      </c>
      <c r="AK195" s="19" t="s">
        <v>3684</v>
      </c>
      <c r="AL195" s="19" t="s">
        <v>3590</v>
      </c>
      <c r="AM195" s="19" t="s">
        <v>3750</v>
      </c>
      <c r="AN195" s="19" t="s">
        <v>3751</v>
      </c>
      <c r="AO195" s="19" t="s">
        <v>3658</v>
      </c>
      <c r="AP195" s="19" t="s">
        <v>3577</v>
      </c>
      <c r="AQ195" s="19" t="s">
        <v>3752</v>
      </c>
      <c r="AR195" s="19" t="s">
        <v>6</v>
      </c>
      <c r="AS195" s="19" t="s">
        <v>6</v>
      </c>
      <c r="AT195" s="19" t="s">
        <v>3578</v>
      </c>
      <c r="AU195" s="22">
        <v>1.0</v>
      </c>
      <c r="AV195" s="19" t="s">
        <v>3536</v>
      </c>
      <c r="AW195" s="19" t="s">
        <v>3558</v>
      </c>
      <c r="AX195" s="19" t="s">
        <v>3540</v>
      </c>
      <c r="AY195" s="19" t="s">
        <v>3570</v>
      </c>
      <c r="AZ195" s="19" t="s">
        <v>3542</v>
      </c>
      <c r="BA195" s="19" t="s">
        <v>3699</v>
      </c>
      <c r="BB195" s="19" t="s">
        <v>3544</v>
      </c>
      <c r="BC195" s="23"/>
    </row>
    <row r="196" ht="22.5" customHeight="1">
      <c r="A196" s="11">
        <v>46182.85499201389</v>
      </c>
      <c r="B196" s="12" t="s">
        <v>342</v>
      </c>
      <c r="C196" s="13">
        <v>39.0</v>
      </c>
      <c r="D196" s="16"/>
      <c r="E196" s="15">
        <f t="shared" si="1"/>
        <v>39</v>
      </c>
      <c r="F196" s="12" t="s">
        <v>4114</v>
      </c>
      <c r="G196" s="12" t="s">
        <v>4115</v>
      </c>
      <c r="H196" s="12" t="s">
        <v>342</v>
      </c>
      <c r="I196" s="15">
        <v>8.606865067E9</v>
      </c>
      <c r="J196" s="12" t="s">
        <v>3547</v>
      </c>
      <c r="K196" s="12" t="s">
        <v>3504</v>
      </c>
      <c r="L196" s="12" t="s">
        <v>3556</v>
      </c>
      <c r="M196" s="16"/>
      <c r="N196" s="12" t="s">
        <v>3506</v>
      </c>
      <c r="O196" s="12" t="s">
        <v>3507</v>
      </c>
      <c r="P196" s="12" t="s">
        <v>3508</v>
      </c>
      <c r="Q196" s="16"/>
      <c r="R196" s="12" t="s">
        <v>3509</v>
      </c>
      <c r="S196" s="12" t="s">
        <v>3510</v>
      </c>
      <c r="T196" s="12" t="s">
        <v>3549</v>
      </c>
      <c r="U196" s="12" t="s">
        <v>3512</v>
      </c>
      <c r="V196" s="12" t="s">
        <v>3513</v>
      </c>
      <c r="W196" s="12" t="s">
        <v>3587</v>
      </c>
      <c r="X196" s="12" t="s">
        <v>3515</v>
      </c>
      <c r="Y196" s="12" t="s">
        <v>3516</v>
      </c>
      <c r="Z196" s="12" t="s">
        <v>3517</v>
      </c>
      <c r="AA196" s="12" t="s">
        <v>3518</v>
      </c>
      <c r="AB196" s="12" t="s">
        <v>3519</v>
      </c>
      <c r="AC196" s="12" t="s">
        <v>3520</v>
      </c>
      <c r="AD196" s="12" t="s">
        <v>3521</v>
      </c>
      <c r="AE196" s="12" t="s">
        <v>3522</v>
      </c>
      <c r="AF196" s="12" t="s">
        <v>3639</v>
      </c>
      <c r="AG196" s="12" t="s">
        <v>3524</v>
      </c>
      <c r="AH196" s="12" t="s">
        <v>3525</v>
      </c>
      <c r="AI196" s="12" t="s">
        <v>3526</v>
      </c>
      <c r="AJ196" s="12" t="s">
        <v>3527</v>
      </c>
      <c r="AK196" s="12" t="s">
        <v>3528</v>
      </c>
      <c r="AL196" s="12" t="s">
        <v>3529</v>
      </c>
      <c r="AM196" s="12" t="s">
        <v>3530</v>
      </c>
      <c r="AN196" s="12" t="s">
        <v>3531</v>
      </c>
      <c r="AO196" s="12" t="s">
        <v>3557</v>
      </c>
      <c r="AP196" s="12" t="s">
        <v>3533</v>
      </c>
      <c r="AQ196" s="12" t="s">
        <v>3534</v>
      </c>
      <c r="AR196" s="12" t="s">
        <v>3535</v>
      </c>
      <c r="AS196" s="12" t="s">
        <v>3536</v>
      </c>
      <c r="AT196" s="12" t="s">
        <v>3537</v>
      </c>
      <c r="AU196" s="12" t="s">
        <v>6</v>
      </c>
      <c r="AV196" s="12" t="s">
        <v>3538</v>
      </c>
      <c r="AW196" s="12" t="s">
        <v>3539</v>
      </c>
      <c r="AX196" s="12" t="s">
        <v>3540</v>
      </c>
      <c r="AY196" s="12" t="s">
        <v>3541</v>
      </c>
      <c r="AZ196" s="12" t="s">
        <v>3542</v>
      </c>
      <c r="BA196" s="12" t="s">
        <v>3543</v>
      </c>
      <c r="BB196" s="12" t="s">
        <v>3544</v>
      </c>
      <c r="BC196" s="17"/>
    </row>
    <row r="197" ht="22.5" customHeight="1">
      <c r="A197" s="18">
        <v>46182.85923336806</v>
      </c>
      <c r="B197" s="19" t="s">
        <v>4116</v>
      </c>
      <c r="C197" s="20">
        <v>34.0</v>
      </c>
      <c r="D197" s="24" t="s">
        <v>4117</v>
      </c>
      <c r="E197" s="22">
        <f t="shared" si="1"/>
        <v>39</v>
      </c>
      <c r="F197" s="19" t="s">
        <v>4118</v>
      </c>
      <c r="G197" s="19" t="s">
        <v>46</v>
      </c>
      <c r="H197" s="19" t="s">
        <v>45</v>
      </c>
      <c r="I197" s="22">
        <v>9.928810449E9</v>
      </c>
      <c r="J197" s="19" t="s">
        <v>3547</v>
      </c>
      <c r="K197" s="19" t="s">
        <v>3504</v>
      </c>
      <c r="L197" s="19" t="s">
        <v>3556</v>
      </c>
      <c r="M197" s="21"/>
      <c r="N197" s="19" t="s">
        <v>3569</v>
      </c>
      <c r="O197" s="19" t="s">
        <v>3507</v>
      </c>
      <c r="P197" s="19" t="s">
        <v>3508</v>
      </c>
      <c r="Q197" s="21"/>
      <c r="R197" s="19" t="s">
        <v>3509</v>
      </c>
      <c r="S197" s="19" t="s">
        <v>3510</v>
      </c>
      <c r="T197" s="19" t="s">
        <v>3511</v>
      </c>
      <c r="U197" s="19" t="s">
        <v>3582</v>
      </c>
      <c r="V197" s="19" t="s">
        <v>3513</v>
      </c>
      <c r="W197" s="19" t="s">
        <v>3587</v>
      </c>
      <c r="X197" s="19" t="s">
        <v>3515</v>
      </c>
      <c r="Y197" s="19" t="s">
        <v>3516</v>
      </c>
      <c r="Z197" s="19" t="s">
        <v>3517</v>
      </c>
      <c r="AA197" s="19" t="s">
        <v>3518</v>
      </c>
      <c r="AB197" s="19" t="s">
        <v>3519</v>
      </c>
      <c r="AC197" s="19" t="s">
        <v>3520</v>
      </c>
      <c r="AD197" s="19" t="s">
        <v>3521</v>
      </c>
      <c r="AE197" s="19" t="s">
        <v>3522</v>
      </c>
      <c r="AF197" s="19" t="s">
        <v>3523</v>
      </c>
      <c r="AG197" s="19" t="s">
        <v>3524</v>
      </c>
      <c r="AH197" s="19" t="s">
        <v>3525</v>
      </c>
      <c r="AI197" s="19" t="s">
        <v>3526</v>
      </c>
      <c r="AJ197" s="19" t="s">
        <v>3527</v>
      </c>
      <c r="AK197" s="19" t="s">
        <v>3528</v>
      </c>
      <c r="AL197" s="19" t="s">
        <v>3529</v>
      </c>
      <c r="AM197" s="19" t="s">
        <v>3530</v>
      </c>
      <c r="AN197" s="19" t="s">
        <v>3531</v>
      </c>
      <c r="AO197" s="19" t="s">
        <v>3557</v>
      </c>
      <c r="AP197" s="19" t="s">
        <v>3533</v>
      </c>
      <c r="AQ197" s="19" t="s">
        <v>3534</v>
      </c>
      <c r="AR197" s="19" t="s">
        <v>3753</v>
      </c>
      <c r="AS197" s="19" t="s">
        <v>3536</v>
      </c>
      <c r="AT197" s="19" t="s">
        <v>3537</v>
      </c>
      <c r="AU197" s="19" t="s">
        <v>6</v>
      </c>
      <c r="AV197" s="19" t="s">
        <v>3538</v>
      </c>
      <c r="AW197" s="19" t="s">
        <v>3558</v>
      </c>
      <c r="AX197" s="19" t="s">
        <v>3540</v>
      </c>
      <c r="AY197" s="19" t="s">
        <v>3541</v>
      </c>
      <c r="AZ197" s="19" t="s">
        <v>3706</v>
      </c>
      <c r="BA197" s="19" t="s">
        <v>3631</v>
      </c>
      <c r="BB197" s="19" t="s">
        <v>3544</v>
      </c>
      <c r="BC197" s="23"/>
    </row>
    <row r="198" ht="22.5" customHeight="1">
      <c r="A198" s="11">
        <v>46182.860477291666</v>
      </c>
      <c r="B198" s="12" t="s">
        <v>139</v>
      </c>
      <c r="C198" s="13">
        <v>41.0</v>
      </c>
      <c r="D198" s="14" t="s">
        <v>4119</v>
      </c>
      <c r="E198" s="15">
        <f t="shared" si="1"/>
        <v>46</v>
      </c>
      <c r="F198" s="12" t="s">
        <v>4120</v>
      </c>
      <c r="G198" s="12" t="s">
        <v>2983</v>
      </c>
      <c r="H198" s="12" t="s">
        <v>139</v>
      </c>
      <c r="I198" s="15">
        <v>9.239001518E9</v>
      </c>
      <c r="J198" s="12" t="s">
        <v>3547</v>
      </c>
      <c r="K198" s="12" t="s">
        <v>3504</v>
      </c>
      <c r="L198" s="12" t="s">
        <v>3556</v>
      </c>
      <c r="M198" s="16"/>
      <c r="N198" s="12" t="s">
        <v>3506</v>
      </c>
      <c r="O198" s="12" t="s">
        <v>3507</v>
      </c>
      <c r="P198" s="12" t="s">
        <v>3508</v>
      </c>
      <c r="Q198" s="16"/>
      <c r="R198" s="12" t="s">
        <v>3509</v>
      </c>
      <c r="S198" s="12" t="s">
        <v>3510</v>
      </c>
      <c r="T198" s="12" t="s">
        <v>3549</v>
      </c>
      <c r="U198" s="12" t="s">
        <v>3550</v>
      </c>
      <c r="V198" s="12" t="s">
        <v>3513</v>
      </c>
      <c r="W198" s="12" t="s">
        <v>3514</v>
      </c>
      <c r="X198" s="12" t="s">
        <v>3515</v>
      </c>
      <c r="Y198" s="12" t="s">
        <v>3516</v>
      </c>
      <c r="Z198" s="12" t="s">
        <v>3517</v>
      </c>
      <c r="AA198" s="12" t="s">
        <v>3518</v>
      </c>
      <c r="AB198" s="12" t="s">
        <v>3519</v>
      </c>
      <c r="AC198" s="12" t="s">
        <v>3520</v>
      </c>
      <c r="AD198" s="12" t="s">
        <v>3521</v>
      </c>
      <c r="AE198" s="12" t="s">
        <v>3522</v>
      </c>
      <c r="AF198" s="12" t="s">
        <v>3523</v>
      </c>
      <c r="AG198" s="12" t="s">
        <v>3524</v>
      </c>
      <c r="AH198" s="12" t="s">
        <v>3525</v>
      </c>
      <c r="AI198" s="12" t="s">
        <v>3526</v>
      </c>
      <c r="AJ198" s="12" t="s">
        <v>3527</v>
      </c>
      <c r="AK198" s="12" t="s">
        <v>3528</v>
      </c>
      <c r="AL198" s="12" t="s">
        <v>3529</v>
      </c>
      <c r="AM198" s="12" t="s">
        <v>3530</v>
      </c>
      <c r="AN198" s="12" t="s">
        <v>3531</v>
      </c>
      <c r="AO198" s="12" t="s">
        <v>3557</v>
      </c>
      <c r="AP198" s="12" t="s">
        <v>3533</v>
      </c>
      <c r="AQ198" s="12" t="s">
        <v>3534</v>
      </c>
      <c r="AR198" s="12" t="s">
        <v>3535</v>
      </c>
      <c r="AS198" s="12" t="s">
        <v>3538</v>
      </c>
      <c r="AT198" s="12" t="s">
        <v>3537</v>
      </c>
      <c r="AU198" s="12" t="s">
        <v>6</v>
      </c>
      <c r="AV198" s="12" t="s">
        <v>3538</v>
      </c>
      <c r="AW198" s="12" t="s">
        <v>3539</v>
      </c>
      <c r="AX198" s="12" t="s">
        <v>3540</v>
      </c>
      <c r="AY198" s="12" t="s">
        <v>3541</v>
      </c>
      <c r="AZ198" s="12" t="s">
        <v>3542</v>
      </c>
      <c r="BA198" s="12" t="s">
        <v>3543</v>
      </c>
      <c r="BB198" s="12" t="s">
        <v>3544</v>
      </c>
      <c r="BC198" s="17"/>
    </row>
    <row r="199" ht="22.5" customHeight="1">
      <c r="A199" s="18">
        <v>46182.86559170139</v>
      </c>
      <c r="B199" s="19" t="s">
        <v>4121</v>
      </c>
      <c r="C199" s="20">
        <v>25.0</v>
      </c>
      <c r="D199" s="21"/>
      <c r="E199" s="22">
        <f t="shared" si="1"/>
        <v>25</v>
      </c>
      <c r="F199" s="19" t="s">
        <v>4122</v>
      </c>
      <c r="G199" s="19" t="s">
        <v>4123</v>
      </c>
      <c r="H199" s="19" t="s">
        <v>350</v>
      </c>
      <c r="I199" s="22">
        <v>7.079377976E9</v>
      </c>
      <c r="J199" s="19" t="s">
        <v>3547</v>
      </c>
      <c r="K199" s="19" t="s">
        <v>3504</v>
      </c>
      <c r="L199" s="21"/>
      <c r="M199" s="21"/>
      <c r="N199" s="19" t="s">
        <v>3548</v>
      </c>
      <c r="O199" s="19" t="s">
        <v>3507</v>
      </c>
      <c r="P199" s="21"/>
      <c r="Q199" s="21"/>
      <c r="R199" s="21"/>
      <c r="S199" s="21"/>
      <c r="T199" s="21"/>
      <c r="U199" s="19" t="s">
        <v>3512</v>
      </c>
      <c r="V199" s="21"/>
      <c r="W199" s="21"/>
      <c r="X199" s="19" t="s">
        <v>3515</v>
      </c>
      <c r="Y199" s="21"/>
      <c r="Z199" s="21"/>
      <c r="AA199" s="19" t="s">
        <v>3518</v>
      </c>
      <c r="AB199" s="19" t="s">
        <v>3519</v>
      </c>
      <c r="AC199" s="19" t="s">
        <v>4124</v>
      </c>
      <c r="AD199" s="19" t="s">
        <v>3521</v>
      </c>
      <c r="AE199" s="21"/>
      <c r="AF199" s="19" t="s">
        <v>3523</v>
      </c>
      <c r="AG199" s="19" t="s">
        <v>3524</v>
      </c>
      <c r="AH199" s="21"/>
      <c r="AI199" s="19" t="s">
        <v>3526</v>
      </c>
      <c r="AJ199" s="21"/>
      <c r="AK199" s="19" t="s">
        <v>3528</v>
      </c>
      <c r="AL199" s="19" t="s">
        <v>3885</v>
      </c>
      <c r="AM199" s="21"/>
      <c r="AN199" s="19" t="s">
        <v>3531</v>
      </c>
      <c r="AO199" s="19" t="s">
        <v>3557</v>
      </c>
      <c r="AP199" s="19" t="s">
        <v>3533</v>
      </c>
      <c r="AQ199" s="21"/>
      <c r="AR199" s="19" t="s">
        <v>3535</v>
      </c>
      <c r="AS199" s="19" t="s">
        <v>3536</v>
      </c>
      <c r="AT199" s="19" t="s">
        <v>3537</v>
      </c>
      <c r="AU199" s="19" t="s">
        <v>6</v>
      </c>
      <c r="AV199" s="19" t="s">
        <v>3538</v>
      </c>
      <c r="AW199" s="19" t="s">
        <v>3539</v>
      </c>
      <c r="AX199" s="19" t="s">
        <v>3540</v>
      </c>
      <c r="AY199" s="19" t="s">
        <v>3541</v>
      </c>
      <c r="AZ199" s="19" t="s">
        <v>3542</v>
      </c>
      <c r="BA199" s="19" t="s">
        <v>3543</v>
      </c>
      <c r="BB199" s="19" t="s">
        <v>3544</v>
      </c>
      <c r="BC199" s="23"/>
    </row>
    <row r="200" ht="22.5" customHeight="1">
      <c r="A200" s="11">
        <v>46182.86679248842</v>
      </c>
      <c r="B200" s="12" t="s">
        <v>2275</v>
      </c>
      <c r="C200" s="13">
        <v>38.0</v>
      </c>
      <c r="D200" s="14" t="s">
        <v>4125</v>
      </c>
      <c r="E200" s="15">
        <f t="shared" si="1"/>
        <v>43</v>
      </c>
      <c r="F200" s="12" t="s">
        <v>4126</v>
      </c>
      <c r="G200" s="12" t="s">
        <v>2276</v>
      </c>
      <c r="H200" s="12" t="s">
        <v>2275</v>
      </c>
      <c r="I200" s="15">
        <v>9.391700567E9</v>
      </c>
      <c r="J200" s="12" t="s">
        <v>3503</v>
      </c>
      <c r="K200" s="12" t="s">
        <v>3504</v>
      </c>
      <c r="L200" s="12" t="s">
        <v>3556</v>
      </c>
      <c r="M200" s="16"/>
      <c r="N200" s="12" t="s">
        <v>3506</v>
      </c>
      <c r="O200" s="12" t="s">
        <v>3507</v>
      </c>
      <c r="P200" s="12" t="s">
        <v>3508</v>
      </c>
      <c r="Q200" s="16"/>
      <c r="R200" s="12" t="s">
        <v>3509</v>
      </c>
      <c r="S200" s="12" t="s">
        <v>3510</v>
      </c>
      <c r="T200" s="12" t="s">
        <v>3549</v>
      </c>
      <c r="U200" s="12" t="s">
        <v>3550</v>
      </c>
      <c r="V200" s="12" t="s">
        <v>3513</v>
      </c>
      <c r="W200" s="12" t="s">
        <v>3587</v>
      </c>
      <c r="X200" s="12" t="s">
        <v>3515</v>
      </c>
      <c r="Y200" s="12" t="s">
        <v>3516</v>
      </c>
      <c r="Z200" s="12" t="s">
        <v>3517</v>
      </c>
      <c r="AA200" s="12" t="s">
        <v>3518</v>
      </c>
      <c r="AB200" s="12" t="s">
        <v>3519</v>
      </c>
      <c r="AC200" s="12" t="s">
        <v>3520</v>
      </c>
      <c r="AD200" s="12" t="s">
        <v>3521</v>
      </c>
      <c r="AE200" s="12" t="s">
        <v>3630</v>
      </c>
      <c r="AF200" s="12" t="s">
        <v>3523</v>
      </c>
      <c r="AG200" s="12" t="s">
        <v>3589</v>
      </c>
      <c r="AH200" s="12" t="s">
        <v>3525</v>
      </c>
      <c r="AI200" s="12" t="s">
        <v>3526</v>
      </c>
      <c r="AJ200" s="12" t="s">
        <v>3527</v>
      </c>
      <c r="AK200" s="12" t="s">
        <v>3528</v>
      </c>
      <c r="AL200" s="12" t="s">
        <v>3529</v>
      </c>
      <c r="AM200" s="12" t="s">
        <v>3530</v>
      </c>
      <c r="AN200" s="12" t="s">
        <v>3531</v>
      </c>
      <c r="AO200" s="12" t="s">
        <v>3557</v>
      </c>
      <c r="AP200" s="12" t="s">
        <v>3533</v>
      </c>
      <c r="AQ200" s="12" t="s">
        <v>3534</v>
      </c>
      <c r="AR200" s="12" t="s">
        <v>3535</v>
      </c>
      <c r="AS200" s="12" t="s">
        <v>3536</v>
      </c>
      <c r="AT200" s="12" t="s">
        <v>3537</v>
      </c>
      <c r="AU200" s="12" t="s">
        <v>6</v>
      </c>
      <c r="AV200" s="12" t="s">
        <v>3538</v>
      </c>
      <c r="AW200" s="12" t="s">
        <v>3539</v>
      </c>
      <c r="AX200" s="12" t="s">
        <v>3540</v>
      </c>
      <c r="AY200" s="12" t="s">
        <v>3541</v>
      </c>
      <c r="AZ200" s="12" t="s">
        <v>3542</v>
      </c>
      <c r="BA200" s="12" t="s">
        <v>3543</v>
      </c>
      <c r="BB200" s="12" t="s">
        <v>3544</v>
      </c>
      <c r="BC200" s="17"/>
    </row>
    <row r="201" ht="22.5" customHeight="1">
      <c r="A201" s="18">
        <v>46182.87101548611</v>
      </c>
      <c r="B201" s="19" t="s">
        <v>1222</v>
      </c>
      <c r="C201" s="20">
        <v>11.0</v>
      </c>
      <c r="D201" s="24" t="s">
        <v>4127</v>
      </c>
      <c r="E201" s="22">
        <f t="shared" si="1"/>
        <v>16</v>
      </c>
      <c r="F201" s="19" t="s">
        <v>4128</v>
      </c>
      <c r="G201" s="19" t="s">
        <v>4129</v>
      </c>
      <c r="H201" s="19" t="s">
        <v>1222</v>
      </c>
      <c r="I201" s="22">
        <v>7.530068664E9</v>
      </c>
      <c r="J201" s="19" t="s">
        <v>3547</v>
      </c>
      <c r="K201" s="21"/>
      <c r="L201" s="21"/>
      <c r="M201" s="21"/>
      <c r="N201" s="19" t="s">
        <v>3506</v>
      </c>
      <c r="O201" s="19" t="s">
        <v>3614</v>
      </c>
      <c r="P201" s="21"/>
      <c r="Q201" s="21"/>
      <c r="R201" s="21"/>
      <c r="S201" s="21"/>
      <c r="T201" s="21"/>
      <c r="U201" s="19" t="s">
        <v>3512</v>
      </c>
      <c r="V201" s="21"/>
      <c r="W201" s="19" t="s">
        <v>3587</v>
      </c>
      <c r="X201" s="21"/>
      <c r="Y201" s="21"/>
      <c r="Z201" s="21"/>
      <c r="AA201" s="21"/>
      <c r="AB201" s="21"/>
      <c r="AC201" s="21"/>
      <c r="AD201" s="19" t="s">
        <v>3521</v>
      </c>
      <c r="AE201" s="21"/>
      <c r="AF201" s="21"/>
      <c r="AG201" s="21"/>
      <c r="AH201" s="21"/>
      <c r="AI201" s="21"/>
      <c r="AJ201" s="21"/>
      <c r="AK201" s="19" t="s">
        <v>3528</v>
      </c>
      <c r="AL201" s="21"/>
      <c r="AM201" s="21"/>
      <c r="AN201" s="21"/>
      <c r="AO201" s="19" t="s">
        <v>3557</v>
      </c>
      <c r="AP201" s="21"/>
      <c r="AQ201" s="21"/>
      <c r="AR201" s="19" t="s">
        <v>3535</v>
      </c>
      <c r="AS201" s="19" t="s">
        <v>3536</v>
      </c>
      <c r="AT201" s="19" t="s">
        <v>3537</v>
      </c>
      <c r="AU201" s="22">
        <v>2.0</v>
      </c>
      <c r="AV201" s="19" t="s">
        <v>3538</v>
      </c>
      <c r="AW201" s="19" t="s">
        <v>3558</v>
      </c>
      <c r="AX201" s="21"/>
      <c r="AY201" s="21"/>
      <c r="AZ201" s="19" t="s">
        <v>3542</v>
      </c>
      <c r="BA201" s="19" t="s">
        <v>3543</v>
      </c>
      <c r="BB201" s="21"/>
      <c r="BC201" s="23"/>
    </row>
    <row r="202" ht="22.5" customHeight="1">
      <c r="A202" s="11">
        <v>46182.87483862268</v>
      </c>
      <c r="B202" s="12" t="s">
        <v>1631</v>
      </c>
      <c r="C202" s="13">
        <v>36.0</v>
      </c>
      <c r="D202" s="14" t="s">
        <v>4130</v>
      </c>
      <c r="E202" s="15">
        <f t="shared" si="1"/>
        <v>41</v>
      </c>
      <c r="F202" s="12" t="s">
        <v>4131</v>
      </c>
      <c r="G202" s="12" t="s">
        <v>1632</v>
      </c>
      <c r="H202" s="12" t="s">
        <v>1631</v>
      </c>
      <c r="I202" s="15">
        <v>8.413949649E9</v>
      </c>
      <c r="J202" s="12" t="s">
        <v>3547</v>
      </c>
      <c r="K202" s="12" t="s">
        <v>3504</v>
      </c>
      <c r="L202" s="12" t="s">
        <v>3505</v>
      </c>
      <c r="M202" s="16"/>
      <c r="N202" s="12" t="s">
        <v>3613</v>
      </c>
      <c r="O202" s="12" t="s">
        <v>3507</v>
      </c>
      <c r="P202" s="12" t="s">
        <v>3508</v>
      </c>
      <c r="Q202" s="16"/>
      <c r="R202" s="12" t="s">
        <v>3509</v>
      </c>
      <c r="S202" s="12" t="s">
        <v>3510</v>
      </c>
      <c r="T202" s="12" t="s">
        <v>3549</v>
      </c>
      <c r="U202" s="12" t="s">
        <v>3512</v>
      </c>
      <c r="V202" s="12" t="s">
        <v>3513</v>
      </c>
      <c r="W202" s="12" t="s">
        <v>3514</v>
      </c>
      <c r="X202" s="12" t="s">
        <v>3515</v>
      </c>
      <c r="Y202" s="12" t="s">
        <v>3516</v>
      </c>
      <c r="Z202" s="12" t="s">
        <v>3517</v>
      </c>
      <c r="AA202" s="12" t="s">
        <v>3518</v>
      </c>
      <c r="AB202" s="12" t="s">
        <v>3519</v>
      </c>
      <c r="AC202" s="12" t="s">
        <v>3520</v>
      </c>
      <c r="AD202" s="12" t="s">
        <v>3521</v>
      </c>
      <c r="AE202" s="12" t="s">
        <v>3522</v>
      </c>
      <c r="AF202" s="12" t="s">
        <v>3523</v>
      </c>
      <c r="AG202" s="12" t="s">
        <v>3524</v>
      </c>
      <c r="AH202" s="12" t="s">
        <v>3525</v>
      </c>
      <c r="AI202" s="12" t="s">
        <v>3526</v>
      </c>
      <c r="AJ202" s="12" t="s">
        <v>3527</v>
      </c>
      <c r="AK202" s="12" t="s">
        <v>3528</v>
      </c>
      <c r="AL202" s="12" t="s">
        <v>3529</v>
      </c>
      <c r="AM202" s="12" t="s">
        <v>3530</v>
      </c>
      <c r="AN202" s="12" t="s">
        <v>3531</v>
      </c>
      <c r="AO202" s="12" t="s">
        <v>3557</v>
      </c>
      <c r="AP202" s="12" t="s">
        <v>3533</v>
      </c>
      <c r="AQ202" s="12" t="s">
        <v>3534</v>
      </c>
      <c r="AR202" s="12" t="s">
        <v>3535</v>
      </c>
      <c r="AS202" s="12" t="s">
        <v>3536</v>
      </c>
      <c r="AT202" s="12" t="s">
        <v>3562</v>
      </c>
      <c r="AU202" s="12" t="s">
        <v>6</v>
      </c>
      <c r="AV202" s="12" t="s">
        <v>3538</v>
      </c>
      <c r="AW202" s="12" t="s">
        <v>3558</v>
      </c>
      <c r="AX202" s="12" t="s">
        <v>3540</v>
      </c>
      <c r="AY202" s="12" t="s">
        <v>3570</v>
      </c>
      <c r="AZ202" s="12" t="s">
        <v>3542</v>
      </c>
      <c r="BA202" s="12" t="s">
        <v>3543</v>
      </c>
      <c r="BB202" s="12" t="s">
        <v>3544</v>
      </c>
      <c r="BC202" s="17"/>
    </row>
    <row r="203" ht="22.5" customHeight="1">
      <c r="A203" s="18">
        <v>46182.87569164352</v>
      </c>
      <c r="B203" s="19" t="s">
        <v>2085</v>
      </c>
      <c r="C203" s="20">
        <v>34.0</v>
      </c>
      <c r="D203" s="24" t="s">
        <v>4132</v>
      </c>
      <c r="E203" s="22">
        <f t="shared" si="1"/>
        <v>39</v>
      </c>
      <c r="F203" s="19" t="s">
        <v>4133</v>
      </c>
      <c r="G203" s="19" t="s">
        <v>2086</v>
      </c>
      <c r="H203" s="19" t="s">
        <v>2085</v>
      </c>
      <c r="I203" s="22">
        <v>8.922999816E9</v>
      </c>
      <c r="J203" s="19" t="s">
        <v>3547</v>
      </c>
      <c r="K203" s="19" t="s">
        <v>3504</v>
      </c>
      <c r="L203" s="19" t="s">
        <v>3556</v>
      </c>
      <c r="M203" s="21"/>
      <c r="N203" s="19" t="s">
        <v>3548</v>
      </c>
      <c r="O203" s="19" t="s">
        <v>3642</v>
      </c>
      <c r="P203" s="19" t="s">
        <v>3508</v>
      </c>
      <c r="Q203" s="21"/>
      <c r="R203" s="19" t="s">
        <v>3509</v>
      </c>
      <c r="S203" s="19" t="s">
        <v>3510</v>
      </c>
      <c r="T203" s="19" t="s">
        <v>3549</v>
      </c>
      <c r="U203" s="19" t="s">
        <v>3512</v>
      </c>
      <c r="V203" s="19" t="s">
        <v>3513</v>
      </c>
      <c r="W203" s="19" t="s">
        <v>3514</v>
      </c>
      <c r="X203" s="19" t="s">
        <v>3515</v>
      </c>
      <c r="Y203" s="19" t="s">
        <v>3516</v>
      </c>
      <c r="Z203" s="19" t="s">
        <v>3517</v>
      </c>
      <c r="AA203" s="19" t="s">
        <v>3518</v>
      </c>
      <c r="AB203" s="19" t="s">
        <v>3519</v>
      </c>
      <c r="AC203" s="19" t="s">
        <v>3520</v>
      </c>
      <c r="AD203" s="19" t="s">
        <v>3521</v>
      </c>
      <c r="AE203" s="19" t="s">
        <v>4134</v>
      </c>
      <c r="AF203" s="19" t="s">
        <v>3523</v>
      </c>
      <c r="AG203" s="19" t="s">
        <v>4135</v>
      </c>
      <c r="AH203" s="19" t="s">
        <v>3525</v>
      </c>
      <c r="AI203" s="19" t="s">
        <v>3749</v>
      </c>
      <c r="AJ203" s="19" t="s">
        <v>3527</v>
      </c>
      <c r="AK203" s="19" t="s">
        <v>3528</v>
      </c>
      <c r="AL203" s="19" t="s">
        <v>3529</v>
      </c>
      <c r="AM203" s="19" t="s">
        <v>3530</v>
      </c>
      <c r="AN203" s="19" t="s">
        <v>3531</v>
      </c>
      <c r="AO203" s="19" t="s">
        <v>3658</v>
      </c>
      <c r="AP203" s="19" t="s">
        <v>3533</v>
      </c>
      <c r="AQ203" s="19" t="s">
        <v>3534</v>
      </c>
      <c r="AR203" s="19" t="s">
        <v>3535</v>
      </c>
      <c r="AS203" s="19" t="s">
        <v>3536</v>
      </c>
      <c r="AT203" s="19" t="s">
        <v>3537</v>
      </c>
      <c r="AU203" s="19" t="s">
        <v>6</v>
      </c>
      <c r="AV203" s="19" t="s">
        <v>3538</v>
      </c>
      <c r="AW203" s="19" t="s">
        <v>3558</v>
      </c>
      <c r="AX203" s="19" t="s">
        <v>3540</v>
      </c>
      <c r="AY203" s="19" t="s">
        <v>3541</v>
      </c>
      <c r="AZ203" s="19" t="s">
        <v>3542</v>
      </c>
      <c r="BA203" s="19" t="s">
        <v>3543</v>
      </c>
      <c r="BB203" s="19" t="s">
        <v>3544</v>
      </c>
      <c r="BC203" s="23"/>
    </row>
    <row r="204" ht="22.5" customHeight="1">
      <c r="A204" s="11">
        <v>46182.88060521991</v>
      </c>
      <c r="B204" s="12" t="s">
        <v>785</v>
      </c>
      <c r="C204" s="13">
        <v>30.0</v>
      </c>
      <c r="D204" s="14" t="s">
        <v>4136</v>
      </c>
      <c r="E204" s="15">
        <f t="shared" si="1"/>
        <v>35</v>
      </c>
      <c r="F204" s="12" t="s">
        <v>4137</v>
      </c>
      <c r="G204" s="12" t="s">
        <v>4138</v>
      </c>
      <c r="H204" s="12" t="s">
        <v>785</v>
      </c>
      <c r="I204" s="15">
        <v>7.420048815E9</v>
      </c>
      <c r="J204" s="12" t="s">
        <v>3503</v>
      </c>
      <c r="K204" s="12" t="s">
        <v>3504</v>
      </c>
      <c r="L204" s="12" t="s">
        <v>3771</v>
      </c>
      <c r="M204" s="16"/>
      <c r="N204" s="12" t="s">
        <v>3569</v>
      </c>
      <c r="O204" s="12" t="s">
        <v>3507</v>
      </c>
      <c r="P204" s="12" t="s">
        <v>3508</v>
      </c>
      <c r="Q204" s="16"/>
      <c r="R204" s="12" t="s">
        <v>3509</v>
      </c>
      <c r="S204" s="12" t="s">
        <v>3510</v>
      </c>
      <c r="T204" s="12" t="s">
        <v>3511</v>
      </c>
      <c r="U204" s="12" t="s">
        <v>3550</v>
      </c>
      <c r="V204" s="12" t="s">
        <v>3513</v>
      </c>
      <c r="W204" s="12" t="s">
        <v>3514</v>
      </c>
      <c r="X204" s="12" t="s">
        <v>3740</v>
      </c>
      <c r="Y204" s="12" t="s">
        <v>3516</v>
      </c>
      <c r="Z204" s="12" t="s">
        <v>3517</v>
      </c>
      <c r="AA204" s="12" t="s">
        <v>3518</v>
      </c>
      <c r="AB204" s="12" t="s">
        <v>3519</v>
      </c>
      <c r="AC204" s="12" t="s">
        <v>3520</v>
      </c>
      <c r="AD204" s="12" t="s">
        <v>4054</v>
      </c>
      <c r="AE204" s="12" t="s">
        <v>3522</v>
      </c>
      <c r="AF204" s="12" t="s">
        <v>3523</v>
      </c>
      <c r="AG204" s="12" t="s">
        <v>3524</v>
      </c>
      <c r="AH204" s="12" t="s">
        <v>3525</v>
      </c>
      <c r="AI204" s="12" t="s">
        <v>3526</v>
      </c>
      <c r="AJ204" s="12" t="s">
        <v>3527</v>
      </c>
      <c r="AK204" s="12" t="s">
        <v>4139</v>
      </c>
      <c r="AL204" s="12" t="s">
        <v>3529</v>
      </c>
      <c r="AM204" s="12" t="s">
        <v>3530</v>
      </c>
      <c r="AN204" s="12" t="s">
        <v>3531</v>
      </c>
      <c r="AO204" s="12" t="s">
        <v>3658</v>
      </c>
      <c r="AP204" s="12" t="s">
        <v>3533</v>
      </c>
      <c r="AQ204" s="12" t="s">
        <v>3534</v>
      </c>
      <c r="AR204" s="12" t="s">
        <v>3535</v>
      </c>
      <c r="AS204" s="12" t="s">
        <v>3536</v>
      </c>
      <c r="AT204" s="12" t="s">
        <v>3537</v>
      </c>
      <c r="AU204" s="12" t="s">
        <v>2802</v>
      </c>
      <c r="AV204" s="12" t="s">
        <v>3538</v>
      </c>
      <c r="AW204" s="12" t="s">
        <v>3558</v>
      </c>
      <c r="AX204" s="12" t="s">
        <v>3540</v>
      </c>
      <c r="AY204" s="12" t="s">
        <v>3541</v>
      </c>
      <c r="AZ204" s="12" t="s">
        <v>3542</v>
      </c>
      <c r="BA204" s="12" t="s">
        <v>3631</v>
      </c>
      <c r="BB204" s="12" t="s">
        <v>3832</v>
      </c>
      <c r="BC204" s="17"/>
    </row>
    <row r="205" ht="22.5" customHeight="1">
      <c r="A205" s="18">
        <v>46182.88158648148</v>
      </c>
      <c r="B205" s="19" t="s">
        <v>1531</v>
      </c>
      <c r="C205" s="20">
        <v>30.0</v>
      </c>
      <c r="D205" s="24" t="s">
        <v>4140</v>
      </c>
      <c r="E205" s="22">
        <f t="shared" si="1"/>
        <v>35</v>
      </c>
      <c r="F205" s="19" t="s">
        <v>4141</v>
      </c>
      <c r="G205" s="19" t="s">
        <v>1532</v>
      </c>
      <c r="H205" s="19" t="s">
        <v>1531</v>
      </c>
      <c r="I205" s="22">
        <v>9.594788686E9</v>
      </c>
      <c r="J205" s="19" t="s">
        <v>3561</v>
      </c>
      <c r="K205" s="19" t="s">
        <v>3504</v>
      </c>
      <c r="L205" s="19" t="s">
        <v>3505</v>
      </c>
      <c r="M205" s="21"/>
      <c r="N205" s="19" t="s">
        <v>3506</v>
      </c>
      <c r="O205" s="19" t="s">
        <v>3507</v>
      </c>
      <c r="P205" s="19" t="s">
        <v>3508</v>
      </c>
      <c r="Q205" s="21"/>
      <c r="R205" s="19" t="s">
        <v>3509</v>
      </c>
      <c r="S205" s="19" t="s">
        <v>3510</v>
      </c>
      <c r="T205" s="19" t="s">
        <v>3549</v>
      </c>
      <c r="U205" s="19" t="s">
        <v>3550</v>
      </c>
      <c r="V205" s="19" t="s">
        <v>3513</v>
      </c>
      <c r="W205" s="19" t="s">
        <v>3514</v>
      </c>
      <c r="X205" s="19" t="s">
        <v>3515</v>
      </c>
      <c r="Y205" s="19" t="s">
        <v>3516</v>
      </c>
      <c r="Z205" s="19" t="s">
        <v>3517</v>
      </c>
      <c r="AA205" s="19" t="s">
        <v>3518</v>
      </c>
      <c r="AB205" s="19" t="s">
        <v>3519</v>
      </c>
      <c r="AC205" s="19" t="s">
        <v>3520</v>
      </c>
      <c r="AD205" s="19" t="s">
        <v>3521</v>
      </c>
      <c r="AE205" s="19" t="s">
        <v>3522</v>
      </c>
      <c r="AF205" s="19" t="s">
        <v>3639</v>
      </c>
      <c r="AG205" s="19" t="s">
        <v>3524</v>
      </c>
      <c r="AH205" s="19" t="s">
        <v>3525</v>
      </c>
      <c r="AI205" s="19" t="s">
        <v>3772</v>
      </c>
      <c r="AJ205" s="19" t="s">
        <v>3527</v>
      </c>
      <c r="AK205" s="19" t="s">
        <v>3528</v>
      </c>
      <c r="AL205" s="19" t="s">
        <v>3590</v>
      </c>
      <c r="AM205" s="19" t="s">
        <v>3530</v>
      </c>
      <c r="AN205" s="19" t="s">
        <v>3710</v>
      </c>
      <c r="AO205" s="19" t="s">
        <v>3557</v>
      </c>
      <c r="AP205" s="19" t="s">
        <v>3533</v>
      </c>
      <c r="AQ205" s="19" t="s">
        <v>3534</v>
      </c>
      <c r="AR205" s="19" t="s">
        <v>6</v>
      </c>
      <c r="AS205" s="19" t="s">
        <v>6</v>
      </c>
      <c r="AT205" s="19" t="s">
        <v>3537</v>
      </c>
      <c r="AU205" s="19" t="s">
        <v>6</v>
      </c>
      <c r="AV205" s="19" t="s">
        <v>6</v>
      </c>
      <c r="AW205" s="19" t="s">
        <v>3539</v>
      </c>
      <c r="AX205" s="19" t="s">
        <v>3774</v>
      </c>
      <c r="AY205" s="19" t="s">
        <v>3541</v>
      </c>
      <c r="AZ205" s="19" t="s">
        <v>3706</v>
      </c>
      <c r="BA205" s="19" t="s">
        <v>3631</v>
      </c>
      <c r="BB205" s="19" t="s">
        <v>3544</v>
      </c>
      <c r="BC205" s="23"/>
    </row>
    <row r="206" ht="22.5" customHeight="1">
      <c r="A206" s="11">
        <v>46182.88330918981</v>
      </c>
      <c r="B206" s="12" t="s">
        <v>2839</v>
      </c>
      <c r="C206" s="13">
        <v>36.0</v>
      </c>
      <c r="D206" s="14" t="s">
        <v>4142</v>
      </c>
      <c r="E206" s="15">
        <f t="shared" si="1"/>
        <v>41</v>
      </c>
      <c r="F206" s="12" t="s">
        <v>4143</v>
      </c>
      <c r="G206" s="12" t="s">
        <v>2840</v>
      </c>
      <c r="H206" s="12" t="s">
        <v>2839</v>
      </c>
      <c r="I206" s="15">
        <v>9.6209996E9</v>
      </c>
      <c r="J206" s="12" t="s">
        <v>3561</v>
      </c>
      <c r="K206" s="12" t="s">
        <v>3504</v>
      </c>
      <c r="L206" s="12" t="s">
        <v>3505</v>
      </c>
      <c r="M206" s="16"/>
      <c r="N206" s="12" t="s">
        <v>3569</v>
      </c>
      <c r="O206" s="12" t="s">
        <v>3507</v>
      </c>
      <c r="P206" s="12" t="s">
        <v>3508</v>
      </c>
      <c r="Q206" s="16"/>
      <c r="R206" s="12" t="s">
        <v>3509</v>
      </c>
      <c r="S206" s="12" t="s">
        <v>3510</v>
      </c>
      <c r="T206" s="12" t="s">
        <v>3549</v>
      </c>
      <c r="U206" s="12" t="s">
        <v>3512</v>
      </c>
      <c r="V206" s="12" t="s">
        <v>3513</v>
      </c>
      <c r="W206" s="12" t="s">
        <v>3514</v>
      </c>
      <c r="X206" s="12" t="s">
        <v>3515</v>
      </c>
      <c r="Y206" s="12" t="s">
        <v>3516</v>
      </c>
      <c r="Z206" s="12" t="s">
        <v>3517</v>
      </c>
      <c r="AA206" s="12" t="s">
        <v>3518</v>
      </c>
      <c r="AB206" s="12" t="s">
        <v>3519</v>
      </c>
      <c r="AC206" s="12" t="s">
        <v>3520</v>
      </c>
      <c r="AD206" s="12" t="s">
        <v>3521</v>
      </c>
      <c r="AE206" s="12" t="s">
        <v>3522</v>
      </c>
      <c r="AF206" s="12" t="s">
        <v>3523</v>
      </c>
      <c r="AG206" s="12" t="s">
        <v>3524</v>
      </c>
      <c r="AH206" s="12" t="s">
        <v>3525</v>
      </c>
      <c r="AI206" s="12" t="s">
        <v>3526</v>
      </c>
      <c r="AJ206" s="12" t="s">
        <v>3527</v>
      </c>
      <c r="AK206" s="12" t="s">
        <v>3528</v>
      </c>
      <c r="AL206" s="12" t="s">
        <v>3529</v>
      </c>
      <c r="AM206" s="12" t="s">
        <v>3530</v>
      </c>
      <c r="AN206" s="12" t="s">
        <v>3531</v>
      </c>
      <c r="AO206" s="12" t="s">
        <v>3532</v>
      </c>
      <c r="AP206" s="12" t="s">
        <v>3533</v>
      </c>
      <c r="AQ206" s="12" t="s">
        <v>3534</v>
      </c>
      <c r="AR206" s="12" t="s">
        <v>3535</v>
      </c>
      <c r="AS206" s="12" t="s">
        <v>3536</v>
      </c>
      <c r="AT206" s="12" t="s">
        <v>3537</v>
      </c>
      <c r="AU206" s="12" t="s">
        <v>6</v>
      </c>
      <c r="AV206" s="12" t="s">
        <v>3538</v>
      </c>
      <c r="AW206" s="12" t="s">
        <v>3558</v>
      </c>
      <c r="AX206" s="12" t="s">
        <v>3540</v>
      </c>
      <c r="AY206" s="12" t="s">
        <v>3541</v>
      </c>
      <c r="AZ206" s="12" t="s">
        <v>3542</v>
      </c>
      <c r="BA206" s="12" t="s">
        <v>3543</v>
      </c>
      <c r="BB206" s="12" t="s">
        <v>3544</v>
      </c>
      <c r="BC206" s="17"/>
    </row>
    <row r="207" ht="22.5" customHeight="1">
      <c r="A207" s="18">
        <v>46182.88553986111</v>
      </c>
      <c r="B207" s="19" t="s">
        <v>2200</v>
      </c>
      <c r="C207" s="20">
        <v>39.0</v>
      </c>
      <c r="D207" s="24" t="s">
        <v>4144</v>
      </c>
      <c r="E207" s="22">
        <f t="shared" si="1"/>
        <v>44</v>
      </c>
      <c r="F207" s="19" t="s">
        <v>4145</v>
      </c>
      <c r="G207" s="19" t="s">
        <v>4146</v>
      </c>
      <c r="H207" s="19" t="s">
        <v>2200</v>
      </c>
      <c r="I207" s="22">
        <v>9.036560366E9</v>
      </c>
      <c r="J207" s="19" t="s">
        <v>3547</v>
      </c>
      <c r="K207" s="19" t="s">
        <v>3504</v>
      </c>
      <c r="L207" s="19" t="s">
        <v>3505</v>
      </c>
      <c r="M207" s="21"/>
      <c r="N207" s="19" t="s">
        <v>3506</v>
      </c>
      <c r="O207" s="19" t="s">
        <v>3507</v>
      </c>
      <c r="P207" s="19" t="s">
        <v>3508</v>
      </c>
      <c r="Q207" s="21"/>
      <c r="R207" s="19" t="s">
        <v>3509</v>
      </c>
      <c r="S207" s="19" t="s">
        <v>3510</v>
      </c>
      <c r="T207" s="19" t="s">
        <v>3549</v>
      </c>
      <c r="U207" s="19" t="s">
        <v>3512</v>
      </c>
      <c r="V207" s="19" t="s">
        <v>3513</v>
      </c>
      <c r="W207" s="19" t="s">
        <v>3514</v>
      </c>
      <c r="X207" s="19" t="s">
        <v>3515</v>
      </c>
      <c r="Y207" s="19" t="s">
        <v>3516</v>
      </c>
      <c r="Z207" s="19" t="s">
        <v>3517</v>
      </c>
      <c r="AA207" s="19" t="s">
        <v>3518</v>
      </c>
      <c r="AB207" s="19" t="s">
        <v>3519</v>
      </c>
      <c r="AC207" s="19" t="s">
        <v>3520</v>
      </c>
      <c r="AD207" s="19" t="s">
        <v>3521</v>
      </c>
      <c r="AE207" s="19" t="s">
        <v>3522</v>
      </c>
      <c r="AF207" s="19" t="s">
        <v>3523</v>
      </c>
      <c r="AG207" s="19" t="s">
        <v>3524</v>
      </c>
      <c r="AH207" s="19" t="s">
        <v>3525</v>
      </c>
      <c r="AI207" s="19" t="s">
        <v>3526</v>
      </c>
      <c r="AJ207" s="19" t="s">
        <v>3527</v>
      </c>
      <c r="AK207" s="19" t="s">
        <v>3528</v>
      </c>
      <c r="AL207" s="19" t="s">
        <v>3529</v>
      </c>
      <c r="AM207" s="19" t="s">
        <v>3530</v>
      </c>
      <c r="AN207" s="19" t="s">
        <v>3531</v>
      </c>
      <c r="AO207" s="19" t="s">
        <v>3557</v>
      </c>
      <c r="AP207" s="19" t="s">
        <v>3533</v>
      </c>
      <c r="AQ207" s="19" t="s">
        <v>3534</v>
      </c>
      <c r="AR207" s="19" t="s">
        <v>3753</v>
      </c>
      <c r="AS207" s="19" t="s">
        <v>3536</v>
      </c>
      <c r="AT207" s="19" t="s">
        <v>3537</v>
      </c>
      <c r="AU207" s="19" t="s">
        <v>6</v>
      </c>
      <c r="AV207" s="19" t="s">
        <v>3538</v>
      </c>
      <c r="AW207" s="19" t="s">
        <v>3539</v>
      </c>
      <c r="AX207" s="19" t="s">
        <v>3540</v>
      </c>
      <c r="AY207" s="19" t="s">
        <v>3541</v>
      </c>
      <c r="AZ207" s="19" t="s">
        <v>3542</v>
      </c>
      <c r="BA207" s="19" t="s">
        <v>3543</v>
      </c>
      <c r="BB207" s="19" t="s">
        <v>3544</v>
      </c>
      <c r="BC207" s="23"/>
    </row>
    <row r="208" ht="22.5" customHeight="1">
      <c r="A208" s="11">
        <v>46182.886493541664</v>
      </c>
      <c r="B208" s="12" t="s">
        <v>316</v>
      </c>
      <c r="C208" s="13">
        <v>33.0</v>
      </c>
      <c r="D208" s="14" t="s">
        <v>4147</v>
      </c>
      <c r="E208" s="15">
        <f t="shared" si="1"/>
        <v>38</v>
      </c>
      <c r="F208" s="12" t="s">
        <v>4148</v>
      </c>
      <c r="G208" s="12" t="s">
        <v>4149</v>
      </c>
      <c r="H208" s="12" t="s">
        <v>316</v>
      </c>
      <c r="I208" s="15">
        <v>9.57119388E9</v>
      </c>
      <c r="J208" s="12" t="s">
        <v>3547</v>
      </c>
      <c r="K208" s="12" t="s">
        <v>3504</v>
      </c>
      <c r="L208" s="12" t="s">
        <v>3556</v>
      </c>
      <c r="M208" s="16"/>
      <c r="N208" s="12" t="s">
        <v>3569</v>
      </c>
      <c r="O208" s="12" t="s">
        <v>3507</v>
      </c>
      <c r="P208" s="12" t="s">
        <v>3508</v>
      </c>
      <c r="Q208" s="16"/>
      <c r="R208" s="12" t="s">
        <v>3509</v>
      </c>
      <c r="S208" s="12" t="s">
        <v>3510</v>
      </c>
      <c r="T208" s="12" t="s">
        <v>3549</v>
      </c>
      <c r="U208" s="12" t="s">
        <v>3512</v>
      </c>
      <c r="V208" s="12" t="s">
        <v>3513</v>
      </c>
      <c r="W208" s="12" t="s">
        <v>3587</v>
      </c>
      <c r="X208" s="12" t="s">
        <v>3515</v>
      </c>
      <c r="Y208" s="12" t="s">
        <v>3725</v>
      </c>
      <c r="Z208" s="12" t="s">
        <v>3517</v>
      </c>
      <c r="AA208" s="12" t="s">
        <v>3518</v>
      </c>
      <c r="AB208" s="12" t="s">
        <v>3519</v>
      </c>
      <c r="AC208" s="12" t="s">
        <v>3520</v>
      </c>
      <c r="AD208" s="12" t="s">
        <v>3521</v>
      </c>
      <c r="AE208" s="12" t="s">
        <v>3522</v>
      </c>
      <c r="AF208" s="12" t="s">
        <v>3523</v>
      </c>
      <c r="AG208" s="12" t="s">
        <v>3782</v>
      </c>
      <c r="AH208" s="12" t="s">
        <v>3525</v>
      </c>
      <c r="AI208" s="12" t="s">
        <v>3526</v>
      </c>
      <c r="AJ208" s="12" t="s">
        <v>3773</v>
      </c>
      <c r="AK208" s="12" t="s">
        <v>3528</v>
      </c>
      <c r="AL208" s="12" t="s">
        <v>3529</v>
      </c>
      <c r="AM208" s="12" t="s">
        <v>3530</v>
      </c>
      <c r="AN208" s="12" t="s">
        <v>3531</v>
      </c>
      <c r="AO208" s="12" t="s">
        <v>3557</v>
      </c>
      <c r="AP208" s="12" t="s">
        <v>3533</v>
      </c>
      <c r="AQ208" s="12" t="s">
        <v>3534</v>
      </c>
      <c r="AR208" s="12" t="s">
        <v>3535</v>
      </c>
      <c r="AS208" s="12" t="s">
        <v>3536</v>
      </c>
      <c r="AT208" s="12" t="s">
        <v>3537</v>
      </c>
      <c r="AU208" s="12" t="s">
        <v>2802</v>
      </c>
      <c r="AV208" s="12" t="s">
        <v>3538</v>
      </c>
      <c r="AW208" s="12" t="s">
        <v>3558</v>
      </c>
      <c r="AX208" s="12" t="s">
        <v>3711</v>
      </c>
      <c r="AY208" s="12" t="s">
        <v>3541</v>
      </c>
      <c r="AZ208" s="12" t="s">
        <v>3542</v>
      </c>
      <c r="BA208" s="12" t="s">
        <v>3543</v>
      </c>
      <c r="BB208" s="12" t="s">
        <v>3793</v>
      </c>
      <c r="BC208" s="17"/>
    </row>
    <row r="209" ht="22.5" customHeight="1">
      <c r="A209" s="18">
        <v>46182.88749876157</v>
      </c>
      <c r="B209" s="19" t="s">
        <v>260</v>
      </c>
      <c r="C209" s="20">
        <v>40.0</v>
      </c>
      <c r="D209" s="24" t="s">
        <v>4150</v>
      </c>
      <c r="E209" s="22">
        <f t="shared" si="1"/>
        <v>45</v>
      </c>
      <c r="F209" s="19" t="s">
        <v>4151</v>
      </c>
      <c r="G209" s="19" t="s">
        <v>261</v>
      </c>
      <c r="H209" s="19" t="s">
        <v>260</v>
      </c>
      <c r="I209" s="22">
        <v>9.942169891E9</v>
      </c>
      <c r="J209" s="19" t="s">
        <v>3547</v>
      </c>
      <c r="K209" s="19" t="s">
        <v>3504</v>
      </c>
      <c r="L209" s="19" t="s">
        <v>3556</v>
      </c>
      <c r="M209" s="21"/>
      <c r="N209" s="19" t="s">
        <v>3506</v>
      </c>
      <c r="O209" s="19" t="s">
        <v>3507</v>
      </c>
      <c r="P209" s="19" t="s">
        <v>3508</v>
      </c>
      <c r="Q209" s="21"/>
      <c r="R209" s="19" t="s">
        <v>3509</v>
      </c>
      <c r="S209" s="19" t="s">
        <v>3510</v>
      </c>
      <c r="T209" s="19" t="s">
        <v>3549</v>
      </c>
      <c r="U209" s="19" t="s">
        <v>3550</v>
      </c>
      <c r="V209" s="19" t="s">
        <v>3513</v>
      </c>
      <c r="W209" s="19" t="s">
        <v>3514</v>
      </c>
      <c r="X209" s="19" t="s">
        <v>3515</v>
      </c>
      <c r="Y209" s="19" t="s">
        <v>3516</v>
      </c>
      <c r="Z209" s="19" t="s">
        <v>3517</v>
      </c>
      <c r="AA209" s="19" t="s">
        <v>3518</v>
      </c>
      <c r="AB209" s="19" t="s">
        <v>3519</v>
      </c>
      <c r="AC209" s="19" t="s">
        <v>3520</v>
      </c>
      <c r="AD209" s="19" t="s">
        <v>3521</v>
      </c>
      <c r="AE209" s="19" t="s">
        <v>3522</v>
      </c>
      <c r="AF209" s="19" t="s">
        <v>3523</v>
      </c>
      <c r="AG209" s="19" t="s">
        <v>3524</v>
      </c>
      <c r="AH209" s="19" t="s">
        <v>3525</v>
      </c>
      <c r="AI209" s="19" t="s">
        <v>3526</v>
      </c>
      <c r="AJ209" s="19" t="s">
        <v>3527</v>
      </c>
      <c r="AK209" s="19" t="s">
        <v>3528</v>
      </c>
      <c r="AL209" s="19" t="s">
        <v>3529</v>
      </c>
      <c r="AM209" s="19" t="s">
        <v>3530</v>
      </c>
      <c r="AN209" s="19" t="s">
        <v>3531</v>
      </c>
      <c r="AO209" s="19" t="s">
        <v>3557</v>
      </c>
      <c r="AP209" s="19" t="s">
        <v>3533</v>
      </c>
      <c r="AQ209" s="19" t="s">
        <v>3534</v>
      </c>
      <c r="AR209" s="19" t="s">
        <v>3535</v>
      </c>
      <c r="AS209" s="19" t="s">
        <v>3536</v>
      </c>
      <c r="AT209" s="19" t="s">
        <v>3562</v>
      </c>
      <c r="AU209" s="19" t="s">
        <v>6</v>
      </c>
      <c r="AV209" s="19" t="s">
        <v>3538</v>
      </c>
      <c r="AW209" s="19" t="s">
        <v>3558</v>
      </c>
      <c r="AX209" s="19" t="s">
        <v>3540</v>
      </c>
      <c r="AY209" s="19" t="s">
        <v>3541</v>
      </c>
      <c r="AZ209" s="19" t="s">
        <v>3542</v>
      </c>
      <c r="BA209" s="19" t="s">
        <v>3543</v>
      </c>
      <c r="BB209" s="19" t="s">
        <v>3544</v>
      </c>
      <c r="BC209" s="23"/>
    </row>
    <row r="210" ht="22.5" customHeight="1">
      <c r="A210" s="11">
        <v>46182.88982616898</v>
      </c>
      <c r="B210" s="12" t="s">
        <v>2169</v>
      </c>
      <c r="C210" s="13">
        <v>40.0</v>
      </c>
      <c r="D210" s="14" t="s">
        <v>4152</v>
      </c>
      <c r="E210" s="15">
        <f t="shared" si="1"/>
        <v>45</v>
      </c>
      <c r="F210" s="12" t="s">
        <v>4153</v>
      </c>
      <c r="G210" s="12" t="s">
        <v>2170</v>
      </c>
      <c r="H210" s="12" t="s">
        <v>2169</v>
      </c>
      <c r="I210" s="15">
        <v>8.595385734E9</v>
      </c>
      <c r="J210" s="12" t="s">
        <v>3547</v>
      </c>
      <c r="K210" s="12" t="s">
        <v>3504</v>
      </c>
      <c r="L210" s="12" t="s">
        <v>3556</v>
      </c>
      <c r="M210" s="16"/>
      <c r="N210" s="12" t="s">
        <v>3613</v>
      </c>
      <c r="O210" s="12" t="s">
        <v>3507</v>
      </c>
      <c r="P210" s="12" t="s">
        <v>3508</v>
      </c>
      <c r="Q210" s="16"/>
      <c r="R210" s="12" t="s">
        <v>3509</v>
      </c>
      <c r="S210" s="12" t="s">
        <v>3510</v>
      </c>
      <c r="T210" s="12" t="s">
        <v>3511</v>
      </c>
      <c r="U210" s="12" t="s">
        <v>3550</v>
      </c>
      <c r="V210" s="12" t="s">
        <v>3513</v>
      </c>
      <c r="W210" s="12" t="s">
        <v>3514</v>
      </c>
      <c r="X210" s="12" t="s">
        <v>3515</v>
      </c>
      <c r="Y210" s="12" t="s">
        <v>3516</v>
      </c>
      <c r="Z210" s="12" t="s">
        <v>3517</v>
      </c>
      <c r="AA210" s="12" t="s">
        <v>3518</v>
      </c>
      <c r="AB210" s="12" t="s">
        <v>3519</v>
      </c>
      <c r="AC210" s="12" t="s">
        <v>3520</v>
      </c>
      <c r="AD210" s="12" t="s">
        <v>3521</v>
      </c>
      <c r="AE210" s="12" t="s">
        <v>3522</v>
      </c>
      <c r="AF210" s="12" t="s">
        <v>3523</v>
      </c>
      <c r="AG210" s="12" t="s">
        <v>3524</v>
      </c>
      <c r="AH210" s="12" t="s">
        <v>3525</v>
      </c>
      <c r="AI210" s="12" t="s">
        <v>3526</v>
      </c>
      <c r="AJ210" s="12" t="s">
        <v>3527</v>
      </c>
      <c r="AK210" s="12" t="s">
        <v>3528</v>
      </c>
      <c r="AL210" s="12" t="s">
        <v>3529</v>
      </c>
      <c r="AM210" s="12" t="s">
        <v>3530</v>
      </c>
      <c r="AN210" s="12" t="s">
        <v>3531</v>
      </c>
      <c r="AO210" s="12" t="s">
        <v>3557</v>
      </c>
      <c r="AP210" s="12" t="s">
        <v>3533</v>
      </c>
      <c r="AQ210" s="12" t="s">
        <v>3534</v>
      </c>
      <c r="AR210" s="12" t="s">
        <v>3535</v>
      </c>
      <c r="AS210" s="12" t="s">
        <v>3536</v>
      </c>
      <c r="AT210" s="12" t="s">
        <v>3537</v>
      </c>
      <c r="AU210" s="12" t="s">
        <v>6</v>
      </c>
      <c r="AV210" s="12" t="s">
        <v>3538</v>
      </c>
      <c r="AW210" s="12" t="s">
        <v>3539</v>
      </c>
      <c r="AX210" s="12" t="s">
        <v>3540</v>
      </c>
      <c r="AY210" s="12" t="s">
        <v>3541</v>
      </c>
      <c r="AZ210" s="12" t="s">
        <v>3542</v>
      </c>
      <c r="BA210" s="12" t="s">
        <v>3543</v>
      </c>
      <c r="BB210" s="12" t="s">
        <v>3544</v>
      </c>
      <c r="BC210" s="17"/>
    </row>
    <row r="211" ht="22.5" customHeight="1">
      <c r="A211" s="18">
        <v>46182.89517307871</v>
      </c>
      <c r="B211" s="19" t="s">
        <v>2515</v>
      </c>
      <c r="C211" s="20">
        <v>38.0</v>
      </c>
      <c r="D211" s="24" t="s">
        <v>4154</v>
      </c>
      <c r="E211" s="22">
        <f t="shared" si="1"/>
        <v>43</v>
      </c>
      <c r="F211" s="19" t="s">
        <v>4155</v>
      </c>
      <c r="G211" s="19" t="s">
        <v>2516</v>
      </c>
      <c r="H211" s="19" t="s">
        <v>2515</v>
      </c>
      <c r="I211" s="22">
        <v>7.376976716E9</v>
      </c>
      <c r="J211" s="19" t="s">
        <v>3547</v>
      </c>
      <c r="K211" s="19" t="s">
        <v>3897</v>
      </c>
      <c r="L211" s="19" t="s">
        <v>3556</v>
      </c>
      <c r="M211" s="21"/>
      <c r="N211" s="19" t="s">
        <v>3548</v>
      </c>
      <c r="O211" s="19" t="s">
        <v>3507</v>
      </c>
      <c r="P211" s="19" t="s">
        <v>3508</v>
      </c>
      <c r="Q211" s="21"/>
      <c r="R211" s="19" t="s">
        <v>3509</v>
      </c>
      <c r="S211" s="19" t="s">
        <v>3510</v>
      </c>
      <c r="T211" s="19" t="s">
        <v>3511</v>
      </c>
      <c r="U211" s="19" t="s">
        <v>3512</v>
      </c>
      <c r="V211" s="19" t="s">
        <v>3513</v>
      </c>
      <c r="W211" s="19" t="s">
        <v>3514</v>
      </c>
      <c r="X211" s="19" t="s">
        <v>3515</v>
      </c>
      <c r="Y211" s="19" t="s">
        <v>3516</v>
      </c>
      <c r="Z211" s="19" t="s">
        <v>3517</v>
      </c>
      <c r="AA211" s="19" t="s">
        <v>3518</v>
      </c>
      <c r="AB211" s="19" t="s">
        <v>3519</v>
      </c>
      <c r="AC211" s="19" t="s">
        <v>3520</v>
      </c>
      <c r="AD211" s="19" t="s">
        <v>3521</v>
      </c>
      <c r="AE211" s="19" t="s">
        <v>3522</v>
      </c>
      <c r="AF211" s="19" t="s">
        <v>3523</v>
      </c>
      <c r="AG211" s="19" t="s">
        <v>3524</v>
      </c>
      <c r="AH211" s="19" t="s">
        <v>3525</v>
      </c>
      <c r="AI211" s="19" t="s">
        <v>3526</v>
      </c>
      <c r="AJ211" s="19" t="s">
        <v>3527</v>
      </c>
      <c r="AK211" s="19" t="s">
        <v>3528</v>
      </c>
      <c r="AL211" s="19" t="s">
        <v>3529</v>
      </c>
      <c r="AM211" s="19" t="s">
        <v>3530</v>
      </c>
      <c r="AN211" s="19" t="s">
        <v>3531</v>
      </c>
      <c r="AO211" s="19" t="s">
        <v>3557</v>
      </c>
      <c r="AP211" s="19" t="s">
        <v>3533</v>
      </c>
      <c r="AQ211" s="19" t="s">
        <v>3534</v>
      </c>
      <c r="AR211" s="19" t="s">
        <v>3535</v>
      </c>
      <c r="AS211" s="19" t="s">
        <v>3536</v>
      </c>
      <c r="AT211" s="19" t="s">
        <v>3537</v>
      </c>
      <c r="AU211" s="19" t="s">
        <v>6</v>
      </c>
      <c r="AV211" s="19" t="s">
        <v>3538</v>
      </c>
      <c r="AW211" s="19" t="s">
        <v>3539</v>
      </c>
      <c r="AX211" s="19" t="s">
        <v>3540</v>
      </c>
      <c r="AY211" s="19" t="s">
        <v>3541</v>
      </c>
      <c r="AZ211" s="19" t="s">
        <v>3542</v>
      </c>
      <c r="BA211" s="19" t="s">
        <v>3543</v>
      </c>
      <c r="BB211" s="19" t="s">
        <v>3544</v>
      </c>
      <c r="BC211" s="23"/>
    </row>
    <row r="212" ht="22.5" customHeight="1">
      <c r="A212" s="11">
        <v>46182.89637681713</v>
      </c>
      <c r="B212" s="12" t="s">
        <v>1829</v>
      </c>
      <c r="C212" s="13">
        <v>30.0</v>
      </c>
      <c r="D212" s="16"/>
      <c r="E212" s="15">
        <f t="shared" si="1"/>
        <v>30</v>
      </c>
      <c r="F212" s="12" t="s">
        <v>4156</v>
      </c>
      <c r="G212" s="12" t="s">
        <v>1830</v>
      </c>
      <c r="H212" s="12" t="s">
        <v>1829</v>
      </c>
      <c r="I212" s="15">
        <v>9.73012622E9</v>
      </c>
      <c r="J212" s="12" t="s">
        <v>3503</v>
      </c>
      <c r="K212" s="12" t="s">
        <v>3504</v>
      </c>
      <c r="L212" s="12" t="s">
        <v>3556</v>
      </c>
      <c r="M212" s="16"/>
      <c r="N212" s="12" t="s">
        <v>3506</v>
      </c>
      <c r="O212" s="12" t="s">
        <v>3507</v>
      </c>
      <c r="P212" s="12" t="s">
        <v>3508</v>
      </c>
      <c r="Q212" s="16"/>
      <c r="R212" s="12" t="s">
        <v>3574</v>
      </c>
      <c r="S212" s="12" t="s">
        <v>3510</v>
      </c>
      <c r="T212" s="12" t="s">
        <v>3549</v>
      </c>
      <c r="U212" s="12" t="s">
        <v>3550</v>
      </c>
      <c r="V212" s="12" t="s">
        <v>3513</v>
      </c>
      <c r="W212" s="12" t="s">
        <v>3514</v>
      </c>
      <c r="X212" s="12" t="s">
        <v>3515</v>
      </c>
      <c r="Y212" s="12" t="s">
        <v>3516</v>
      </c>
      <c r="Z212" s="12" t="s">
        <v>3517</v>
      </c>
      <c r="AA212" s="12" t="s">
        <v>3518</v>
      </c>
      <c r="AB212" s="12" t="s">
        <v>3519</v>
      </c>
      <c r="AC212" s="12" t="s">
        <v>3520</v>
      </c>
      <c r="AD212" s="12" t="s">
        <v>3521</v>
      </c>
      <c r="AE212" s="12" t="s">
        <v>3522</v>
      </c>
      <c r="AF212" s="12" t="s">
        <v>3523</v>
      </c>
      <c r="AG212" s="12" t="s">
        <v>3524</v>
      </c>
      <c r="AH212" s="12" t="s">
        <v>3525</v>
      </c>
      <c r="AI212" s="12" t="s">
        <v>3526</v>
      </c>
      <c r="AJ212" s="16"/>
      <c r="AK212" s="12" t="s">
        <v>3528</v>
      </c>
      <c r="AL212" s="12" t="s">
        <v>3860</v>
      </c>
      <c r="AM212" s="12" t="s">
        <v>3530</v>
      </c>
      <c r="AN212" s="12" t="s">
        <v>3531</v>
      </c>
      <c r="AO212" s="12" t="s">
        <v>3532</v>
      </c>
      <c r="AP212" s="12" t="s">
        <v>3533</v>
      </c>
      <c r="AQ212" s="12" t="s">
        <v>3534</v>
      </c>
      <c r="AR212" s="12" t="s">
        <v>2802</v>
      </c>
      <c r="AS212" s="12" t="s">
        <v>3538</v>
      </c>
      <c r="AT212" s="12" t="s">
        <v>3562</v>
      </c>
      <c r="AU212" s="15">
        <v>2.0</v>
      </c>
      <c r="AV212" s="15">
        <v>4.0</v>
      </c>
      <c r="AW212" s="12" t="s">
        <v>3539</v>
      </c>
      <c r="AX212" s="12" t="s">
        <v>3774</v>
      </c>
      <c r="AY212" s="12" t="s">
        <v>3541</v>
      </c>
      <c r="AZ212" s="12" t="s">
        <v>3542</v>
      </c>
      <c r="BA212" s="12" t="s">
        <v>3699</v>
      </c>
      <c r="BB212" s="12" t="s">
        <v>3544</v>
      </c>
      <c r="BC212" s="17"/>
    </row>
    <row r="213" ht="22.5" customHeight="1">
      <c r="A213" s="18">
        <v>46182.8974040162</v>
      </c>
      <c r="B213" s="19" t="s">
        <v>2826</v>
      </c>
      <c r="C213" s="20">
        <v>38.0</v>
      </c>
      <c r="D213" s="21"/>
      <c r="E213" s="22">
        <f t="shared" si="1"/>
        <v>38</v>
      </c>
      <c r="F213" s="19" t="s">
        <v>4157</v>
      </c>
      <c r="G213" s="19" t="s">
        <v>2827</v>
      </c>
      <c r="H213" s="19" t="s">
        <v>2826</v>
      </c>
      <c r="I213" s="22">
        <v>9.496463334E9</v>
      </c>
      <c r="J213" s="19" t="s">
        <v>3547</v>
      </c>
      <c r="K213" s="19" t="s">
        <v>3504</v>
      </c>
      <c r="L213" s="19" t="s">
        <v>3556</v>
      </c>
      <c r="M213" s="21"/>
      <c r="N213" s="19" t="s">
        <v>3569</v>
      </c>
      <c r="O213" s="19" t="s">
        <v>3507</v>
      </c>
      <c r="P213" s="19" t="s">
        <v>3508</v>
      </c>
      <c r="Q213" s="21"/>
      <c r="R213" s="19" t="s">
        <v>3509</v>
      </c>
      <c r="S213" s="19" t="s">
        <v>3510</v>
      </c>
      <c r="T213" s="19" t="s">
        <v>3549</v>
      </c>
      <c r="U213" s="19" t="s">
        <v>3512</v>
      </c>
      <c r="V213" s="19" t="s">
        <v>3513</v>
      </c>
      <c r="W213" s="19" t="s">
        <v>3514</v>
      </c>
      <c r="X213" s="19" t="s">
        <v>3515</v>
      </c>
      <c r="Y213" s="19" t="s">
        <v>3516</v>
      </c>
      <c r="Z213" s="19" t="s">
        <v>3517</v>
      </c>
      <c r="AA213" s="19" t="s">
        <v>3518</v>
      </c>
      <c r="AB213" s="19" t="s">
        <v>3519</v>
      </c>
      <c r="AC213" s="19" t="s">
        <v>3520</v>
      </c>
      <c r="AD213" s="19" t="s">
        <v>3521</v>
      </c>
      <c r="AE213" s="19" t="s">
        <v>3522</v>
      </c>
      <c r="AF213" s="19" t="s">
        <v>3523</v>
      </c>
      <c r="AG213" s="19" t="s">
        <v>3524</v>
      </c>
      <c r="AH213" s="19" t="s">
        <v>3525</v>
      </c>
      <c r="AI213" s="19" t="s">
        <v>3526</v>
      </c>
      <c r="AJ213" s="19" t="s">
        <v>3527</v>
      </c>
      <c r="AK213" s="19" t="s">
        <v>3528</v>
      </c>
      <c r="AL213" s="19" t="s">
        <v>3529</v>
      </c>
      <c r="AM213" s="19" t="s">
        <v>3530</v>
      </c>
      <c r="AN213" s="19" t="s">
        <v>3531</v>
      </c>
      <c r="AO213" s="19" t="s">
        <v>3551</v>
      </c>
      <c r="AP213" s="19" t="s">
        <v>3533</v>
      </c>
      <c r="AQ213" s="19" t="s">
        <v>3534</v>
      </c>
      <c r="AR213" s="19" t="s">
        <v>3535</v>
      </c>
      <c r="AS213" s="19" t="s">
        <v>4158</v>
      </c>
      <c r="AT213" s="19" t="s">
        <v>3537</v>
      </c>
      <c r="AU213" s="19" t="s">
        <v>6</v>
      </c>
      <c r="AV213" s="19" t="s">
        <v>3538</v>
      </c>
      <c r="AW213" s="19" t="s">
        <v>3539</v>
      </c>
      <c r="AX213" s="19" t="s">
        <v>3540</v>
      </c>
      <c r="AY213" s="19" t="s">
        <v>3541</v>
      </c>
      <c r="AZ213" s="19" t="s">
        <v>3542</v>
      </c>
      <c r="BA213" s="19" t="s">
        <v>3543</v>
      </c>
      <c r="BB213" s="19" t="s">
        <v>3544</v>
      </c>
      <c r="BC213" s="23"/>
    </row>
    <row r="214" ht="22.5" customHeight="1">
      <c r="A214" s="11">
        <v>46182.900079074076</v>
      </c>
      <c r="B214" s="12" t="s">
        <v>4159</v>
      </c>
      <c r="C214" s="13">
        <v>40.0</v>
      </c>
      <c r="D214" s="14" t="s">
        <v>4160</v>
      </c>
      <c r="E214" s="15">
        <f t="shared" si="1"/>
        <v>45</v>
      </c>
      <c r="F214" s="12" t="s">
        <v>4161</v>
      </c>
      <c r="G214" s="12" t="s">
        <v>1164</v>
      </c>
      <c r="H214" s="12" t="s">
        <v>1163</v>
      </c>
      <c r="I214" s="15">
        <v>8.179098769E9</v>
      </c>
      <c r="J214" s="12" t="s">
        <v>3547</v>
      </c>
      <c r="K214" s="12" t="s">
        <v>3504</v>
      </c>
      <c r="L214" s="12" t="s">
        <v>3556</v>
      </c>
      <c r="M214" s="16"/>
      <c r="N214" s="12" t="s">
        <v>3506</v>
      </c>
      <c r="O214" s="12" t="s">
        <v>3507</v>
      </c>
      <c r="P214" s="12" t="s">
        <v>3508</v>
      </c>
      <c r="Q214" s="16"/>
      <c r="R214" s="12" t="s">
        <v>3509</v>
      </c>
      <c r="S214" s="12" t="s">
        <v>3510</v>
      </c>
      <c r="T214" s="12" t="s">
        <v>3549</v>
      </c>
      <c r="U214" s="12" t="s">
        <v>3550</v>
      </c>
      <c r="V214" s="12" t="s">
        <v>3513</v>
      </c>
      <c r="W214" s="12" t="s">
        <v>3514</v>
      </c>
      <c r="X214" s="12" t="s">
        <v>3515</v>
      </c>
      <c r="Y214" s="12" t="s">
        <v>3516</v>
      </c>
      <c r="Z214" s="12" t="s">
        <v>3517</v>
      </c>
      <c r="AA214" s="12" t="s">
        <v>3518</v>
      </c>
      <c r="AB214" s="12" t="s">
        <v>3519</v>
      </c>
      <c r="AC214" s="12" t="s">
        <v>3520</v>
      </c>
      <c r="AD214" s="12" t="s">
        <v>3521</v>
      </c>
      <c r="AE214" s="12" t="s">
        <v>3522</v>
      </c>
      <c r="AF214" s="12" t="s">
        <v>3523</v>
      </c>
      <c r="AG214" s="12" t="s">
        <v>3524</v>
      </c>
      <c r="AH214" s="12" t="s">
        <v>3525</v>
      </c>
      <c r="AI214" s="12" t="s">
        <v>3526</v>
      </c>
      <c r="AJ214" s="12" t="s">
        <v>3527</v>
      </c>
      <c r="AK214" s="12" t="s">
        <v>3528</v>
      </c>
      <c r="AL214" s="12" t="s">
        <v>3529</v>
      </c>
      <c r="AM214" s="12" t="s">
        <v>3530</v>
      </c>
      <c r="AN214" s="12" t="s">
        <v>3531</v>
      </c>
      <c r="AO214" s="12" t="s">
        <v>3551</v>
      </c>
      <c r="AP214" s="12" t="s">
        <v>3533</v>
      </c>
      <c r="AQ214" s="12" t="s">
        <v>3534</v>
      </c>
      <c r="AR214" s="12" t="s">
        <v>3535</v>
      </c>
      <c r="AS214" s="12" t="s">
        <v>3536</v>
      </c>
      <c r="AT214" s="12" t="s">
        <v>3537</v>
      </c>
      <c r="AU214" s="12" t="s">
        <v>6</v>
      </c>
      <c r="AV214" s="12" t="s">
        <v>3538</v>
      </c>
      <c r="AW214" s="12" t="s">
        <v>3558</v>
      </c>
      <c r="AX214" s="12" t="s">
        <v>3540</v>
      </c>
      <c r="AY214" s="12" t="s">
        <v>3541</v>
      </c>
      <c r="AZ214" s="12" t="s">
        <v>3542</v>
      </c>
      <c r="BA214" s="12" t="s">
        <v>3543</v>
      </c>
      <c r="BB214" s="12" t="s">
        <v>3544</v>
      </c>
      <c r="BC214" s="17"/>
    </row>
    <row r="215" ht="22.5" customHeight="1">
      <c r="A215" s="18">
        <v>46182.90123891203</v>
      </c>
      <c r="B215" s="19" t="s">
        <v>3209</v>
      </c>
      <c r="C215" s="20">
        <v>4.0</v>
      </c>
      <c r="D215" s="24" t="s">
        <v>4162</v>
      </c>
      <c r="E215" s="22">
        <f t="shared" si="1"/>
        <v>9</v>
      </c>
      <c r="F215" s="19" t="s">
        <v>4163</v>
      </c>
      <c r="G215" s="19" t="s">
        <v>4164</v>
      </c>
      <c r="H215" s="19" t="s">
        <v>3209</v>
      </c>
      <c r="I215" s="22">
        <v>7.827479361E9</v>
      </c>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19" t="s">
        <v>3535</v>
      </c>
      <c r="AS215" s="19" t="s">
        <v>3536</v>
      </c>
      <c r="AT215" s="19" t="s">
        <v>3562</v>
      </c>
      <c r="AU215" s="19" t="s">
        <v>6</v>
      </c>
      <c r="AV215" s="19" t="s">
        <v>3538</v>
      </c>
      <c r="AW215" s="21"/>
      <c r="AX215" s="21"/>
      <c r="AY215" s="21"/>
      <c r="AZ215" s="21"/>
      <c r="BA215" s="21"/>
      <c r="BB215" s="21"/>
      <c r="BC215" s="23"/>
    </row>
    <row r="216" ht="22.5" customHeight="1">
      <c r="A216" s="11">
        <v>46182.90250765046</v>
      </c>
      <c r="B216" s="12" t="s">
        <v>4165</v>
      </c>
      <c r="C216" s="13">
        <v>28.0</v>
      </c>
      <c r="D216" s="14" t="s">
        <v>4166</v>
      </c>
      <c r="E216" s="15">
        <f t="shared" si="1"/>
        <v>33</v>
      </c>
      <c r="F216" s="12" t="s">
        <v>4167</v>
      </c>
      <c r="G216" s="12" t="s">
        <v>2658</v>
      </c>
      <c r="H216" s="12" t="s">
        <v>4165</v>
      </c>
      <c r="I216" s="15">
        <v>9.423571504E9</v>
      </c>
      <c r="J216" s="12" t="s">
        <v>3503</v>
      </c>
      <c r="K216" s="12" t="s">
        <v>3504</v>
      </c>
      <c r="L216" s="12" t="s">
        <v>3505</v>
      </c>
      <c r="M216" s="16"/>
      <c r="N216" s="12" t="s">
        <v>3506</v>
      </c>
      <c r="O216" s="12" t="s">
        <v>3614</v>
      </c>
      <c r="P216" s="12" t="s">
        <v>3981</v>
      </c>
      <c r="Q216" s="16"/>
      <c r="R216" s="12" t="s">
        <v>3509</v>
      </c>
      <c r="S216" s="12" t="s">
        <v>3510</v>
      </c>
      <c r="T216" s="12" t="s">
        <v>3549</v>
      </c>
      <c r="U216" s="12" t="s">
        <v>3550</v>
      </c>
      <c r="V216" s="12" t="s">
        <v>3513</v>
      </c>
      <c r="W216" s="12" t="s">
        <v>3514</v>
      </c>
      <c r="X216" s="12" t="s">
        <v>3515</v>
      </c>
      <c r="Y216" s="12" t="s">
        <v>3516</v>
      </c>
      <c r="Z216" s="12" t="s">
        <v>3517</v>
      </c>
      <c r="AA216" s="12" t="s">
        <v>3518</v>
      </c>
      <c r="AB216" s="12" t="s">
        <v>3519</v>
      </c>
      <c r="AC216" s="12" t="s">
        <v>3638</v>
      </c>
      <c r="AD216" s="12" t="s">
        <v>3615</v>
      </c>
      <c r="AE216" s="12" t="s">
        <v>3630</v>
      </c>
      <c r="AF216" s="12" t="s">
        <v>3639</v>
      </c>
      <c r="AG216" s="12" t="s">
        <v>3524</v>
      </c>
      <c r="AH216" s="12" t="s">
        <v>3525</v>
      </c>
      <c r="AI216" s="12" t="s">
        <v>3526</v>
      </c>
      <c r="AJ216" s="12" t="s">
        <v>3527</v>
      </c>
      <c r="AK216" s="12" t="s">
        <v>3528</v>
      </c>
      <c r="AL216" s="12" t="s">
        <v>3529</v>
      </c>
      <c r="AM216" s="12" t="s">
        <v>3530</v>
      </c>
      <c r="AN216" s="12" t="s">
        <v>3531</v>
      </c>
      <c r="AO216" s="12" t="s">
        <v>3557</v>
      </c>
      <c r="AP216" s="12" t="s">
        <v>3533</v>
      </c>
      <c r="AQ216" s="12" t="s">
        <v>3534</v>
      </c>
      <c r="AR216" s="12" t="s">
        <v>3535</v>
      </c>
      <c r="AS216" s="12" t="s">
        <v>6</v>
      </c>
      <c r="AT216" s="12" t="s">
        <v>3562</v>
      </c>
      <c r="AU216" s="12" t="s">
        <v>2802</v>
      </c>
      <c r="AV216" s="12" t="s">
        <v>3536</v>
      </c>
      <c r="AW216" s="12" t="s">
        <v>3558</v>
      </c>
      <c r="AX216" s="12" t="s">
        <v>3540</v>
      </c>
      <c r="AY216" s="12" t="s">
        <v>3541</v>
      </c>
      <c r="AZ216" s="12" t="s">
        <v>3542</v>
      </c>
      <c r="BA216" s="12" t="s">
        <v>3579</v>
      </c>
      <c r="BB216" s="12" t="s">
        <v>3544</v>
      </c>
      <c r="BC216" s="17"/>
    </row>
    <row r="217" ht="22.5" customHeight="1">
      <c r="A217" s="18">
        <v>46182.904809942134</v>
      </c>
      <c r="B217" s="19" t="s">
        <v>3376</v>
      </c>
      <c r="C217" s="20">
        <v>25.0</v>
      </c>
      <c r="D217" s="24" t="s">
        <v>4168</v>
      </c>
      <c r="E217" s="22">
        <f t="shared" si="1"/>
        <v>30</v>
      </c>
      <c r="F217" s="19" t="s">
        <v>4169</v>
      </c>
      <c r="G217" s="19" t="s">
        <v>3377</v>
      </c>
      <c r="H217" s="19" t="s">
        <v>3376</v>
      </c>
      <c r="I217" s="19" t="s">
        <v>4170</v>
      </c>
      <c r="J217" s="19" t="s">
        <v>3503</v>
      </c>
      <c r="K217" s="19" t="s">
        <v>3504</v>
      </c>
      <c r="L217" s="19" t="s">
        <v>3505</v>
      </c>
      <c r="M217" s="21"/>
      <c r="N217" s="19" t="s">
        <v>3506</v>
      </c>
      <c r="O217" s="19" t="s">
        <v>3507</v>
      </c>
      <c r="P217" s="19" t="s">
        <v>3508</v>
      </c>
      <c r="Q217" s="21"/>
      <c r="R217" s="19" t="s">
        <v>3509</v>
      </c>
      <c r="S217" s="19" t="s">
        <v>3723</v>
      </c>
      <c r="T217" s="19" t="s">
        <v>3549</v>
      </c>
      <c r="U217" s="19" t="s">
        <v>3512</v>
      </c>
      <c r="V217" s="19" t="s">
        <v>3513</v>
      </c>
      <c r="W217" s="19" t="s">
        <v>3587</v>
      </c>
      <c r="X217" s="19" t="s">
        <v>3515</v>
      </c>
      <c r="Y217" s="19" t="s">
        <v>3516</v>
      </c>
      <c r="Z217" s="19" t="s">
        <v>3517</v>
      </c>
      <c r="AA217" s="19" t="s">
        <v>3518</v>
      </c>
      <c r="AB217" s="19" t="s">
        <v>3683</v>
      </c>
      <c r="AC217" s="19" t="s">
        <v>3520</v>
      </c>
      <c r="AD217" s="19" t="s">
        <v>3615</v>
      </c>
      <c r="AE217" s="19" t="s">
        <v>4134</v>
      </c>
      <c r="AF217" s="19" t="s">
        <v>3681</v>
      </c>
      <c r="AG217" s="19" t="s">
        <v>3524</v>
      </c>
      <c r="AH217" s="19" t="s">
        <v>3600</v>
      </c>
      <c r="AI217" s="19" t="s">
        <v>4171</v>
      </c>
      <c r="AJ217" s="19" t="s">
        <v>3527</v>
      </c>
      <c r="AK217" s="19" t="s">
        <v>3528</v>
      </c>
      <c r="AL217" s="19" t="s">
        <v>3529</v>
      </c>
      <c r="AM217" s="19" t="s">
        <v>3530</v>
      </c>
      <c r="AN217" s="19" t="s">
        <v>3531</v>
      </c>
      <c r="AO217" s="19" t="s">
        <v>3557</v>
      </c>
      <c r="AP217" s="19" t="s">
        <v>3533</v>
      </c>
      <c r="AQ217" s="19" t="s">
        <v>3534</v>
      </c>
      <c r="AR217" s="19" t="s">
        <v>6</v>
      </c>
      <c r="AS217" s="19" t="s">
        <v>6</v>
      </c>
      <c r="AT217" s="19" t="s">
        <v>3537</v>
      </c>
      <c r="AU217" s="19" t="s">
        <v>6</v>
      </c>
      <c r="AV217" s="19" t="s">
        <v>3536</v>
      </c>
      <c r="AW217" s="19" t="s">
        <v>3617</v>
      </c>
      <c r="AX217" s="19" t="s">
        <v>3711</v>
      </c>
      <c r="AY217" s="19" t="s">
        <v>3541</v>
      </c>
      <c r="AZ217" s="19" t="s">
        <v>3542</v>
      </c>
      <c r="BA217" s="19" t="s">
        <v>3699</v>
      </c>
      <c r="BB217" s="19" t="s">
        <v>3544</v>
      </c>
      <c r="BC217" s="23"/>
    </row>
    <row r="218" ht="22.5" customHeight="1">
      <c r="A218" s="11">
        <v>46182.90481950231</v>
      </c>
      <c r="B218" s="12" t="s">
        <v>2947</v>
      </c>
      <c r="C218" s="13">
        <v>37.0</v>
      </c>
      <c r="D218" s="14" t="s">
        <v>4172</v>
      </c>
      <c r="E218" s="15">
        <f t="shared" si="1"/>
        <v>42</v>
      </c>
      <c r="F218" s="12" t="s">
        <v>4173</v>
      </c>
      <c r="G218" s="12" t="s">
        <v>4174</v>
      </c>
      <c r="H218" s="12" t="s">
        <v>2947</v>
      </c>
      <c r="I218" s="15">
        <v>9.949086333E9</v>
      </c>
      <c r="J218" s="12" t="s">
        <v>3547</v>
      </c>
      <c r="K218" s="12" t="s">
        <v>3504</v>
      </c>
      <c r="L218" s="12" t="s">
        <v>3556</v>
      </c>
      <c r="M218" s="16"/>
      <c r="N218" s="12" t="s">
        <v>3506</v>
      </c>
      <c r="O218" s="12" t="s">
        <v>3507</v>
      </c>
      <c r="P218" s="12" t="s">
        <v>3508</v>
      </c>
      <c r="Q218" s="16"/>
      <c r="R218" s="12" t="s">
        <v>3509</v>
      </c>
      <c r="S218" s="12" t="s">
        <v>3510</v>
      </c>
      <c r="T218" s="12" t="s">
        <v>3549</v>
      </c>
      <c r="U218" s="12" t="s">
        <v>3512</v>
      </c>
      <c r="V218" s="12" t="s">
        <v>3513</v>
      </c>
      <c r="W218" s="12" t="s">
        <v>3514</v>
      </c>
      <c r="X218" s="12" t="s">
        <v>3740</v>
      </c>
      <c r="Y218" s="12" t="s">
        <v>3516</v>
      </c>
      <c r="Z218" s="12" t="s">
        <v>3608</v>
      </c>
      <c r="AA218" s="12" t="s">
        <v>3518</v>
      </c>
      <c r="AB218" s="12" t="s">
        <v>4175</v>
      </c>
      <c r="AC218" s="12" t="s">
        <v>3520</v>
      </c>
      <c r="AD218" s="12" t="s">
        <v>3521</v>
      </c>
      <c r="AE218" s="12" t="s">
        <v>3522</v>
      </c>
      <c r="AF218" s="12" t="s">
        <v>3523</v>
      </c>
      <c r="AG218" s="12" t="s">
        <v>3524</v>
      </c>
      <c r="AH218" s="12" t="s">
        <v>3525</v>
      </c>
      <c r="AI218" s="12" t="s">
        <v>3526</v>
      </c>
      <c r="AJ218" s="12" t="s">
        <v>4091</v>
      </c>
      <c r="AK218" s="12" t="s">
        <v>3528</v>
      </c>
      <c r="AL218" s="12" t="s">
        <v>3529</v>
      </c>
      <c r="AM218" s="12" t="s">
        <v>3530</v>
      </c>
      <c r="AN218" s="12" t="s">
        <v>3531</v>
      </c>
      <c r="AO218" s="12" t="s">
        <v>3557</v>
      </c>
      <c r="AP218" s="12" t="s">
        <v>3533</v>
      </c>
      <c r="AQ218" s="12" t="s">
        <v>3534</v>
      </c>
      <c r="AR218" s="12" t="s">
        <v>3535</v>
      </c>
      <c r="AS218" s="12" t="s">
        <v>3536</v>
      </c>
      <c r="AT218" s="12" t="s">
        <v>3537</v>
      </c>
      <c r="AU218" s="12" t="s">
        <v>6</v>
      </c>
      <c r="AV218" s="12" t="s">
        <v>3538</v>
      </c>
      <c r="AW218" s="12" t="s">
        <v>3539</v>
      </c>
      <c r="AX218" s="12" t="s">
        <v>3540</v>
      </c>
      <c r="AY218" s="12" t="s">
        <v>3541</v>
      </c>
      <c r="AZ218" s="12" t="s">
        <v>3542</v>
      </c>
      <c r="BA218" s="12" t="s">
        <v>3543</v>
      </c>
      <c r="BB218" s="12" t="s">
        <v>3544</v>
      </c>
      <c r="BC218" s="17"/>
    </row>
    <row r="219" ht="22.5" customHeight="1">
      <c r="A219" s="18">
        <v>46182.912381284725</v>
      </c>
      <c r="B219" s="19" t="s">
        <v>1463</v>
      </c>
      <c r="C219" s="20">
        <v>39.0</v>
      </c>
      <c r="D219" s="24" t="s">
        <v>4176</v>
      </c>
      <c r="E219" s="22">
        <f t="shared" si="1"/>
        <v>44</v>
      </c>
      <c r="F219" s="19" t="s">
        <v>4177</v>
      </c>
      <c r="G219" s="19" t="s">
        <v>1464</v>
      </c>
      <c r="H219" s="19" t="s">
        <v>1463</v>
      </c>
      <c r="I219" s="22">
        <v>9.325324892E9</v>
      </c>
      <c r="J219" s="19" t="s">
        <v>3503</v>
      </c>
      <c r="K219" s="19" t="s">
        <v>3504</v>
      </c>
      <c r="L219" s="19" t="s">
        <v>3556</v>
      </c>
      <c r="M219" s="21"/>
      <c r="N219" s="19" t="s">
        <v>3506</v>
      </c>
      <c r="O219" s="19" t="s">
        <v>3507</v>
      </c>
      <c r="P219" s="19" t="s">
        <v>3508</v>
      </c>
      <c r="Q219" s="21"/>
      <c r="R219" s="19" t="s">
        <v>3509</v>
      </c>
      <c r="S219" s="19" t="s">
        <v>3510</v>
      </c>
      <c r="T219" s="19" t="s">
        <v>3549</v>
      </c>
      <c r="U219" s="19" t="s">
        <v>3512</v>
      </c>
      <c r="V219" s="19" t="s">
        <v>3513</v>
      </c>
      <c r="W219" s="19" t="s">
        <v>3514</v>
      </c>
      <c r="X219" s="19" t="s">
        <v>3515</v>
      </c>
      <c r="Y219" s="19" t="s">
        <v>3516</v>
      </c>
      <c r="Z219" s="19" t="s">
        <v>3517</v>
      </c>
      <c r="AA219" s="19" t="s">
        <v>3518</v>
      </c>
      <c r="AB219" s="19" t="s">
        <v>3519</v>
      </c>
      <c r="AC219" s="19" t="s">
        <v>3520</v>
      </c>
      <c r="AD219" s="19" t="s">
        <v>3521</v>
      </c>
      <c r="AE219" s="19" t="s">
        <v>3522</v>
      </c>
      <c r="AF219" s="19" t="s">
        <v>3523</v>
      </c>
      <c r="AG219" s="19" t="s">
        <v>3524</v>
      </c>
      <c r="AH219" s="19" t="s">
        <v>3525</v>
      </c>
      <c r="AI219" s="19" t="s">
        <v>3526</v>
      </c>
      <c r="AJ219" s="19" t="s">
        <v>3527</v>
      </c>
      <c r="AK219" s="19" t="s">
        <v>3528</v>
      </c>
      <c r="AL219" s="19" t="s">
        <v>3529</v>
      </c>
      <c r="AM219" s="19" t="s">
        <v>3530</v>
      </c>
      <c r="AN219" s="19" t="s">
        <v>3531</v>
      </c>
      <c r="AO219" s="19" t="s">
        <v>3557</v>
      </c>
      <c r="AP219" s="19" t="s">
        <v>3533</v>
      </c>
      <c r="AQ219" s="19" t="s">
        <v>3534</v>
      </c>
      <c r="AR219" s="19" t="s">
        <v>3535</v>
      </c>
      <c r="AS219" s="19" t="s">
        <v>3536</v>
      </c>
      <c r="AT219" s="19" t="s">
        <v>3578</v>
      </c>
      <c r="AU219" s="19" t="s">
        <v>6</v>
      </c>
      <c r="AV219" s="19" t="s">
        <v>3538</v>
      </c>
      <c r="AW219" s="19" t="s">
        <v>3539</v>
      </c>
      <c r="AX219" s="19" t="s">
        <v>3540</v>
      </c>
      <c r="AY219" s="19" t="s">
        <v>3541</v>
      </c>
      <c r="AZ219" s="19" t="s">
        <v>3542</v>
      </c>
      <c r="BA219" s="19" t="s">
        <v>3543</v>
      </c>
      <c r="BB219" s="19" t="s">
        <v>3544</v>
      </c>
      <c r="BC219" s="23"/>
    </row>
    <row r="220" ht="22.5" customHeight="1">
      <c r="A220" s="11">
        <v>46182.914682118055</v>
      </c>
      <c r="B220" s="12" t="s">
        <v>1619</v>
      </c>
      <c r="C220" s="13">
        <v>41.0</v>
      </c>
      <c r="D220" s="14" t="s">
        <v>4178</v>
      </c>
      <c r="E220" s="15">
        <f t="shared" si="1"/>
        <v>46</v>
      </c>
      <c r="F220" s="25" t="s">
        <v>4179</v>
      </c>
      <c r="G220" s="12" t="s">
        <v>1620</v>
      </c>
      <c r="H220" s="12" t="s">
        <v>1619</v>
      </c>
      <c r="I220" s="15">
        <v>9.175890506E9</v>
      </c>
      <c r="J220" s="12" t="s">
        <v>3547</v>
      </c>
      <c r="K220" s="12" t="s">
        <v>3504</v>
      </c>
      <c r="L220" s="12" t="s">
        <v>3556</v>
      </c>
      <c r="M220" s="16"/>
      <c r="N220" s="12" t="s">
        <v>3506</v>
      </c>
      <c r="O220" s="12" t="s">
        <v>3507</v>
      </c>
      <c r="P220" s="12" t="s">
        <v>3508</v>
      </c>
      <c r="Q220" s="16"/>
      <c r="R220" s="12" t="s">
        <v>3509</v>
      </c>
      <c r="S220" s="12" t="s">
        <v>3510</v>
      </c>
      <c r="T220" s="12" t="s">
        <v>3549</v>
      </c>
      <c r="U220" s="12" t="s">
        <v>3512</v>
      </c>
      <c r="V220" s="12" t="s">
        <v>3513</v>
      </c>
      <c r="W220" s="12" t="s">
        <v>3514</v>
      </c>
      <c r="X220" s="12" t="s">
        <v>3515</v>
      </c>
      <c r="Y220" s="12" t="s">
        <v>3516</v>
      </c>
      <c r="Z220" s="12" t="s">
        <v>3517</v>
      </c>
      <c r="AA220" s="12" t="s">
        <v>3518</v>
      </c>
      <c r="AB220" s="12" t="s">
        <v>3519</v>
      </c>
      <c r="AC220" s="12" t="s">
        <v>3520</v>
      </c>
      <c r="AD220" s="12" t="s">
        <v>3521</v>
      </c>
      <c r="AE220" s="12" t="s">
        <v>3522</v>
      </c>
      <c r="AF220" s="12" t="s">
        <v>3523</v>
      </c>
      <c r="AG220" s="12" t="s">
        <v>3524</v>
      </c>
      <c r="AH220" s="12" t="s">
        <v>3525</v>
      </c>
      <c r="AI220" s="12" t="s">
        <v>3526</v>
      </c>
      <c r="AJ220" s="12" t="s">
        <v>3527</v>
      </c>
      <c r="AK220" s="12" t="s">
        <v>3528</v>
      </c>
      <c r="AL220" s="12" t="s">
        <v>3529</v>
      </c>
      <c r="AM220" s="12" t="s">
        <v>3530</v>
      </c>
      <c r="AN220" s="12" t="s">
        <v>3531</v>
      </c>
      <c r="AO220" s="12" t="s">
        <v>3557</v>
      </c>
      <c r="AP220" s="12" t="s">
        <v>3533</v>
      </c>
      <c r="AQ220" s="12" t="s">
        <v>3534</v>
      </c>
      <c r="AR220" s="12" t="s">
        <v>3535</v>
      </c>
      <c r="AS220" s="12" t="s">
        <v>3536</v>
      </c>
      <c r="AT220" s="12" t="s">
        <v>3537</v>
      </c>
      <c r="AU220" s="12" t="s">
        <v>6</v>
      </c>
      <c r="AV220" s="12" t="s">
        <v>3538</v>
      </c>
      <c r="AW220" s="12" t="s">
        <v>3539</v>
      </c>
      <c r="AX220" s="12" t="s">
        <v>3540</v>
      </c>
      <c r="AY220" s="12" t="s">
        <v>3541</v>
      </c>
      <c r="AZ220" s="12" t="s">
        <v>3542</v>
      </c>
      <c r="BA220" s="12" t="s">
        <v>3543</v>
      </c>
      <c r="BB220" s="12" t="s">
        <v>3544</v>
      </c>
      <c r="BC220" s="17"/>
    </row>
    <row r="221" ht="22.5" customHeight="1">
      <c r="A221" s="18">
        <v>46182.916017337964</v>
      </c>
      <c r="B221" s="19" t="s">
        <v>1649</v>
      </c>
      <c r="C221" s="20">
        <v>38.0</v>
      </c>
      <c r="D221" s="24" t="s">
        <v>4180</v>
      </c>
      <c r="E221" s="22">
        <f t="shared" si="1"/>
        <v>43</v>
      </c>
      <c r="F221" s="19" t="s">
        <v>4181</v>
      </c>
      <c r="G221" s="19" t="s">
        <v>4182</v>
      </c>
      <c r="H221" s="19" t="s">
        <v>1649</v>
      </c>
      <c r="I221" s="22">
        <v>8.767993248E9</v>
      </c>
      <c r="J221" s="19" t="s">
        <v>3547</v>
      </c>
      <c r="K221" s="19" t="s">
        <v>3504</v>
      </c>
      <c r="L221" s="19" t="s">
        <v>3556</v>
      </c>
      <c r="M221" s="21"/>
      <c r="N221" s="19" t="s">
        <v>3506</v>
      </c>
      <c r="O221" s="19" t="s">
        <v>3507</v>
      </c>
      <c r="P221" s="19" t="s">
        <v>3508</v>
      </c>
      <c r="Q221" s="21"/>
      <c r="R221" s="19" t="s">
        <v>3509</v>
      </c>
      <c r="S221" s="19" t="s">
        <v>3510</v>
      </c>
      <c r="T221" s="19" t="s">
        <v>3511</v>
      </c>
      <c r="U221" s="19" t="s">
        <v>3550</v>
      </c>
      <c r="V221" s="19" t="s">
        <v>3513</v>
      </c>
      <c r="W221" s="19" t="s">
        <v>3514</v>
      </c>
      <c r="X221" s="19" t="s">
        <v>3515</v>
      </c>
      <c r="Y221" s="19" t="s">
        <v>3516</v>
      </c>
      <c r="Z221" s="19" t="s">
        <v>3517</v>
      </c>
      <c r="AA221" s="19" t="s">
        <v>3518</v>
      </c>
      <c r="AB221" s="19" t="s">
        <v>3519</v>
      </c>
      <c r="AC221" s="19" t="s">
        <v>3520</v>
      </c>
      <c r="AD221" s="19" t="s">
        <v>3521</v>
      </c>
      <c r="AE221" s="19" t="s">
        <v>3522</v>
      </c>
      <c r="AF221" s="19" t="s">
        <v>3523</v>
      </c>
      <c r="AG221" s="19" t="s">
        <v>3524</v>
      </c>
      <c r="AH221" s="19" t="s">
        <v>3525</v>
      </c>
      <c r="AI221" s="19" t="s">
        <v>3526</v>
      </c>
      <c r="AJ221" s="19" t="s">
        <v>3527</v>
      </c>
      <c r="AK221" s="19" t="s">
        <v>3528</v>
      </c>
      <c r="AL221" s="19" t="s">
        <v>3529</v>
      </c>
      <c r="AM221" s="19" t="s">
        <v>3530</v>
      </c>
      <c r="AN221" s="19" t="s">
        <v>3531</v>
      </c>
      <c r="AO221" s="19" t="s">
        <v>3551</v>
      </c>
      <c r="AP221" s="19" t="s">
        <v>3533</v>
      </c>
      <c r="AQ221" s="19" t="s">
        <v>3534</v>
      </c>
      <c r="AR221" s="19" t="s">
        <v>3535</v>
      </c>
      <c r="AS221" s="19" t="s">
        <v>3536</v>
      </c>
      <c r="AT221" s="19" t="s">
        <v>3537</v>
      </c>
      <c r="AU221" s="19" t="s">
        <v>6</v>
      </c>
      <c r="AV221" s="19" t="s">
        <v>3536</v>
      </c>
      <c r="AW221" s="19" t="s">
        <v>3539</v>
      </c>
      <c r="AX221" s="19" t="s">
        <v>3540</v>
      </c>
      <c r="AY221" s="19" t="s">
        <v>3541</v>
      </c>
      <c r="AZ221" s="19" t="s">
        <v>3542</v>
      </c>
      <c r="BA221" s="19" t="s">
        <v>3631</v>
      </c>
      <c r="BB221" s="19" t="s">
        <v>3544</v>
      </c>
      <c r="BC221" s="23"/>
    </row>
    <row r="222" ht="22.5" customHeight="1">
      <c r="A222" s="11">
        <v>46182.91824027778</v>
      </c>
      <c r="B222" s="12" t="s">
        <v>1728</v>
      </c>
      <c r="C222" s="13">
        <v>38.0</v>
      </c>
      <c r="D222" s="16"/>
      <c r="E222" s="15">
        <f t="shared" si="1"/>
        <v>38</v>
      </c>
      <c r="F222" s="15">
        <v>1030.0</v>
      </c>
      <c r="G222" s="12" t="s">
        <v>1729</v>
      </c>
      <c r="H222" s="12" t="s">
        <v>1728</v>
      </c>
      <c r="I222" s="15">
        <v>8.31002056E9</v>
      </c>
      <c r="J222" s="12" t="s">
        <v>3547</v>
      </c>
      <c r="K222" s="12" t="s">
        <v>3504</v>
      </c>
      <c r="L222" s="12" t="s">
        <v>3556</v>
      </c>
      <c r="M222" s="16"/>
      <c r="N222" s="12" t="s">
        <v>3506</v>
      </c>
      <c r="O222" s="12" t="s">
        <v>3507</v>
      </c>
      <c r="P222" s="12" t="s">
        <v>3508</v>
      </c>
      <c r="Q222" s="16"/>
      <c r="R222" s="12" t="s">
        <v>3509</v>
      </c>
      <c r="S222" s="12" t="s">
        <v>3510</v>
      </c>
      <c r="T222" s="12" t="s">
        <v>3549</v>
      </c>
      <c r="U222" s="12" t="s">
        <v>3550</v>
      </c>
      <c r="V222" s="12" t="s">
        <v>3513</v>
      </c>
      <c r="W222" s="12" t="s">
        <v>3514</v>
      </c>
      <c r="X222" s="16"/>
      <c r="Y222" s="12" t="s">
        <v>3516</v>
      </c>
      <c r="Z222" s="12" t="s">
        <v>3517</v>
      </c>
      <c r="AA222" s="12" t="s">
        <v>3518</v>
      </c>
      <c r="AB222" s="12" t="s">
        <v>3519</v>
      </c>
      <c r="AC222" s="12" t="s">
        <v>3520</v>
      </c>
      <c r="AD222" s="12" t="s">
        <v>3521</v>
      </c>
      <c r="AE222" s="12" t="s">
        <v>3522</v>
      </c>
      <c r="AF222" s="12" t="s">
        <v>3523</v>
      </c>
      <c r="AG222" s="12" t="s">
        <v>3524</v>
      </c>
      <c r="AH222" s="12" t="s">
        <v>3525</v>
      </c>
      <c r="AI222" s="12" t="s">
        <v>3526</v>
      </c>
      <c r="AJ222" s="12" t="s">
        <v>3527</v>
      </c>
      <c r="AK222" s="12" t="s">
        <v>3528</v>
      </c>
      <c r="AL222" s="12" t="s">
        <v>3529</v>
      </c>
      <c r="AM222" s="12" t="s">
        <v>3530</v>
      </c>
      <c r="AN222" s="12" t="s">
        <v>3531</v>
      </c>
      <c r="AO222" s="12" t="s">
        <v>3532</v>
      </c>
      <c r="AP222" s="12" t="s">
        <v>3533</v>
      </c>
      <c r="AQ222" s="12" t="s">
        <v>3534</v>
      </c>
      <c r="AR222" s="12" t="s">
        <v>3753</v>
      </c>
      <c r="AS222" s="12" t="s">
        <v>3536</v>
      </c>
      <c r="AT222" s="12" t="s">
        <v>3537</v>
      </c>
      <c r="AU222" s="12" t="s">
        <v>6</v>
      </c>
      <c r="AV222" s="12" t="s">
        <v>3538</v>
      </c>
      <c r="AW222" s="12" t="s">
        <v>3558</v>
      </c>
      <c r="AX222" s="12" t="s">
        <v>3540</v>
      </c>
      <c r="AY222" s="12" t="s">
        <v>3541</v>
      </c>
      <c r="AZ222" s="12" t="s">
        <v>3542</v>
      </c>
      <c r="BA222" s="12" t="s">
        <v>3543</v>
      </c>
      <c r="BB222" s="12" t="s">
        <v>3544</v>
      </c>
      <c r="BC222" s="17"/>
    </row>
    <row r="223" ht="22.5" customHeight="1">
      <c r="A223" s="18">
        <v>46182.91938792824</v>
      </c>
      <c r="B223" s="19" t="s">
        <v>4183</v>
      </c>
      <c r="C223" s="20">
        <v>10.0</v>
      </c>
      <c r="D223" s="24" t="s">
        <v>4184</v>
      </c>
      <c r="E223" s="22">
        <f t="shared" si="1"/>
        <v>15</v>
      </c>
      <c r="F223" s="19" t="s">
        <v>4185</v>
      </c>
      <c r="G223" s="19" t="s">
        <v>3401</v>
      </c>
      <c r="H223" s="19" t="s">
        <v>1331</v>
      </c>
      <c r="I223" s="22">
        <v>9.43366484E9</v>
      </c>
      <c r="J223" s="19" t="s">
        <v>3547</v>
      </c>
      <c r="K223" s="21"/>
      <c r="L223" s="19" t="s">
        <v>3556</v>
      </c>
      <c r="M223" s="21"/>
      <c r="N223" s="19" t="s">
        <v>3569</v>
      </c>
      <c r="O223" s="19" t="s">
        <v>3507</v>
      </c>
      <c r="P223" s="19" t="s">
        <v>3508</v>
      </c>
      <c r="Q223" s="21"/>
      <c r="R223" s="21"/>
      <c r="S223" s="19" t="s">
        <v>3510</v>
      </c>
      <c r="T223" s="21"/>
      <c r="U223" s="21"/>
      <c r="V223" s="19" t="s">
        <v>3513</v>
      </c>
      <c r="W223" s="19" t="s">
        <v>3514</v>
      </c>
      <c r="X223" s="19" t="s">
        <v>3588</v>
      </c>
      <c r="Y223" s="21"/>
      <c r="Z223" s="21"/>
      <c r="AA223" s="21"/>
      <c r="AB223" s="21"/>
      <c r="AC223" s="21"/>
      <c r="AD223" s="21"/>
      <c r="AE223" s="19" t="s">
        <v>3522</v>
      </c>
      <c r="AF223" s="19" t="s">
        <v>3639</v>
      </c>
      <c r="AG223" s="21"/>
      <c r="AH223" s="21"/>
      <c r="AI223" s="21"/>
      <c r="AJ223" s="21"/>
      <c r="AK223" s="21"/>
      <c r="AL223" s="21"/>
      <c r="AM223" s="21"/>
      <c r="AN223" s="21"/>
      <c r="AO223" s="21"/>
      <c r="AP223" s="21"/>
      <c r="AQ223" s="21"/>
      <c r="AR223" s="19" t="s">
        <v>3535</v>
      </c>
      <c r="AS223" s="19" t="s">
        <v>3538</v>
      </c>
      <c r="AT223" s="19" t="s">
        <v>3562</v>
      </c>
      <c r="AU223" s="22">
        <v>2.0</v>
      </c>
      <c r="AV223" s="19" t="s">
        <v>3538</v>
      </c>
      <c r="AW223" s="21"/>
      <c r="AX223" s="21"/>
      <c r="AY223" s="21"/>
      <c r="AZ223" s="21"/>
      <c r="BA223" s="21"/>
      <c r="BB223" s="21"/>
      <c r="BC223" s="23"/>
    </row>
    <row r="224" ht="22.5" customHeight="1">
      <c r="A224" s="11">
        <v>46182.920147372686</v>
      </c>
      <c r="B224" s="12" t="s">
        <v>4186</v>
      </c>
      <c r="C224" s="13">
        <v>37.0</v>
      </c>
      <c r="D224" s="14" t="s">
        <v>4187</v>
      </c>
      <c r="E224" s="15">
        <f t="shared" si="1"/>
        <v>42</v>
      </c>
      <c r="F224" s="12" t="s">
        <v>4188</v>
      </c>
      <c r="G224" s="12" t="s">
        <v>2616</v>
      </c>
      <c r="H224" s="12" t="s">
        <v>4186</v>
      </c>
      <c r="I224" s="15">
        <v>8.291614019E9</v>
      </c>
      <c r="J224" s="12" t="s">
        <v>3503</v>
      </c>
      <c r="K224" s="12" t="s">
        <v>3504</v>
      </c>
      <c r="L224" s="12" t="s">
        <v>3556</v>
      </c>
      <c r="M224" s="16"/>
      <c r="N224" s="12" t="s">
        <v>3548</v>
      </c>
      <c r="O224" s="12" t="s">
        <v>3507</v>
      </c>
      <c r="P224" s="12" t="s">
        <v>3508</v>
      </c>
      <c r="Q224" s="16"/>
      <c r="R224" s="12" t="s">
        <v>3509</v>
      </c>
      <c r="S224" s="12" t="s">
        <v>3510</v>
      </c>
      <c r="T224" s="12" t="s">
        <v>3511</v>
      </c>
      <c r="U224" s="12" t="s">
        <v>3550</v>
      </c>
      <c r="V224" s="12" t="s">
        <v>3513</v>
      </c>
      <c r="W224" s="12" t="s">
        <v>3514</v>
      </c>
      <c r="X224" s="12" t="s">
        <v>3515</v>
      </c>
      <c r="Y224" s="12" t="s">
        <v>3516</v>
      </c>
      <c r="Z224" s="12" t="s">
        <v>3517</v>
      </c>
      <c r="AA224" s="12" t="s">
        <v>3518</v>
      </c>
      <c r="AB224" s="12" t="s">
        <v>3519</v>
      </c>
      <c r="AC224" s="12" t="s">
        <v>3520</v>
      </c>
      <c r="AD224" s="12" t="s">
        <v>3521</v>
      </c>
      <c r="AE224" s="12" t="s">
        <v>3522</v>
      </c>
      <c r="AF224" s="12" t="s">
        <v>3523</v>
      </c>
      <c r="AG224" s="12" t="s">
        <v>3524</v>
      </c>
      <c r="AH224" s="12" t="s">
        <v>3525</v>
      </c>
      <c r="AI224" s="12" t="s">
        <v>3526</v>
      </c>
      <c r="AJ224" s="12" t="s">
        <v>3527</v>
      </c>
      <c r="AK224" s="12" t="s">
        <v>3528</v>
      </c>
      <c r="AL224" s="12" t="s">
        <v>3529</v>
      </c>
      <c r="AM224" s="12" t="s">
        <v>3530</v>
      </c>
      <c r="AN224" s="12" t="s">
        <v>3531</v>
      </c>
      <c r="AO224" s="12" t="s">
        <v>3551</v>
      </c>
      <c r="AP224" s="12" t="s">
        <v>3533</v>
      </c>
      <c r="AQ224" s="12" t="s">
        <v>3534</v>
      </c>
      <c r="AR224" s="12" t="s">
        <v>3535</v>
      </c>
      <c r="AS224" s="12" t="s">
        <v>3536</v>
      </c>
      <c r="AT224" s="12" t="s">
        <v>3537</v>
      </c>
      <c r="AU224" s="12" t="s">
        <v>6</v>
      </c>
      <c r="AV224" s="12" t="s">
        <v>3538</v>
      </c>
      <c r="AW224" s="12" t="s">
        <v>3558</v>
      </c>
      <c r="AX224" s="12" t="s">
        <v>3540</v>
      </c>
      <c r="AY224" s="12" t="s">
        <v>3541</v>
      </c>
      <c r="AZ224" s="12" t="s">
        <v>3542</v>
      </c>
      <c r="BA224" s="12" t="s">
        <v>3543</v>
      </c>
      <c r="BB224" s="12" t="s">
        <v>3544</v>
      </c>
      <c r="BC224" s="17"/>
    </row>
    <row r="225" ht="22.5" customHeight="1">
      <c r="A225" s="18">
        <v>46182.92117804398</v>
      </c>
      <c r="B225" s="19" t="s">
        <v>2030</v>
      </c>
      <c r="C225" s="20">
        <v>37.0</v>
      </c>
      <c r="D225" s="21"/>
      <c r="E225" s="22">
        <f t="shared" si="1"/>
        <v>37</v>
      </c>
      <c r="F225" s="19" t="s">
        <v>4189</v>
      </c>
      <c r="G225" s="19" t="s">
        <v>2031</v>
      </c>
      <c r="H225" s="19" t="s">
        <v>2030</v>
      </c>
      <c r="I225" s="22">
        <v>9.392337325E9</v>
      </c>
      <c r="J225" s="19" t="s">
        <v>3547</v>
      </c>
      <c r="K225" s="19" t="s">
        <v>3504</v>
      </c>
      <c r="L225" s="19" t="s">
        <v>3556</v>
      </c>
      <c r="M225" s="21"/>
      <c r="N225" s="19" t="s">
        <v>3569</v>
      </c>
      <c r="O225" s="19" t="s">
        <v>3507</v>
      </c>
      <c r="P225" s="19" t="s">
        <v>3508</v>
      </c>
      <c r="Q225" s="21"/>
      <c r="R225" s="19" t="s">
        <v>3509</v>
      </c>
      <c r="S225" s="19" t="s">
        <v>3510</v>
      </c>
      <c r="T225" s="19" t="s">
        <v>3549</v>
      </c>
      <c r="U225" s="19" t="s">
        <v>3512</v>
      </c>
      <c r="V225" s="19" t="s">
        <v>3513</v>
      </c>
      <c r="W225" s="19" t="s">
        <v>3587</v>
      </c>
      <c r="X225" s="19" t="s">
        <v>3515</v>
      </c>
      <c r="Y225" s="19" t="s">
        <v>3516</v>
      </c>
      <c r="Z225" s="19" t="s">
        <v>3517</v>
      </c>
      <c r="AA225" s="19" t="s">
        <v>3518</v>
      </c>
      <c r="AB225" s="19" t="s">
        <v>3683</v>
      </c>
      <c r="AC225" s="19" t="s">
        <v>3520</v>
      </c>
      <c r="AD225" s="19" t="s">
        <v>3521</v>
      </c>
      <c r="AE225" s="19" t="s">
        <v>3522</v>
      </c>
      <c r="AF225" s="19" t="s">
        <v>3523</v>
      </c>
      <c r="AG225" s="19" t="s">
        <v>3524</v>
      </c>
      <c r="AH225" s="19" t="s">
        <v>3525</v>
      </c>
      <c r="AI225" s="19" t="s">
        <v>3526</v>
      </c>
      <c r="AJ225" s="19" t="s">
        <v>3527</v>
      </c>
      <c r="AK225" s="19" t="s">
        <v>3528</v>
      </c>
      <c r="AL225" s="19" t="s">
        <v>3529</v>
      </c>
      <c r="AM225" s="19" t="s">
        <v>3530</v>
      </c>
      <c r="AN225" s="19" t="s">
        <v>3531</v>
      </c>
      <c r="AO225" s="19" t="s">
        <v>3557</v>
      </c>
      <c r="AP225" s="19" t="s">
        <v>3533</v>
      </c>
      <c r="AQ225" s="19" t="s">
        <v>3534</v>
      </c>
      <c r="AR225" s="19" t="s">
        <v>3535</v>
      </c>
      <c r="AS225" s="19" t="s">
        <v>3536</v>
      </c>
      <c r="AT225" s="19" t="s">
        <v>3537</v>
      </c>
      <c r="AU225" s="19" t="s">
        <v>6</v>
      </c>
      <c r="AV225" s="19" t="s">
        <v>3538</v>
      </c>
      <c r="AW225" s="19" t="s">
        <v>3558</v>
      </c>
      <c r="AX225" s="19" t="s">
        <v>3540</v>
      </c>
      <c r="AY225" s="19" t="s">
        <v>3541</v>
      </c>
      <c r="AZ225" s="19" t="s">
        <v>3542</v>
      </c>
      <c r="BA225" s="19" t="s">
        <v>3543</v>
      </c>
      <c r="BB225" s="19" t="s">
        <v>3544</v>
      </c>
      <c r="BC225" s="23"/>
    </row>
    <row r="226" ht="22.5" customHeight="1">
      <c r="A226" s="11">
        <v>46182.92514289352</v>
      </c>
      <c r="B226" s="12" t="s">
        <v>2185</v>
      </c>
      <c r="C226" s="13">
        <v>41.0</v>
      </c>
      <c r="D226" s="14" t="s">
        <v>4190</v>
      </c>
      <c r="E226" s="15">
        <f t="shared" si="1"/>
        <v>46</v>
      </c>
      <c r="F226" s="12" t="s">
        <v>4191</v>
      </c>
      <c r="G226" s="12" t="s">
        <v>4192</v>
      </c>
      <c r="H226" s="12" t="s">
        <v>4193</v>
      </c>
      <c r="I226" s="15">
        <v>8.263959892E9</v>
      </c>
      <c r="J226" s="12" t="s">
        <v>3547</v>
      </c>
      <c r="K226" s="12" t="s">
        <v>3504</v>
      </c>
      <c r="L226" s="12" t="s">
        <v>3556</v>
      </c>
      <c r="M226" s="16"/>
      <c r="N226" s="12" t="s">
        <v>3506</v>
      </c>
      <c r="O226" s="12" t="s">
        <v>3507</v>
      </c>
      <c r="P226" s="12" t="s">
        <v>3508</v>
      </c>
      <c r="Q226" s="16"/>
      <c r="R226" s="12" t="s">
        <v>3509</v>
      </c>
      <c r="S226" s="12" t="s">
        <v>3510</v>
      </c>
      <c r="T226" s="12" t="s">
        <v>3549</v>
      </c>
      <c r="U226" s="12" t="s">
        <v>3550</v>
      </c>
      <c r="V226" s="12" t="s">
        <v>3513</v>
      </c>
      <c r="W226" s="12" t="s">
        <v>3514</v>
      </c>
      <c r="X226" s="12" t="s">
        <v>3515</v>
      </c>
      <c r="Y226" s="12" t="s">
        <v>3516</v>
      </c>
      <c r="Z226" s="12" t="s">
        <v>3517</v>
      </c>
      <c r="AA226" s="12" t="s">
        <v>3518</v>
      </c>
      <c r="AB226" s="12" t="s">
        <v>3519</v>
      </c>
      <c r="AC226" s="12" t="s">
        <v>3520</v>
      </c>
      <c r="AD226" s="12" t="s">
        <v>3521</v>
      </c>
      <c r="AE226" s="12" t="s">
        <v>3522</v>
      </c>
      <c r="AF226" s="12" t="s">
        <v>3523</v>
      </c>
      <c r="AG226" s="12" t="s">
        <v>3524</v>
      </c>
      <c r="AH226" s="12" t="s">
        <v>3525</v>
      </c>
      <c r="AI226" s="12" t="s">
        <v>3526</v>
      </c>
      <c r="AJ226" s="12" t="s">
        <v>3527</v>
      </c>
      <c r="AK226" s="12" t="s">
        <v>3528</v>
      </c>
      <c r="AL226" s="12" t="s">
        <v>3529</v>
      </c>
      <c r="AM226" s="12" t="s">
        <v>3530</v>
      </c>
      <c r="AN226" s="12" t="s">
        <v>3531</v>
      </c>
      <c r="AO226" s="12" t="s">
        <v>3557</v>
      </c>
      <c r="AP226" s="12" t="s">
        <v>3533</v>
      </c>
      <c r="AQ226" s="12" t="s">
        <v>3534</v>
      </c>
      <c r="AR226" s="12" t="s">
        <v>3535</v>
      </c>
      <c r="AS226" s="12" t="s">
        <v>3536</v>
      </c>
      <c r="AT226" s="12" t="s">
        <v>3537</v>
      </c>
      <c r="AU226" s="12" t="s">
        <v>6</v>
      </c>
      <c r="AV226" s="12" t="s">
        <v>3538</v>
      </c>
      <c r="AW226" s="12" t="s">
        <v>3558</v>
      </c>
      <c r="AX226" s="12" t="s">
        <v>3540</v>
      </c>
      <c r="AY226" s="12" t="s">
        <v>3541</v>
      </c>
      <c r="AZ226" s="12" t="s">
        <v>3542</v>
      </c>
      <c r="BA226" s="12" t="s">
        <v>3543</v>
      </c>
      <c r="BB226" s="12" t="s">
        <v>3544</v>
      </c>
      <c r="BC226" s="17"/>
    </row>
    <row r="227" ht="22.5" customHeight="1">
      <c r="A227" s="18">
        <v>46182.9264985301</v>
      </c>
      <c r="B227" s="19" t="s">
        <v>4194</v>
      </c>
      <c r="C227" s="20">
        <v>39.0</v>
      </c>
      <c r="D227" s="24" t="s">
        <v>4195</v>
      </c>
      <c r="E227" s="22">
        <f t="shared" si="1"/>
        <v>44</v>
      </c>
      <c r="F227" s="19" t="s">
        <v>4196</v>
      </c>
      <c r="G227" s="19" t="s">
        <v>63</v>
      </c>
      <c r="H227" s="19" t="s">
        <v>62</v>
      </c>
      <c r="I227" s="22">
        <v>8.840990927E9</v>
      </c>
      <c r="J227" s="19" t="s">
        <v>3547</v>
      </c>
      <c r="K227" s="19" t="s">
        <v>3504</v>
      </c>
      <c r="L227" s="19" t="s">
        <v>3556</v>
      </c>
      <c r="M227" s="21"/>
      <c r="N227" s="19" t="s">
        <v>3548</v>
      </c>
      <c r="O227" s="19" t="s">
        <v>3507</v>
      </c>
      <c r="P227" s="19" t="s">
        <v>3508</v>
      </c>
      <c r="Q227" s="21"/>
      <c r="R227" s="19" t="s">
        <v>3509</v>
      </c>
      <c r="S227" s="19" t="s">
        <v>3510</v>
      </c>
      <c r="T227" s="19" t="s">
        <v>3549</v>
      </c>
      <c r="U227" s="19" t="s">
        <v>3550</v>
      </c>
      <c r="V227" s="19" t="s">
        <v>3513</v>
      </c>
      <c r="W227" s="19" t="s">
        <v>3514</v>
      </c>
      <c r="X227" s="19" t="s">
        <v>3515</v>
      </c>
      <c r="Y227" s="19" t="s">
        <v>3516</v>
      </c>
      <c r="Z227" s="19" t="s">
        <v>3517</v>
      </c>
      <c r="AA227" s="19" t="s">
        <v>3518</v>
      </c>
      <c r="AB227" s="19" t="s">
        <v>3519</v>
      </c>
      <c r="AC227" s="19" t="s">
        <v>3520</v>
      </c>
      <c r="AD227" s="19" t="s">
        <v>3521</v>
      </c>
      <c r="AE227" s="19" t="s">
        <v>3522</v>
      </c>
      <c r="AF227" s="19" t="s">
        <v>3523</v>
      </c>
      <c r="AG227" s="19" t="s">
        <v>3524</v>
      </c>
      <c r="AH227" s="19" t="s">
        <v>3525</v>
      </c>
      <c r="AI227" s="19" t="s">
        <v>3526</v>
      </c>
      <c r="AJ227" s="19" t="s">
        <v>3527</v>
      </c>
      <c r="AK227" s="19" t="s">
        <v>3528</v>
      </c>
      <c r="AL227" s="19" t="s">
        <v>3529</v>
      </c>
      <c r="AM227" s="19" t="s">
        <v>3530</v>
      </c>
      <c r="AN227" s="19" t="s">
        <v>3710</v>
      </c>
      <c r="AO227" s="19" t="s">
        <v>3557</v>
      </c>
      <c r="AP227" s="19" t="s">
        <v>3533</v>
      </c>
      <c r="AQ227" s="19" t="s">
        <v>3534</v>
      </c>
      <c r="AR227" s="19" t="s">
        <v>3535</v>
      </c>
      <c r="AS227" s="19" t="s">
        <v>3536</v>
      </c>
      <c r="AT227" s="19" t="s">
        <v>3562</v>
      </c>
      <c r="AU227" s="19" t="s">
        <v>6</v>
      </c>
      <c r="AV227" s="19" t="s">
        <v>3538</v>
      </c>
      <c r="AW227" s="19" t="s">
        <v>3539</v>
      </c>
      <c r="AX227" s="19" t="s">
        <v>3540</v>
      </c>
      <c r="AY227" s="19" t="s">
        <v>3541</v>
      </c>
      <c r="AZ227" s="19" t="s">
        <v>3542</v>
      </c>
      <c r="BA227" s="19" t="s">
        <v>3543</v>
      </c>
      <c r="BB227" s="19" t="s">
        <v>3544</v>
      </c>
      <c r="BC227" s="23"/>
    </row>
    <row r="228" ht="22.5" customHeight="1">
      <c r="A228" s="11">
        <v>46182.93113513889</v>
      </c>
      <c r="B228" s="12" t="s">
        <v>1655</v>
      </c>
      <c r="C228" s="13">
        <v>41.0</v>
      </c>
      <c r="D228" s="14" t="s">
        <v>4197</v>
      </c>
      <c r="E228" s="15">
        <f t="shared" si="1"/>
        <v>46</v>
      </c>
      <c r="F228" s="12" t="s">
        <v>4198</v>
      </c>
      <c r="G228" s="12" t="s">
        <v>4199</v>
      </c>
      <c r="H228" s="12" t="s">
        <v>1655</v>
      </c>
      <c r="I228" s="15">
        <v>8.318980881E9</v>
      </c>
      <c r="J228" s="12" t="s">
        <v>3547</v>
      </c>
      <c r="K228" s="12" t="s">
        <v>3504</v>
      </c>
      <c r="L228" s="12" t="s">
        <v>3556</v>
      </c>
      <c r="M228" s="16"/>
      <c r="N228" s="12" t="s">
        <v>3506</v>
      </c>
      <c r="O228" s="12" t="s">
        <v>3507</v>
      </c>
      <c r="P228" s="12" t="s">
        <v>3508</v>
      </c>
      <c r="Q228" s="16"/>
      <c r="R228" s="12" t="s">
        <v>3509</v>
      </c>
      <c r="S228" s="12" t="s">
        <v>3510</v>
      </c>
      <c r="T228" s="12" t="s">
        <v>3549</v>
      </c>
      <c r="U228" s="12" t="s">
        <v>3550</v>
      </c>
      <c r="V228" s="12" t="s">
        <v>3513</v>
      </c>
      <c r="W228" s="12" t="s">
        <v>3514</v>
      </c>
      <c r="X228" s="12" t="s">
        <v>3515</v>
      </c>
      <c r="Y228" s="12" t="s">
        <v>3516</v>
      </c>
      <c r="Z228" s="12" t="s">
        <v>3517</v>
      </c>
      <c r="AA228" s="12" t="s">
        <v>3518</v>
      </c>
      <c r="AB228" s="12" t="s">
        <v>3519</v>
      </c>
      <c r="AC228" s="12" t="s">
        <v>3520</v>
      </c>
      <c r="AD228" s="12" t="s">
        <v>3521</v>
      </c>
      <c r="AE228" s="12" t="s">
        <v>3522</v>
      </c>
      <c r="AF228" s="12" t="s">
        <v>3523</v>
      </c>
      <c r="AG228" s="12" t="s">
        <v>3524</v>
      </c>
      <c r="AH228" s="12" t="s">
        <v>3525</v>
      </c>
      <c r="AI228" s="12" t="s">
        <v>3526</v>
      </c>
      <c r="AJ228" s="12" t="s">
        <v>3527</v>
      </c>
      <c r="AK228" s="12" t="s">
        <v>3528</v>
      </c>
      <c r="AL228" s="12" t="s">
        <v>3529</v>
      </c>
      <c r="AM228" s="12" t="s">
        <v>3530</v>
      </c>
      <c r="AN228" s="12" t="s">
        <v>3531</v>
      </c>
      <c r="AO228" s="12" t="s">
        <v>3557</v>
      </c>
      <c r="AP228" s="12" t="s">
        <v>3533</v>
      </c>
      <c r="AQ228" s="12" t="s">
        <v>3534</v>
      </c>
      <c r="AR228" s="12" t="s">
        <v>3535</v>
      </c>
      <c r="AS228" s="12" t="s">
        <v>3536</v>
      </c>
      <c r="AT228" s="12" t="s">
        <v>3537</v>
      </c>
      <c r="AU228" s="12" t="s">
        <v>6</v>
      </c>
      <c r="AV228" s="12" t="s">
        <v>3538</v>
      </c>
      <c r="AW228" s="12" t="s">
        <v>3558</v>
      </c>
      <c r="AX228" s="12" t="s">
        <v>3540</v>
      </c>
      <c r="AY228" s="12" t="s">
        <v>3541</v>
      </c>
      <c r="AZ228" s="12" t="s">
        <v>3542</v>
      </c>
      <c r="BA228" s="12" t="s">
        <v>3543</v>
      </c>
      <c r="BB228" s="12" t="s">
        <v>3544</v>
      </c>
      <c r="BC228" s="17"/>
    </row>
    <row r="229" ht="22.5" customHeight="1">
      <c r="A229" s="18">
        <v>46182.931673784726</v>
      </c>
      <c r="B229" s="19" t="s">
        <v>4200</v>
      </c>
      <c r="C229" s="20">
        <v>35.0</v>
      </c>
      <c r="D229" s="24" t="s">
        <v>4201</v>
      </c>
      <c r="E229" s="22">
        <f t="shared" si="1"/>
        <v>40</v>
      </c>
      <c r="F229" s="19" t="s">
        <v>4202</v>
      </c>
      <c r="G229" s="19" t="s">
        <v>1000</v>
      </c>
      <c r="H229" s="19" t="s">
        <v>999</v>
      </c>
      <c r="I229" s="22">
        <v>8.795579874E9</v>
      </c>
      <c r="J229" s="19" t="s">
        <v>3547</v>
      </c>
      <c r="K229" s="19" t="s">
        <v>3504</v>
      </c>
      <c r="L229" s="19" t="s">
        <v>3556</v>
      </c>
      <c r="M229" s="21"/>
      <c r="N229" s="19" t="s">
        <v>3569</v>
      </c>
      <c r="O229" s="19" t="s">
        <v>3507</v>
      </c>
      <c r="P229" s="19" t="s">
        <v>3508</v>
      </c>
      <c r="Q229" s="21"/>
      <c r="R229" s="19" t="s">
        <v>3509</v>
      </c>
      <c r="S229" s="19" t="s">
        <v>3510</v>
      </c>
      <c r="T229" s="19" t="s">
        <v>3511</v>
      </c>
      <c r="U229" s="19" t="s">
        <v>3550</v>
      </c>
      <c r="V229" s="19" t="s">
        <v>3513</v>
      </c>
      <c r="W229" s="19" t="s">
        <v>3587</v>
      </c>
      <c r="X229" s="19" t="s">
        <v>3515</v>
      </c>
      <c r="Y229" s="19" t="s">
        <v>3516</v>
      </c>
      <c r="Z229" s="19" t="s">
        <v>3517</v>
      </c>
      <c r="AA229" s="19" t="s">
        <v>3518</v>
      </c>
      <c r="AB229" s="19" t="s">
        <v>3519</v>
      </c>
      <c r="AC229" s="19" t="s">
        <v>3520</v>
      </c>
      <c r="AD229" s="19" t="s">
        <v>3521</v>
      </c>
      <c r="AE229" s="19" t="s">
        <v>3704</v>
      </c>
      <c r="AF229" s="19" t="s">
        <v>3523</v>
      </c>
      <c r="AG229" s="19" t="s">
        <v>3524</v>
      </c>
      <c r="AH229" s="19" t="s">
        <v>3525</v>
      </c>
      <c r="AI229" s="19" t="s">
        <v>3526</v>
      </c>
      <c r="AJ229" s="19" t="s">
        <v>3527</v>
      </c>
      <c r="AK229" s="19" t="s">
        <v>3528</v>
      </c>
      <c r="AL229" s="19" t="s">
        <v>3529</v>
      </c>
      <c r="AM229" s="19" t="s">
        <v>3530</v>
      </c>
      <c r="AN229" s="19" t="s">
        <v>3531</v>
      </c>
      <c r="AO229" s="19" t="s">
        <v>3557</v>
      </c>
      <c r="AP229" s="21"/>
      <c r="AQ229" s="19" t="s">
        <v>3534</v>
      </c>
      <c r="AR229" s="19" t="s">
        <v>3535</v>
      </c>
      <c r="AS229" s="19" t="s">
        <v>3536</v>
      </c>
      <c r="AT229" s="19" t="s">
        <v>3562</v>
      </c>
      <c r="AU229" s="19" t="s">
        <v>6</v>
      </c>
      <c r="AV229" s="19" t="s">
        <v>3538</v>
      </c>
      <c r="AW229" s="19" t="s">
        <v>3558</v>
      </c>
      <c r="AX229" s="19" t="s">
        <v>3540</v>
      </c>
      <c r="AY229" s="19" t="s">
        <v>3541</v>
      </c>
      <c r="AZ229" s="19" t="s">
        <v>3542</v>
      </c>
      <c r="BA229" s="19" t="s">
        <v>3543</v>
      </c>
      <c r="BB229" s="19" t="s">
        <v>3544</v>
      </c>
      <c r="BC229" s="23"/>
    </row>
    <row r="230" ht="22.5" customHeight="1">
      <c r="A230" s="11">
        <v>46182.93315221065</v>
      </c>
      <c r="B230" s="12" t="s">
        <v>2059</v>
      </c>
      <c r="C230" s="13">
        <v>32.0</v>
      </c>
      <c r="D230" s="14" t="s">
        <v>4203</v>
      </c>
      <c r="E230" s="15">
        <f t="shared" si="1"/>
        <v>37</v>
      </c>
      <c r="F230" s="12" t="s">
        <v>4204</v>
      </c>
      <c r="G230" s="12" t="s">
        <v>4205</v>
      </c>
      <c r="H230" s="12" t="s">
        <v>2059</v>
      </c>
      <c r="I230" s="15">
        <v>9.875454894E9</v>
      </c>
      <c r="J230" s="12" t="s">
        <v>3503</v>
      </c>
      <c r="K230" s="12" t="s">
        <v>3504</v>
      </c>
      <c r="L230" s="12" t="s">
        <v>3556</v>
      </c>
      <c r="M230" s="16"/>
      <c r="N230" s="12" t="s">
        <v>3613</v>
      </c>
      <c r="O230" s="16"/>
      <c r="P230" s="12" t="s">
        <v>3508</v>
      </c>
      <c r="Q230" s="16"/>
      <c r="R230" s="12" t="s">
        <v>3509</v>
      </c>
      <c r="S230" s="12" t="s">
        <v>3510</v>
      </c>
      <c r="T230" s="12" t="s">
        <v>3511</v>
      </c>
      <c r="U230" s="12" t="s">
        <v>3550</v>
      </c>
      <c r="V230" s="12" t="s">
        <v>3513</v>
      </c>
      <c r="W230" s="12" t="s">
        <v>3514</v>
      </c>
      <c r="X230" s="12" t="s">
        <v>3515</v>
      </c>
      <c r="Y230" s="12" t="s">
        <v>3516</v>
      </c>
      <c r="Z230" s="16"/>
      <c r="AA230" s="12" t="s">
        <v>3518</v>
      </c>
      <c r="AB230" s="12" t="s">
        <v>3519</v>
      </c>
      <c r="AC230" s="12" t="s">
        <v>3520</v>
      </c>
      <c r="AD230" s="12" t="s">
        <v>3521</v>
      </c>
      <c r="AE230" s="16"/>
      <c r="AF230" s="12" t="s">
        <v>3523</v>
      </c>
      <c r="AG230" s="16"/>
      <c r="AH230" s="12" t="s">
        <v>3525</v>
      </c>
      <c r="AI230" s="12" t="s">
        <v>3526</v>
      </c>
      <c r="AJ230" s="16"/>
      <c r="AK230" s="12" t="s">
        <v>3528</v>
      </c>
      <c r="AL230" s="12" t="s">
        <v>3529</v>
      </c>
      <c r="AM230" s="12" t="s">
        <v>3530</v>
      </c>
      <c r="AN230" s="12" t="s">
        <v>3531</v>
      </c>
      <c r="AO230" s="12" t="s">
        <v>3658</v>
      </c>
      <c r="AP230" s="12" t="s">
        <v>3533</v>
      </c>
      <c r="AQ230" s="12" t="s">
        <v>3534</v>
      </c>
      <c r="AR230" s="12" t="s">
        <v>3535</v>
      </c>
      <c r="AS230" s="12" t="s">
        <v>3536</v>
      </c>
      <c r="AT230" s="12" t="s">
        <v>3537</v>
      </c>
      <c r="AU230" s="12" t="s">
        <v>6</v>
      </c>
      <c r="AV230" s="12" t="s">
        <v>3538</v>
      </c>
      <c r="AW230" s="12" t="s">
        <v>3558</v>
      </c>
      <c r="AX230" s="12" t="s">
        <v>3540</v>
      </c>
      <c r="AY230" s="12" t="s">
        <v>3541</v>
      </c>
      <c r="AZ230" s="12" t="s">
        <v>3542</v>
      </c>
      <c r="BA230" s="12" t="s">
        <v>3543</v>
      </c>
      <c r="BB230" s="12" t="s">
        <v>3544</v>
      </c>
      <c r="BC230" s="17"/>
    </row>
    <row r="231" ht="22.5" customHeight="1">
      <c r="A231" s="18">
        <v>46182.93391476852</v>
      </c>
      <c r="B231" s="19" t="s">
        <v>948</v>
      </c>
      <c r="C231" s="20">
        <v>35.0</v>
      </c>
      <c r="D231" s="21"/>
      <c r="E231" s="22">
        <f t="shared" si="1"/>
        <v>35</v>
      </c>
      <c r="F231" s="19" t="s">
        <v>4206</v>
      </c>
      <c r="G231" s="19" t="s">
        <v>4207</v>
      </c>
      <c r="H231" s="19" t="s">
        <v>948</v>
      </c>
      <c r="I231" s="22">
        <v>9.1567806E9</v>
      </c>
      <c r="J231" s="19" t="s">
        <v>3547</v>
      </c>
      <c r="K231" s="19" t="s">
        <v>3504</v>
      </c>
      <c r="L231" s="19" t="s">
        <v>3556</v>
      </c>
      <c r="M231" s="21"/>
      <c r="N231" s="19" t="s">
        <v>3569</v>
      </c>
      <c r="O231" s="21"/>
      <c r="P231" s="19" t="s">
        <v>3508</v>
      </c>
      <c r="Q231" s="21"/>
      <c r="R231" s="19" t="s">
        <v>3509</v>
      </c>
      <c r="S231" s="19" t="s">
        <v>3510</v>
      </c>
      <c r="T231" s="19" t="s">
        <v>3511</v>
      </c>
      <c r="U231" s="19" t="s">
        <v>3512</v>
      </c>
      <c r="V231" s="19" t="s">
        <v>3513</v>
      </c>
      <c r="W231" s="19" t="s">
        <v>3514</v>
      </c>
      <c r="X231" s="19" t="s">
        <v>3515</v>
      </c>
      <c r="Y231" s="19" t="s">
        <v>3516</v>
      </c>
      <c r="Z231" s="19" t="s">
        <v>3517</v>
      </c>
      <c r="AA231" s="19" t="s">
        <v>3518</v>
      </c>
      <c r="AB231" s="19" t="s">
        <v>3519</v>
      </c>
      <c r="AC231" s="19" t="s">
        <v>3520</v>
      </c>
      <c r="AD231" s="19" t="s">
        <v>3521</v>
      </c>
      <c r="AE231" s="19" t="s">
        <v>3522</v>
      </c>
      <c r="AF231" s="19" t="s">
        <v>3523</v>
      </c>
      <c r="AG231" s="19" t="s">
        <v>3524</v>
      </c>
      <c r="AH231" s="19" t="s">
        <v>3525</v>
      </c>
      <c r="AI231" s="19" t="s">
        <v>3526</v>
      </c>
      <c r="AJ231" s="19" t="s">
        <v>3527</v>
      </c>
      <c r="AK231" s="19" t="s">
        <v>3528</v>
      </c>
      <c r="AL231" s="19" t="s">
        <v>3529</v>
      </c>
      <c r="AM231" s="19" t="s">
        <v>3530</v>
      </c>
      <c r="AN231" s="19" t="s">
        <v>3531</v>
      </c>
      <c r="AO231" s="19" t="s">
        <v>3551</v>
      </c>
      <c r="AP231" s="19" t="s">
        <v>3533</v>
      </c>
      <c r="AQ231" s="19" t="s">
        <v>3534</v>
      </c>
      <c r="AR231" s="19" t="s">
        <v>3535</v>
      </c>
      <c r="AS231" s="19" t="s">
        <v>3536</v>
      </c>
      <c r="AT231" s="19" t="s">
        <v>3562</v>
      </c>
      <c r="AU231" s="19" t="s">
        <v>6</v>
      </c>
      <c r="AV231" s="19" t="s">
        <v>3536</v>
      </c>
      <c r="AW231" s="19" t="s">
        <v>3539</v>
      </c>
      <c r="AX231" s="19" t="s">
        <v>3540</v>
      </c>
      <c r="AY231" s="19" t="s">
        <v>3541</v>
      </c>
      <c r="AZ231" s="19" t="s">
        <v>3542</v>
      </c>
      <c r="BA231" s="19" t="s">
        <v>3543</v>
      </c>
      <c r="BB231" s="19" t="s">
        <v>3544</v>
      </c>
      <c r="BC231" s="23"/>
    </row>
    <row r="232" ht="22.5" customHeight="1">
      <c r="A232" s="11">
        <v>46182.93454153935</v>
      </c>
      <c r="B232" s="12" t="s">
        <v>4208</v>
      </c>
      <c r="C232" s="13">
        <v>39.0</v>
      </c>
      <c r="D232" s="14" t="s">
        <v>4209</v>
      </c>
      <c r="E232" s="15">
        <f t="shared" si="1"/>
        <v>44</v>
      </c>
      <c r="F232" s="12" t="s">
        <v>4210</v>
      </c>
      <c r="G232" s="12" t="s">
        <v>2573</v>
      </c>
      <c r="H232" s="12" t="s">
        <v>4208</v>
      </c>
      <c r="I232" s="15">
        <v>9.030475568E9</v>
      </c>
      <c r="J232" s="12" t="s">
        <v>3547</v>
      </c>
      <c r="K232" s="12" t="s">
        <v>3504</v>
      </c>
      <c r="L232" s="12" t="s">
        <v>3556</v>
      </c>
      <c r="M232" s="16"/>
      <c r="N232" s="12" t="s">
        <v>3506</v>
      </c>
      <c r="O232" s="12" t="s">
        <v>3507</v>
      </c>
      <c r="P232" s="12" t="s">
        <v>3508</v>
      </c>
      <c r="Q232" s="16"/>
      <c r="R232" s="12" t="s">
        <v>3509</v>
      </c>
      <c r="S232" s="12" t="s">
        <v>3510</v>
      </c>
      <c r="T232" s="12" t="s">
        <v>3511</v>
      </c>
      <c r="U232" s="12" t="s">
        <v>3550</v>
      </c>
      <c r="V232" s="12" t="s">
        <v>3513</v>
      </c>
      <c r="W232" s="12" t="s">
        <v>3514</v>
      </c>
      <c r="X232" s="12" t="s">
        <v>3515</v>
      </c>
      <c r="Y232" s="12" t="s">
        <v>3516</v>
      </c>
      <c r="Z232" s="12" t="s">
        <v>3517</v>
      </c>
      <c r="AA232" s="12" t="s">
        <v>3518</v>
      </c>
      <c r="AB232" s="12" t="s">
        <v>3519</v>
      </c>
      <c r="AC232" s="12" t="s">
        <v>3520</v>
      </c>
      <c r="AD232" s="12" t="s">
        <v>3521</v>
      </c>
      <c r="AE232" s="12" t="s">
        <v>3522</v>
      </c>
      <c r="AF232" s="12" t="s">
        <v>3523</v>
      </c>
      <c r="AG232" s="12" t="s">
        <v>3524</v>
      </c>
      <c r="AH232" s="12" t="s">
        <v>3525</v>
      </c>
      <c r="AI232" s="12" t="s">
        <v>3526</v>
      </c>
      <c r="AJ232" s="12" t="s">
        <v>3527</v>
      </c>
      <c r="AK232" s="12" t="s">
        <v>3528</v>
      </c>
      <c r="AL232" s="12" t="s">
        <v>3529</v>
      </c>
      <c r="AM232" s="12" t="s">
        <v>3530</v>
      </c>
      <c r="AN232" s="12" t="s">
        <v>3531</v>
      </c>
      <c r="AO232" s="12" t="s">
        <v>3557</v>
      </c>
      <c r="AP232" s="12" t="s">
        <v>3533</v>
      </c>
      <c r="AQ232" s="16"/>
      <c r="AR232" s="12" t="s">
        <v>3535</v>
      </c>
      <c r="AS232" s="12" t="s">
        <v>3536</v>
      </c>
      <c r="AT232" s="12" t="s">
        <v>3537</v>
      </c>
      <c r="AU232" s="12" t="s">
        <v>6</v>
      </c>
      <c r="AV232" s="12" t="s">
        <v>3536</v>
      </c>
      <c r="AW232" s="12" t="s">
        <v>3539</v>
      </c>
      <c r="AX232" s="12" t="s">
        <v>3540</v>
      </c>
      <c r="AY232" s="12" t="s">
        <v>3541</v>
      </c>
      <c r="AZ232" s="12" t="s">
        <v>3542</v>
      </c>
      <c r="BA232" s="12" t="s">
        <v>3543</v>
      </c>
      <c r="BB232" s="12" t="s">
        <v>3544</v>
      </c>
      <c r="BC232" s="17"/>
    </row>
    <row r="233" ht="22.5" customHeight="1">
      <c r="A233" s="18">
        <v>46182.934973854164</v>
      </c>
      <c r="B233" s="19" t="s">
        <v>2296</v>
      </c>
      <c r="C233" s="20">
        <v>16.0</v>
      </c>
      <c r="D233" s="24" t="s">
        <v>4211</v>
      </c>
      <c r="E233" s="22">
        <f t="shared" si="1"/>
        <v>21</v>
      </c>
      <c r="F233" s="19" t="s">
        <v>4212</v>
      </c>
      <c r="G233" s="19" t="s">
        <v>4213</v>
      </c>
      <c r="H233" s="19" t="s">
        <v>2296</v>
      </c>
      <c r="I233" s="22">
        <v>7.008045294E9</v>
      </c>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19" t="s">
        <v>3528</v>
      </c>
      <c r="AL233" s="19" t="s">
        <v>3529</v>
      </c>
      <c r="AM233" s="19" t="s">
        <v>3530</v>
      </c>
      <c r="AN233" s="19" t="s">
        <v>3531</v>
      </c>
      <c r="AO233" s="19" t="s">
        <v>3557</v>
      </c>
      <c r="AP233" s="19" t="s">
        <v>3533</v>
      </c>
      <c r="AQ233" s="19" t="s">
        <v>3534</v>
      </c>
      <c r="AR233" s="19" t="s">
        <v>3535</v>
      </c>
      <c r="AS233" s="19" t="s">
        <v>3536</v>
      </c>
      <c r="AT233" s="19" t="s">
        <v>3537</v>
      </c>
      <c r="AU233" s="19" t="s">
        <v>6</v>
      </c>
      <c r="AV233" s="19" t="s">
        <v>3536</v>
      </c>
      <c r="AW233" s="19" t="s">
        <v>3558</v>
      </c>
      <c r="AX233" s="19" t="s">
        <v>3540</v>
      </c>
      <c r="AY233" s="19" t="s">
        <v>3541</v>
      </c>
      <c r="AZ233" s="19" t="s">
        <v>3542</v>
      </c>
      <c r="BA233" s="19" t="s">
        <v>3543</v>
      </c>
      <c r="BB233" s="19" t="s">
        <v>3544</v>
      </c>
      <c r="BC233" s="23"/>
    </row>
    <row r="234" ht="22.5" customHeight="1">
      <c r="A234" s="11">
        <v>46182.93614268518</v>
      </c>
      <c r="B234" s="12" t="s">
        <v>4214</v>
      </c>
      <c r="C234" s="13">
        <v>40.0</v>
      </c>
      <c r="D234" s="14" t="s">
        <v>4215</v>
      </c>
      <c r="E234" s="15">
        <f t="shared" si="1"/>
        <v>45</v>
      </c>
      <c r="F234" s="12" t="s">
        <v>4216</v>
      </c>
      <c r="G234" s="12" t="s">
        <v>4217</v>
      </c>
      <c r="H234" s="12" t="s">
        <v>4214</v>
      </c>
      <c r="I234" s="15">
        <v>8.328823906E9</v>
      </c>
      <c r="J234" s="12" t="s">
        <v>3547</v>
      </c>
      <c r="K234" s="12" t="s">
        <v>3504</v>
      </c>
      <c r="L234" s="12" t="s">
        <v>3505</v>
      </c>
      <c r="M234" s="16"/>
      <c r="N234" s="12" t="s">
        <v>3506</v>
      </c>
      <c r="O234" s="12" t="s">
        <v>3507</v>
      </c>
      <c r="P234" s="12" t="s">
        <v>3508</v>
      </c>
      <c r="Q234" s="16"/>
      <c r="R234" s="12" t="s">
        <v>3509</v>
      </c>
      <c r="S234" s="12" t="s">
        <v>3510</v>
      </c>
      <c r="T234" s="12" t="s">
        <v>3511</v>
      </c>
      <c r="U234" s="12" t="s">
        <v>3550</v>
      </c>
      <c r="V234" s="12" t="s">
        <v>3513</v>
      </c>
      <c r="W234" s="12" t="s">
        <v>3514</v>
      </c>
      <c r="X234" s="12" t="s">
        <v>3515</v>
      </c>
      <c r="Y234" s="12" t="s">
        <v>3516</v>
      </c>
      <c r="Z234" s="12" t="s">
        <v>3517</v>
      </c>
      <c r="AA234" s="12" t="s">
        <v>3518</v>
      </c>
      <c r="AB234" s="12" t="s">
        <v>3519</v>
      </c>
      <c r="AC234" s="12" t="s">
        <v>3520</v>
      </c>
      <c r="AD234" s="12" t="s">
        <v>3521</v>
      </c>
      <c r="AE234" s="12" t="s">
        <v>3522</v>
      </c>
      <c r="AF234" s="12" t="s">
        <v>3523</v>
      </c>
      <c r="AG234" s="12" t="s">
        <v>3524</v>
      </c>
      <c r="AH234" s="12" t="s">
        <v>3525</v>
      </c>
      <c r="AI234" s="12" t="s">
        <v>3526</v>
      </c>
      <c r="AJ234" s="12" t="s">
        <v>3527</v>
      </c>
      <c r="AK234" s="12" t="s">
        <v>3528</v>
      </c>
      <c r="AL234" s="12" t="s">
        <v>3529</v>
      </c>
      <c r="AM234" s="12" t="s">
        <v>3530</v>
      </c>
      <c r="AN234" s="12" t="s">
        <v>3531</v>
      </c>
      <c r="AO234" s="12" t="s">
        <v>3557</v>
      </c>
      <c r="AP234" s="12" t="s">
        <v>3533</v>
      </c>
      <c r="AQ234" s="12" t="s">
        <v>3534</v>
      </c>
      <c r="AR234" s="12" t="s">
        <v>3535</v>
      </c>
      <c r="AS234" s="12" t="s">
        <v>3536</v>
      </c>
      <c r="AT234" s="12" t="s">
        <v>3537</v>
      </c>
      <c r="AU234" s="12" t="s">
        <v>6</v>
      </c>
      <c r="AV234" s="12" t="s">
        <v>3538</v>
      </c>
      <c r="AW234" s="12" t="s">
        <v>3539</v>
      </c>
      <c r="AX234" s="12" t="s">
        <v>3540</v>
      </c>
      <c r="AY234" s="12" t="s">
        <v>3541</v>
      </c>
      <c r="AZ234" s="12" t="s">
        <v>3542</v>
      </c>
      <c r="BA234" s="12" t="s">
        <v>3543</v>
      </c>
      <c r="BB234" s="12" t="s">
        <v>3544</v>
      </c>
      <c r="BC234" s="17"/>
    </row>
    <row r="235" ht="22.5" customHeight="1">
      <c r="A235" s="18">
        <v>46182.93625834491</v>
      </c>
      <c r="B235" s="19" t="s">
        <v>2834</v>
      </c>
      <c r="C235" s="20">
        <v>39.0</v>
      </c>
      <c r="D235" s="24" t="s">
        <v>4218</v>
      </c>
      <c r="E235" s="22">
        <f t="shared" si="1"/>
        <v>44</v>
      </c>
      <c r="F235" s="19" t="s">
        <v>4219</v>
      </c>
      <c r="G235" s="19" t="s">
        <v>4220</v>
      </c>
      <c r="H235" s="19" t="s">
        <v>2834</v>
      </c>
      <c r="I235" s="22">
        <v>7.976054473E9</v>
      </c>
      <c r="J235" s="19" t="s">
        <v>3547</v>
      </c>
      <c r="K235" s="19" t="s">
        <v>3504</v>
      </c>
      <c r="L235" s="19" t="s">
        <v>3505</v>
      </c>
      <c r="M235" s="21"/>
      <c r="N235" s="19" t="s">
        <v>3548</v>
      </c>
      <c r="O235" s="19" t="s">
        <v>3507</v>
      </c>
      <c r="P235" s="19" t="s">
        <v>3508</v>
      </c>
      <c r="Q235" s="21"/>
      <c r="R235" s="19" t="s">
        <v>3509</v>
      </c>
      <c r="S235" s="19" t="s">
        <v>3510</v>
      </c>
      <c r="T235" s="19" t="s">
        <v>3549</v>
      </c>
      <c r="U235" s="19" t="s">
        <v>3550</v>
      </c>
      <c r="V235" s="19" t="s">
        <v>3513</v>
      </c>
      <c r="W235" s="19" t="s">
        <v>3514</v>
      </c>
      <c r="X235" s="19" t="s">
        <v>3515</v>
      </c>
      <c r="Y235" s="19" t="s">
        <v>3516</v>
      </c>
      <c r="Z235" s="19" t="s">
        <v>3517</v>
      </c>
      <c r="AA235" s="19" t="s">
        <v>3518</v>
      </c>
      <c r="AB235" s="19" t="s">
        <v>3519</v>
      </c>
      <c r="AC235" s="19" t="s">
        <v>3520</v>
      </c>
      <c r="AD235" s="19" t="s">
        <v>3521</v>
      </c>
      <c r="AE235" s="19" t="s">
        <v>3522</v>
      </c>
      <c r="AF235" s="19" t="s">
        <v>3523</v>
      </c>
      <c r="AG235" s="19" t="s">
        <v>3524</v>
      </c>
      <c r="AH235" s="19" t="s">
        <v>3525</v>
      </c>
      <c r="AI235" s="19" t="s">
        <v>3526</v>
      </c>
      <c r="AJ235" s="19" t="s">
        <v>3527</v>
      </c>
      <c r="AK235" s="19" t="s">
        <v>3528</v>
      </c>
      <c r="AL235" s="19" t="s">
        <v>3529</v>
      </c>
      <c r="AM235" s="19" t="s">
        <v>3530</v>
      </c>
      <c r="AN235" s="19" t="s">
        <v>3531</v>
      </c>
      <c r="AO235" s="19" t="s">
        <v>3557</v>
      </c>
      <c r="AP235" s="19" t="s">
        <v>3533</v>
      </c>
      <c r="AQ235" s="19" t="s">
        <v>3534</v>
      </c>
      <c r="AR235" s="19" t="s">
        <v>3535</v>
      </c>
      <c r="AS235" s="19" t="s">
        <v>3536</v>
      </c>
      <c r="AT235" s="19" t="s">
        <v>3537</v>
      </c>
      <c r="AU235" s="19" t="s">
        <v>6</v>
      </c>
      <c r="AV235" s="19" t="s">
        <v>3538</v>
      </c>
      <c r="AW235" s="19" t="s">
        <v>3558</v>
      </c>
      <c r="AX235" s="19" t="s">
        <v>3540</v>
      </c>
      <c r="AY235" s="19" t="s">
        <v>3541</v>
      </c>
      <c r="AZ235" s="19" t="s">
        <v>3542</v>
      </c>
      <c r="BA235" s="19" t="s">
        <v>3543</v>
      </c>
      <c r="BB235" s="19" t="s">
        <v>3544</v>
      </c>
      <c r="BC235" s="23"/>
    </row>
    <row r="236" ht="22.5" customHeight="1">
      <c r="A236" s="11">
        <v>46182.93645525463</v>
      </c>
      <c r="B236" s="12" t="s">
        <v>3191</v>
      </c>
      <c r="C236" s="13">
        <v>36.0</v>
      </c>
      <c r="D236" s="14" t="s">
        <v>4221</v>
      </c>
      <c r="E236" s="15">
        <f t="shared" si="1"/>
        <v>41</v>
      </c>
      <c r="F236" s="12" t="s">
        <v>4222</v>
      </c>
      <c r="G236" s="12" t="s">
        <v>3192</v>
      </c>
      <c r="H236" s="12" t="s">
        <v>3191</v>
      </c>
      <c r="I236" s="15">
        <v>8.111836998E9</v>
      </c>
      <c r="J236" s="12" t="s">
        <v>3547</v>
      </c>
      <c r="K236" s="12" t="s">
        <v>3504</v>
      </c>
      <c r="L236" s="12" t="s">
        <v>3556</v>
      </c>
      <c r="M236" s="16"/>
      <c r="N236" s="12" t="s">
        <v>3569</v>
      </c>
      <c r="O236" s="12" t="s">
        <v>3507</v>
      </c>
      <c r="P236" s="12" t="s">
        <v>3508</v>
      </c>
      <c r="Q236" s="16"/>
      <c r="R236" s="12" t="s">
        <v>3509</v>
      </c>
      <c r="S236" s="12" t="s">
        <v>3510</v>
      </c>
      <c r="T236" s="12" t="s">
        <v>3511</v>
      </c>
      <c r="U236" s="12" t="s">
        <v>3550</v>
      </c>
      <c r="V236" s="12" t="s">
        <v>3513</v>
      </c>
      <c r="W236" s="12" t="s">
        <v>3514</v>
      </c>
      <c r="X236" s="12" t="s">
        <v>3515</v>
      </c>
      <c r="Y236" s="12" t="s">
        <v>3516</v>
      </c>
      <c r="Z236" s="12" t="s">
        <v>3517</v>
      </c>
      <c r="AA236" s="12" t="s">
        <v>3518</v>
      </c>
      <c r="AB236" s="12" t="s">
        <v>3519</v>
      </c>
      <c r="AC236" s="12" t="s">
        <v>3520</v>
      </c>
      <c r="AD236" s="12" t="s">
        <v>3521</v>
      </c>
      <c r="AE236" s="12" t="s">
        <v>3522</v>
      </c>
      <c r="AF236" s="12" t="s">
        <v>3523</v>
      </c>
      <c r="AG236" s="12" t="s">
        <v>3524</v>
      </c>
      <c r="AH236" s="12" t="s">
        <v>4113</v>
      </c>
      <c r="AI236" s="12" t="s">
        <v>4171</v>
      </c>
      <c r="AJ236" s="12" t="s">
        <v>3527</v>
      </c>
      <c r="AK236" s="12" t="s">
        <v>3528</v>
      </c>
      <c r="AL236" s="12" t="s">
        <v>3529</v>
      </c>
      <c r="AM236" s="12" t="s">
        <v>3530</v>
      </c>
      <c r="AN236" s="12" t="s">
        <v>3531</v>
      </c>
      <c r="AO236" s="12" t="s">
        <v>3557</v>
      </c>
      <c r="AP236" s="12" t="s">
        <v>3533</v>
      </c>
      <c r="AQ236" s="12" t="s">
        <v>3534</v>
      </c>
      <c r="AR236" s="12" t="s">
        <v>3535</v>
      </c>
      <c r="AS236" s="12" t="s">
        <v>3536</v>
      </c>
      <c r="AT236" s="12" t="s">
        <v>3562</v>
      </c>
      <c r="AU236" s="12" t="s">
        <v>6</v>
      </c>
      <c r="AV236" s="12" t="s">
        <v>3538</v>
      </c>
      <c r="AW236" s="12" t="s">
        <v>3705</v>
      </c>
      <c r="AX236" s="12" t="s">
        <v>3540</v>
      </c>
      <c r="AY236" s="12" t="s">
        <v>3541</v>
      </c>
      <c r="AZ236" s="12" t="s">
        <v>3542</v>
      </c>
      <c r="BA236" s="12" t="s">
        <v>3543</v>
      </c>
      <c r="BB236" s="12" t="s">
        <v>3544</v>
      </c>
      <c r="BC236" s="17"/>
    </row>
    <row r="237" ht="22.5" customHeight="1">
      <c r="A237" s="18">
        <v>46182.93993315972</v>
      </c>
      <c r="B237" s="19" t="s">
        <v>2221</v>
      </c>
      <c r="C237" s="20">
        <v>20.0</v>
      </c>
      <c r="D237" s="21"/>
      <c r="E237" s="22">
        <f t="shared" si="1"/>
        <v>20</v>
      </c>
      <c r="F237" s="19" t="s">
        <v>4223</v>
      </c>
      <c r="G237" s="19" t="s">
        <v>4224</v>
      </c>
      <c r="H237" s="19" t="s">
        <v>2221</v>
      </c>
      <c r="I237" s="22">
        <v>9.992664045E9</v>
      </c>
      <c r="J237" s="19" t="s">
        <v>3503</v>
      </c>
      <c r="K237" s="19" t="s">
        <v>3504</v>
      </c>
      <c r="L237" s="19" t="s">
        <v>3556</v>
      </c>
      <c r="M237" s="21"/>
      <c r="N237" s="19" t="s">
        <v>3548</v>
      </c>
      <c r="O237" s="19" t="s">
        <v>3507</v>
      </c>
      <c r="P237" s="19" t="s">
        <v>3508</v>
      </c>
      <c r="Q237" s="21"/>
      <c r="R237" s="19" t="s">
        <v>3509</v>
      </c>
      <c r="S237" s="19" t="s">
        <v>3510</v>
      </c>
      <c r="T237" s="19" t="s">
        <v>3511</v>
      </c>
      <c r="U237" s="19" t="s">
        <v>3512</v>
      </c>
      <c r="V237" s="19" t="s">
        <v>3513</v>
      </c>
      <c r="W237" s="19" t="s">
        <v>3514</v>
      </c>
      <c r="X237" s="19" t="s">
        <v>3515</v>
      </c>
      <c r="Y237" s="19" t="s">
        <v>3516</v>
      </c>
      <c r="Z237" s="19" t="s">
        <v>3517</v>
      </c>
      <c r="AA237" s="19" t="s">
        <v>3518</v>
      </c>
      <c r="AB237" s="19" t="s">
        <v>3519</v>
      </c>
      <c r="AC237" s="19" t="s">
        <v>3520</v>
      </c>
      <c r="AD237" s="19" t="s">
        <v>3521</v>
      </c>
      <c r="AE237" s="19" t="s">
        <v>3522</v>
      </c>
      <c r="AF237" s="19" t="s">
        <v>3523</v>
      </c>
      <c r="AG237" s="19" t="s">
        <v>3524</v>
      </c>
      <c r="AH237" s="19" t="s">
        <v>3525</v>
      </c>
      <c r="AI237" s="19" t="s">
        <v>3526</v>
      </c>
      <c r="AJ237" s="19" t="s">
        <v>3527</v>
      </c>
      <c r="AK237" s="21"/>
      <c r="AL237" s="21"/>
      <c r="AM237" s="21"/>
      <c r="AN237" s="21"/>
      <c r="AO237" s="21"/>
      <c r="AP237" s="21"/>
      <c r="AQ237" s="21"/>
      <c r="AR237" s="21"/>
      <c r="AS237" s="21"/>
      <c r="AT237" s="21"/>
      <c r="AU237" s="21"/>
      <c r="AV237" s="21"/>
      <c r="AW237" s="21"/>
      <c r="AX237" s="21"/>
      <c r="AY237" s="21"/>
      <c r="AZ237" s="21"/>
      <c r="BA237" s="21"/>
      <c r="BB237" s="21"/>
      <c r="BC237" s="23"/>
    </row>
    <row r="238" ht="22.5" customHeight="1">
      <c r="A238" s="11">
        <v>46182.94336135416</v>
      </c>
      <c r="B238" s="12" t="s">
        <v>3082</v>
      </c>
      <c r="C238" s="13">
        <v>39.0</v>
      </c>
      <c r="D238" s="14" t="s">
        <v>4225</v>
      </c>
      <c r="E238" s="15">
        <f t="shared" si="1"/>
        <v>44</v>
      </c>
      <c r="F238" s="12" t="s">
        <v>4226</v>
      </c>
      <c r="G238" s="12" t="s">
        <v>4227</v>
      </c>
      <c r="H238" s="12" t="s">
        <v>3082</v>
      </c>
      <c r="I238" s="15">
        <v>9.56701536E9</v>
      </c>
      <c r="J238" s="12" t="s">
        <v>3547</v>
      </c>
      <c r="K238" s="12" t="s">
        <v>3504</v>
      </c>
      <c r="L238" s="12" t="s">
        <v>3556</v>
      </c>
      <c r="M238" s="16"/>
      <c r="N238" s="12" t="s">
        <v>3506</v>
      </c>
      <c r="O238" s="12" t="s">
        <v>3507</v>
      </c>
      <c r="P238" s="12" t="s">
        <v>3508</v>
      </c>
      <c r="Q238" s="16"/>
      <c r="R238" s="12" t="s">
        <v>3509</v>
      </c>
      <c r="S238" s="12" t="s">
        <v>3510</v>
      </c>
      <c r="T238" s="12" t="s">
        <v>3511</v>
      </c>
      <c r="U238" s="12" t="s">
        <v>3512</v>
      </c>
      <c r="V238" s="12" t="s">
        <v>3513</v>
      </c>
      <c r="W238" s="12" t="s">
        <v>3514</v>
      </c>
      <c r="X238" s="12" t="s">
        <v>3515</v>
      </c>
      <c r="Y238" s="12" t="s">
        <v>3516</v>
      </c>
      <c r="Z238" s="12" t="s">
        <v>3517</v>
      </c>
      <c r="AA238" s="12" t="s">
        <v>3518</v>
      </c>
      <c r="AB238" s="12" t="s">
        <v>3519</v>
      </c>
      <c r="AC238" s="12" t="s">
        <v>3520</v>
      </c>
      <c r="AD238" s="12" t="s">
        <v>3521</v>
      </c>
      <c r="AE238" s="12" t="s">
        <v>3522</v>
      </c>
      <c r="AF238" s="12" t="s">
        <v>3523</v>
      </c>
      <c r="AG238" s="12" t="s">
        <v>3524</v>
      </c>
      <c r="AH238" s="12" t="s">
        <v>3525</v>
      </c>
      <c r="AI238" s="12" t="s">
        <v>3526</v>
      </c>
      <c r="AJ238" s="12" t="s">
        <v>3527</v>
      </c>
      <c r="AK238" s="12" t="s">
        <v>3528</v>
      </c>
      <c r="AL238" s="12" t="s">
        <v>3529</v>
      </c>
      <c r="AM238" s="12" t="s">
        <v>3530</v>
      </c>
      <c r="AN238" s="12" t="s">
        <v>3531</v>
      </c>
      <c r="AO238" s="12" t="s">
        <v>3557</v>
      </c>
      <c r="AP238" s="12" t="s">
        <v>3533</v>
      </c>
      <c r="AQ238" s="12" t="s">
        <v>3534</v>
      </c>
      <c r="AR238" s="12" t="s">
        <v>3535</v>
      </c>
      <c r="AS238" s="12" t="s">
        <v>3536</v>
      </c>
      <c r="AT238" s="12" t="s">
        <v>3537</v>
      </c>
      <c r="AU238" s="12" t="s">
        <v>6</v>
      </c>
      <c r="AV238" s="12" t="s">
        <v>3538</v>
      </c>
      <c r="AW238" s="12" t="s">
        <v>3558</v>
      </c>
      <c r="AX238" s="12" t="s">
        <v>3540</v>
      </c>
      <c r="AY238" s="12" t="s">
        <v>3541</v>
      </c>
      <c r="AZ238" s="12" t="s">
        <v>3542</v>
      </c>
      <c r="BA238" s="12" t="s">
        <v>3543</v>
      </c>
      <c r="BB238" s="12" t="s">
        <v>3544</v>
      </c>
      <c r="BC238" s="17"/>
    </row>
    <row r="239" ht="22.5" customHeight="1">
      <c r="A239" s="18">
        <v>46182.94356543981</v>
      </c>
      <c r="B239" s="19" t="s">
        <v>1737</v>
      </c>
      <c r="C239" s="20">
        <v>39.0</v>
      </c>
      <c r="D239" s="24" t="s">
        <v>4228</v>
      </c>
      <c r="E239" s="22">
        <f t="shared" si="1"/>
        <v>44</v>
      </c>
      <c r="F239" s="19" t="s">
        <v>4229</v>
      </c>
      <c r="G239" s="19" t="s">
        <v>1738</v>
      </c>
      <c r="H239" s="19" t="s">
        <v>1737</v>
      </c>
      <c r="I239" s="22">
        <v>8.010042485E9</v>
      </c>
      <c r="J239" s="19" t="s">
        <v>3547</v>
      </c>
      <c r="K239" s="19" t="s">
        <v>3504</v>
      </c>
      <c r="L239" s="19" t="s">
        <v>3556</v>
      </c>
      <c r="M239" s="21"/>
      <c r="N239" s="19" t="s">
        <v>3548</v>
      </c>
      <c r="O239" s="19" t="s">
        <v>3507</v>
      </c>
      <c r="P239" s="19" t="s">
        <v>3508</v>
      </c>
      <c r="Q239" s="21"/>
      <c r="R239" s="19" t="s">
        <v>3509</v>
      </c>
      <c r="S239" s="19" t="s">
        <v>3510</v>
      </c>
      <c r="T239" s="19" t="s">
        <v>3511</v>
      </c>
      <c r="U239" s="19" t="s">
        <v>3512</v>
      </c>
      <c r="V239" s="19" t="s">
        <v>3513</v>
      </c>
      <c r="W239" s="19" t="s">
        <v>3514</v>
      </c>
      <c r="X239" s="19" t="s">
        <v>3515</v>
      </c>
      <c r="Y239" s="19" t="s">
        <v>3516</v>
      </c>
      <c r="Z239" s="19" t="s">
        <v>3517</v>
      </c>
      <c r="AA239" s="19" t="s">
        <v>3518</v>
      </c>
      <c r="AB239" s="19" t="s">
        <v>3519</v>
      </c>
      <c r="AC239" s="19" t="s">
        <v>3520</v>
      </c>
      <c r="AD239" s="19" t="s">
        <v>3521</v>
      </c>
      <c r="AE239" s="19" t="s">
        <v>3522</v>
      </c>
      <c r="AF239" s="19" t="s">
        <v>3523</v>
      </c>
      <c r="AG239" s="19" t="s">
        <v>3524</v>
      </c>
      <c r="AH239" s="19" t="s">
        <v>3525</v>
      </c>
      <c r="AI239" s="19" t="s">
        <v>3526</v>
      </c>
      <c r="AJ239" s="19" t="s">
        <v>3527</v>
      </c>
      <c r="AK239" s="19" t="s">
        <v>3528</v>
      </c>
      <c r="AL239" s="19" t="s">
        <v>3529</v>
      </c>
      <c r="AM239" s="19" t="s">
        <v>3530</v>
      </c>
      <c r="AN239" s="19" t="s">
        <v>3531</v>
      </c>
      <c r="AO239" s="19" t="s">
        <v>3557</v>
      </c>
      <c r="AP239" s="19" t="s">
        <v>3533</v>
      </c>
      <c r="AQ239" s="19" t="s">
        <v>3534</v>
      </c>
      <c r="AR239" s="19" t="s">
        <v>3535</v>
      </c>
      <c r="AS239" s="19" t="s">
        <v>3536</v>
      </c>
      <c r="AT239" s="19" t="s">
        <v>3537</v>
      </c>
      <c r="AU239" s="19" t="s">
        <v>6</v>
      </c>
      <c r="AV239" s="19" t="s">
        <v>3538</v>
      </c>
      <c r="AW239" s="19" t="s">
        <v>3539</v>
      </c>
      <c r="AX239" s="19" t="s">
        <v>3540</v>
      </c>
      <c r="AY239" s="19" t="s">
        <v>3541</v>
      </c>
      <c r="AZ239" s="19" t="s">
        <v>3542</v>
      </c>
      <c r="BA239" s="19" t="s">
        <v>3543</v>
      </c>
      <c r="BB239" s="19" t="s">
        <v>3544</v>
      </c>
      <c r="BC239" s="23"/>
    </row>
    <row r="240" ht="22.5" customHeight="1">
      <c r="A240" s="11">
        <v>46182.944457881946</v>
      </c>
      <c r="B240" s="12" t="s">
        <v>492</v>
      </c>
      <c r="C240" s="13">
        <v>36.0</v>
      </c>
      <c r="D240" s="14" t="s">
        <v>4230</v>
      </c>
      <c r="E240" s="15">
        <f t="shared" si="1"/>
        <v>41</v>
      </c>
      <c r="F240" s="12" t="s">
        <v>4231</v>
      </c>
      <c r="G240" s="12" t="s">
        <v>4232</v>
      </c>
      <c r="H240" s="12" t="s">
        <v>492</v>
      </c>
      <c r="I240" s="15">
        <v>9.83853369E9</v>
      </c>
      <c r="J240" s="16"/>
      <c r="K240" s="12" t="s">
        <v>3504</v>
      </c>
      <c r="L240" s="12" t="s">
        <v>3556</v>
      </c>
      <c r="M240" s="16"/>
      <c r="N240" s="12" t="s">
        <v>3613</v>
      </c>
      <c r="O240" s="12" t="s">
        <v>3507</v>
      </c>
      <c r="P240" s="12" t="s">
        <v>3508</v>
      </c>
      <c r="Q240" s="16"/>
      <c r="R240" s="12" t="s">
        <v>3509</v>
      </c>
      <c r="S240" s="12" t="s">
        <v>3510</v>
      </c>
      <c r="T240" s="12" t="s">
        <v>3511</v>
      </c>
      <c r="U240" s="12" t="s">
        <v>3550</v>
      </c>
      <c r="V240" s="12" t="s">
        <v>3724</v>
      </c>
      <c r="W240" s="12" t="s">
        <v>3514</v>
      </c>
      <c r="X240" s="12" t="s">
        <v>3515</v>
      </c>
      <c r="Y240" s="12" t="s">
        <v>3516</v>
      </c>
      <c r="Z240" s="12" t="s">
        <v>3517</v>
      </c>
      <c r="AA240" s="12" t="s">
        <v>3518</v>
      </c>
      <c r="AB240" s="12" t="s">
        <v>3519</v>
      </c>
      <c r="AC240" s="12" t="s">
        <v>3520</v>
      </c>
      <c r="AD240" s="12" t="s">
        <v>3521</v>
      </c>
      <c r="AE240" s="12" t="s">
        <v>3522</v>
      </c>
      <c r="AF240" s="12" t="s">
        <v>3523</v>
      </c>
      <c r="AG240" s="12" t="s">
        <v>3524</v>
      </c>
      <c r="AH240" s="12" t="s">
        <v>3525</v>
      </c>
      <c r="AI240" s="12" t="s">
        <v>3526</v>
      </c>
      <c r="AJ240" s="12" t="s">
        <v>3527</v>
      </c>
      <c r="AK240" s="12" t="s">
        <v>3528</v>
      </c>
      <c r="AL240" s="12" t="s">
        <v>3529</v>
      </c>
      <c r="AM240" s="12" t="s">
        <v>3530</v>
      </c>
      <c r="AN240" s="12" t="s">
        <v>3531</v>
      </c>
      <c r="AO240" s="12" t="s">
        <v>3658</v>
      </c>
      <c r="AP240" s="12" t="s">
        <v>3533</v>
      </c>
      <c r="AQ240" s="12" t="s">
        <v>3534</v>
      </c>
      <c r="AR240" s="12" t="s">
        <v>3535</v>
      </c>
      <c r="AS240" s="12" t="s">
        <v>3536</v>
      </c>
      <c r="AT240" s="12" t="s">
        <v>3537</v>
      </c>
      <c r="AU240" s="12" t="s">
        <v>6</v>
      </c>
      <c r="AV240" s="12" t="s">
        <v>3538</v>
      </c>
      <c r="AW240" s="12" t="s">
        <v>3558</v>
      </c>
      <c r="AX240" s="12" t="s">
        <v>3540</v>
      </c>
      <c r="AY240" s="12" t="s">
        <v>3541</v>
      </c>
      <c r="AZ240" s="12" t="s">
        <v>3542</v>
      </c>
      <c r="BA240" s="12" t="s">
        <v>3543</v>
      </c>
      <c r="BB240" s="12" t="s">
        <v>3544</v>
      </c>
      <c r="BC240" s="17"/>
    </row>
    <row r="241" ht="22.5" customHeight="1">
      <c r="A241" s="18">
        <v>46182.94518693287</v>
      </c>
      <c r="B241" s="19" t="s">
        <v>4233</v>
      </c>
      <c r="C241" s="20">
        <v>41.0</v>
      </c>
      <c r="D241" s="24" t="s">
        <v>4234</v>
      </c>
      <c r="E241" s="22">
        <f t="shared" si="1"/>
        <v>46</v>
      </c>
      <c r="F241" s="19" t="s">
        <v>4235</v>
      </c>
      <c r="G241" s="19" t="s">
        <v>4236</v>
      </c>
      <c r="H241" s="19" t="s">
        <v>35</v>
      </c>
      <c r="I241" s="22">
        <v>9.999084219E9</v>
      </c>
      <c r="J241" s="19" t="s">
        <v>3547</v>
      </c>
      <c r="K241" s="19" t="s">
        <v>3504</v>
      </c>
      <c r="L241" s="19" t="s">
        <v>3556</v>
      </c>
      <c r="M241" s="21"/>
      <c r="N241" s="19" t="s">
        <v>3506</v>
      </c>
      <c r="O241" s="19" t="s">
        <v>3507</v>
      </c>
      <c r="P241" s="19" t="s">
        <v>3508</v>
      </c>
      <c r="Q241" s="21"/>
      <c r="R241" s="19" t="s">
        <v>3509</v>
      </c>
      <c r="S241" s="19" t="s">
        <v>3510</v>
      </c>
      <c r="T241" s="19" t="s">
        <v>3549</v>
      </c>
      <c r="U241" s="19" t="s">
        <v>3512</v>
      </c>
      <c r="V241" s="19" t="s">
        <v>3513</v>
      </c>
      <c r="W241" s="19" t="s">
        <v>3514</v>
      </c>
      <c r="X241" s="19" t="s">
        <v>3515</v>
      </c>
      <c r="Y241" s="19" t="s">
        <v>3516</v>
      </c>
      <c r="Z241" s="19" t="s">
        <v>3517</v>
      </c>
      <c r="AA241" s="19" t="s">
        <v>3518</v>
      </c>
      <c r="AB241" s="19" t="s">
        <v>3519</v>
      </c>
      <c r="AC241" s="19" t="s">
        <v>3520</v>
      </c>
      <c r="AD241" s="19" t="s">
        <v>3521</v>
      </c>
      <c r="AE241" s="19" t="s">
        <v>3522</v>
      </c>
      <c r="AF241" s="19" t="s">
        <v>3523</v>
      </c>
      <c r="AG241" s="19" t="s">
        <v>3524</v>
      </c>
      <c r="AH241" s="19" t="s">
        <v>3525</v>
      </c>
      <c r="AI241" s="19" t="s">
        <v>3526</v>
      </c>
      <c r="AJ241" s="19" t="s">
        <v>3527</v>
      </c>
      <c r="AK241" s="19" t="s">
        <v>3528</v>
      </c>
      <c r="AL241" s="19" t="s">
        <v>3529</v>
      </c>
      <c r="AM241" s="19" t="s">
        <v>3530</v>
      </c>
      <c r="AN241" s="19" t="s">
        <v>3531</v>
      </c>
      <c r="AO241" s="19" t="s">
        <v>3557</v>
      </c>
      <c r="AP241" s="19" t="s">
        <v>3533</v>
      </c>
      <c r="AQ241" s="19" t="s">
        <v>3534</v>
      </c>
      <c r="AR241" s="19" t="s">
        <v>3535</v>
      </c>
      <c r="AS241" s="19" t="s">
        <v>3536</v>
      </c>
      <c r="AT241" s="19" t="s">
        <v>3537</v>
      </c>
      <c r="AU241" s="19" t="s">
        <v>6</v>
      </c>
      <c r="AV241" s="19" t="s">
        <v>3538</v>
      </c>
      <c r="AW241" s="19" t="s">
        <v>3539</v>
      </c>
      <c r="AX241" s="19" t="s">
        <v>3540</v>
      </c>
      <c r="AY241" s="19" t="s">
        <v>3541</v>
      </c>
      <c r="AZ241" s="19" t="s">
        <v>3542</v>
      </c>
      <c r="BA241" s="19" t="s">
        <v>3543</v>
      </c>
      <c r="BB241" s="19" t="s">
        <v>3544</v>
      </c>
      <c r="BC241" s="23"/>
    </row>
    <row r="242" ht="22.5" customHeight="1">
      <c r="A242" s="11">
        <v>46182.948180775464</v>
      </c>
      <c r="B242" s="12" t="s">
        <v>4237</v>
      </c>
      <c r="C242" s="13">
        <v>39.0</v>
      </c>
      <c r="D242" s="16"/>
      <c r="E242" s="15">
        <f t="shared" si="1"/>
        <v>39</v>
      </c>
      <c r="F242" s="12" t="s">
        <v>4238</v>
      </c>
      <c r="G242" s="12" t="s">
        <v>4239</v>
      </c>
      <c r="H242" s="12" t="s">
        <v>884</v>
      </c>
      <c r="I242" s="15">
        <v>9.667306158E9</v>
      </c>
      <c r="J242" s="12" t="s">
        <v>3547</v>
      </c>
      <c r="K242" s="12" t="s">
        <v>3504</v>
      </c>
      <c r="L242" s="12" t="s">
        <v>3556</v>
      </c>
      <c r="M242" s="16"/>
      <c r="N242" s="12" t="s">
        <v>3506</v>
      </c>
      <c r="O242" s="12" t="s">
        <v>3507</v>
      </c>
      <c r="P242" s="12" t="s">
        <v>3508</v>
      </c>
      <c r="Q242" s="16"/>
      <c r="R242" s="12" t="s">
        <v>3509</v>
      </c>
      <c r="S242" s="12" t="s">
        <v>3510</v>
      </c>
      <c r="T242" s="12" t="s">
        <v>3549</v>
      </c>
      <c r="U242" s="12" t="s">
        <v>3512</v>
      </c>
      <c r="V242" s="12" t="s">
        <v>3513</v>
      </c>
      <c r="W242" s="12" t="s">
        <v>3514</v>
      </c>
      <c r="X242" s="12" t="s">
        <v>3515</v>
      </c>
      <c r="Y242" s="12" t="s">
        <v>3516</v>
      </c>
      <c r="Z242" s="12" t="s">
        <v>3517</v>
      </c>
      <c r="AA242" s="12" t="s">
        <v>3518</v>
      </c>
      <c r="AB242" s="12" t="s">
        <v>3519</v>
      </c>
      <c r="AC242" s="12" t="s">
        <v>3520</v>
      </c>
      <c r="AD242" s="12" t="s">
        <v>3521</v>
      </c>
      <c r="AE242" s="12" t="s">
        <v>3522</v>
      </c>
      <c r="AF242" s="12" t="s">
        <v>3523</v>
      </c>
      <c r="AG242" s="12" t="s">
        <v>3524</v>
      </c>
      <c r="AH242" s="12" t="s">
        <v>3525</v>
      </c>
      <c r="AI242" s="12" t="s">
        <v>3526</v>
      </c>
      <c r="AJ242" s="12" t="s">
        <v>3527</v>
      </c>
      <c r="AK242" s="12" t="s">
        <v>3528</v>
      </c>
      <c r="AL242" s="12" t="s">
        <v>3529</v>
      </c>
      <c r="AM242" s="12" t="s">
        <v>3530</v>
      </c>
      <c r="AN242" s="12" t="s">
        <v>3531</v>
      </c>
      <c r="AO242" s="12" t="s">
        <v>3557</v>
      </c>
      <c r="AP242" s="12" t="s">
        <v>3533</v>
      </c>
      <c r="AQ242" s="12" t="s">
        <v>3534</v>
      </c>
      <c r="AR242" s="12" t="s">
        <v>3535</v>
      </c>
      <c r="AS242" s="12" t="s">
        <v>3536</v>
      </c>
      <c r="AT242" s="12" t="s">
        <v>3578</v>
      </c>
      <c r="AU242" s="12" t="s">
        <v>6</v>
      </c>
      <c r="AV242" s="12" t="s">
        <v>3538</v>
      </c>
      <c r="AW242" s="12" t="s">
        <v>3558</v>
      </c>
      <c r="AX242" s="12" t="s">
        <v>3540</v>
      </c>
      <c r="AY242" s="12" t="s">
        <v>3541</v>
      </c>
      <c r="AZ242" s="12" t="s">
        <v>3542</v>
      </c>
      <c r="BA242" s="12" t="s">
        <v>3543</v>
      </c>
      <c r="BB242" s="12" t="s">
        <v>3544</v>
      </c>
      <c r="BC242" s="17"/>
    </row>
    <row r="243" ht="22.5" customHeight="1">
      <c r="A243" s="18">
        <v>46182.952140740745</v>
      </c>
      <c r="B243" s="19" t="s">
        <v>4240</v>
      </c>
      <c r="C243" s="20">
        <v>29.0</v>
      </c>
      <c r="D243" s="24" t="s">
        <v>4241</v>
      </c>
      <c r="E243" s="22">
        <f t="shared" si="1"/>
        <v>34</v>
      </c>
      <c r="F243" s="19" t="s">
        <v>4242</v>
      </c>
      <c r="G243" s="19" t="s">
        <v>165</v>
      </c>
      <c r="H243" s="19" t="s">
        <v>164</v>
      </c>
      <c r="I243" s="22">
        <v>9.706969976E9</v>
      </c>
      <c r="J243" s="19" t="s">
        <v>3547</v>
      </c>
      <c r="K243" s="21"/>
      <c r="L243" s="19" t="s">
        <v>3505</v>
      </c>
      <c r="M243" s="21"/>
      <c r="N243" s="19" t="s">
        <v>3506</v>
      </c>
      <c r="O243" s="19" t="s">
        <v>3507</v>
      </c>
      <c r="P243" s="19" t="s">
        <v>3508</v>
      </c>
      <c r="Q243" s="21"/>
      <c r="R243" s="19" t="s">
        <v>3509</v>
      </c>
      <c r="S243" s="19" t="s">
        <v>3510</v>
      </c>
      <c r="T243" s="19" t="s">
        <v>3549</v>
      </c>
      <c r="U243" s="19" t="s">
        <v>3512</v>
      </c>
      <c r="V243" s="19" t="s">
        <v>3513</v>
      </c>
      <c r="W243" s="19" t="s">
        <v>3514</v>
      </c>
      <c r="X243" s="19" t="s">
        <v>3515</v>
      </c>
      <c r="Y243" s="19" t="s">
        <v>3516</v>
      </c>
      <c r="Z243" s="21"/>
      <c r="AA243" s="19" t="s">
        <v>3518</v>
      </c>
      <c r="AB243" s="19" t="s">
        <v>3519</v>
      </c>
      <c r="AC243" s="19" t="s">
        <v>3520</v>
      </c>
      <c r="AD243" s="19" t="s">
        <v>3521</v>
      </c>
      <c r="AE243" s="19" t="s">
        <v>3522</v>
      </c>
      <c r="AF243" s="21"/>
      <c r="AG243" s="19" t="s">
        <v>3524</v>
      </c>
      <c r="AH243" s="19" t="s">
        <v>3525</v>
      </c>
      <c r="AI243" s="19" t="s">
        <v>3526</v>
      </c>
      <c r="AJ243" s="19" t="s">
        <v>3527</v>
      </c>
      <c r="AK243" s="19" t="s">
        <v>3528</v>
      </c>
      <c r="AL243" s="19" t="s">
        <v>3529</v>
      </c>
      <c r="AM243" s="21"/>
      <c r="AN243" s="19" t="s">
        <v>3710</v>
      </c>
      <c r="AO243" s="19" t="s">
        <v>3557</v>
      </c>
      <c r="AP243" s="21"/>
      <c r="AQ243" s="21"/>
      <c r="AR243" s="19" t="s">
        <v>3535</v>
      </c>
      <c r="AS243" s="19" t="s">
        <v>3536</v>
      </c>
      <c r="AT243" s="19" t="s">
        <v>3562</v>
      </c>
      <c r="AU243" s="19" t="s">
        <v>6</v>
      </c>
      <c r="AV243" s="19" t="s">
        <v>3536</v>
      </c>
      <c r="AW243" s="19" t="s">
        <v>3539</v>
      </c>
      <c r="AX243" s="19" t="s">
        <v>3540</v>
      </c>
      <c r="AY243" s="19" t="s">
        <v>3541</v>
      </c>
      <c r="AZ243" s="19" t="s">
        <v>3706</v>
      </c>
      <c r="BA243" s="19" t="s">
        <v>3543</v>
      </c>
      <c r="BB243" s="21"/>
      <c r="BC243" s="23"/>
    </row>
    <row r="244" ht="22.5" customHeight="1">
      <c r="A244" s="11">
        <v>46182.95274673611</v>
      </c>
      <c r="B244" s="12" t="s">
        <v>1509</v>
      </c>
      <c r="C244" s="13">
        <v>41.0</v>
      </c>
      <c r="D244" s="14" t="s">
        <v>4243</v>
      </c>
      <c r="E244" s="15">
        <f t="shared" si="1"/>
        <v>46</v>
      </c>
      <c r="F244" s="12" t="s">
        <v>4244</v>
      </c>
      <c r="G244" s="12" t="s">
        <v>4245</v>
      </c>
      <c r="H244" s="12" t="s">
        <v>1509</v>
      </c>
      <c r="I244" s="15">
        <v>8.767445711E9</v>
      </c>
      <c r="J244" s="12" t="s">
        <v>3547</v>
      </c>
      <c r="K244" s="12" t="s">
        <v>3504</v>
      </c>
      <c r="L244" s="12" t="s">
        <v>3556</v>
      </c>
      <c r="M244" s="16"/>
      <c r="N244" s="12" t="s">
        <v>3506</v>
      </c>
      <c r="O244" s="12" t="s">
        <v>3507</v>
      </c>
      <c r="P244" s="12" t="s">
        <v>3508</v>
      </c>
      <c r="Q244" s="16"/>
      <c r="R244" s="12" t="s">
        <v>3509</v>
      </c>
      <c r="S244" s="12" t="s">
        <v>3510</v>
      </c>
      <c r="T244" s="12" t="s">
        <v>3549</v>
      </c>
      <c r="U244" s="12" t="s">
        <v>3550</v>
      </c>
      <c r="V244" s="12" t="s">
        <v>3513</v>
      </c>
      <c r="W244" s="12" t="s">
        <v>3514</v>
      </c>
      <c r="X244" s="12" t="s">
        <v>3515</v>
      </c>
      <c r="Y244" s="12" t="s">
        <v>3516</v>
      </c>
      <c r="Z244" s="12" t="s">
        <v>3517</v>
      </c>
      <c r="AA244" s="12" t="s">
        <v>3518</v>
      </c>
      <c r="AB244" s="12" t="s">
        <v>3519</v>
      </c>
      <c r="AC244" s="12" t="s">
        <v>3520</v>
      </c>
      <c r="AD244" s="12" t="s">
        <v>3521</v>
      </c>
      <c r="AE244" s="12" t="s">
        <v>3522</v>
      </c>
      <c r="AF244" s="12" t="s">
        <v>3523</v>
      </c>
      <c r="AG244" s="12" t="s">
        <v>3524</v>
      </c>
      <c r="AH244" s="12" t="s">
        <v>3525</v>
      </c>
      <c r="AI244" s="12" t="s">
        <v>3526</v>
      </c>
      <c r="AJ244" s="12" t="s">
        <v>3527</v>
      </c>
      <c r="AK244" s="12" t="s">
        <v>3528</v>
      </c>
      <c r="AL244" s="12" t="s">
        <v>3529</v>
      </c>
      <c r="AM244" s="12" t="s">
        <v>3530</v>
      </c>
      <c r="AN244" s="12" t="s">
        <v>3531</v>
      </c>
      <c r="AO244" s="12" t="s">
        <v>3557</v>
      </c>
      <c r="AP244" s="12" t="s">
        <v>3533</v>
      </c>
      <c r="AQ244" s="12" t="s">
        <v>3534</v>
      </c>
      <c r="AR244" s="12" t="s">
        <v>3535</v>
      </c>
      <c r="AS244" s="12" t="s">
        <v>3536</v>
      </c>
      <c r="AT244" s="12" t="s">
        <v>3537</v>
      </c>
      <c r="AU244" s="12" t="s">
        <v>6</v>
      </c>
      <c r="AV244" s="12" t="s">
        <v>3538</v>
      </c>
      <c r="AW244" s="12" t="s">
        <v>3558</v>
      </c>
      <c r="AX244" s="12" t="s">
        <v>3540</v>
      </c>
      <c r="AY244" s="12" t="s">
        <v>3541</v>
      </c>
      <c r="AZ244" s="12" t="s">
        <v>3542</v>
      </c>
      <c r="BA244" s="12" t="s">
        <v>3543</v>
      </c>
      <c r="BB244" s="12" t="s">
        <v>3544</v>
      </c>
      <c r="BC244" s="17"/>
    </row>
    <row r="245" ht="22.5" customHeight="1">
      <c r="A245" s="18">
        <v>46182.95738979167</v>
      </c>
      <c r="B245" s="19" t="s">
        <v>2734</v>
      </c>
      <c r="C245" s="20">
        <v>42.0</v>
      </c>
      <c r="D245" s="24" t="s">
        <v>4246</v>
      </c>
      <c r="E245" s="22">
        <f t="shared" si="1"/>
        <v>47</v>
      </c>
      <c r="F245" s="19" t="s">
        <v>4247</v>
      </c>
      <c r="G245" s="19" t="s">
        <v>2735</v>
      </c>
      <c r="H245" s="19" t="s">
        <v>2734</v>
      </c>
      <c r="I245" s="22">
        <v>9.922472905E9</v>
      </c>
      <c r="J245" s="19" t="s">
        <v>3547</v>
      </c>
      <c r="K245" s="19" t="s">
        <v>3504</v>
      </c>
      <c r="L245" s="19" t="s">
        <v>3556</v>
      </c>
      <c r="M245" s="21"/>
      <c r="N245" s="19" t="s">
        <v>3506</v>
      </c>
      <c r="O245" s="19" t="s">
        <v>3507</v>
      </c>
      <c r="P245" s="19" t="s">
        <v>3508</v>
      </c>
      <c r="Q245" s="21"/>
      <c r="R245" s="19" t="s">
        <v>3509</v>
      </c>
      <c r="S245" s="19" t="s">
        <v>3510</v>
      </c>
      <c r="T245" s="19" t="s">
        <v>3549</v>
      </c>
      <c r="U245" s="19" t="s">
        <v>3550</v>
      </c>
      <c r="V245" s="19" t="s">
        <v>3513</v>
      </c>
      <c r="W245" s="19" t="s">
        <v>3514</v>
      </c>
      <c r="X245" s="19" t="s">
        <v>3515</v>
      </c>
      <c r="Y245" s="19" t="s">
        <v>3516</v>
      </c>
      <c r="Z245" s="19" t="s">
        <v>3517</v>
      </c>
      <c r="AA245" s="19" t="s">
        <v>3518</v>
      </c>
      <c r="AB245" s="19" t="s">
        <v>3519</v>
      </c>
      <c r="AC245" s="19" t="s">
        <v>3520</v>
      </c>
      <c r="AD245" s="19" t="s">
        <v>3521</v>
      </c>
      <c r="AE245" s="19" t="s">
        <v>3522</v>
      </c>
      <c r="AF245" s="19" t="s">
        <v>3523</v>
      </c>
      <c r="AG245" s="19" t="s">
        <v>3524</v>
      </c>
      <c r="AH245" s="19" t="s">
        <v>3525</v>
      </c>
      <c r="AI245" s="19" t="s">
        <v>3526</v>
      </c>
      <c r="AJ245" s="19" t="s">
        <v>3527</v>
      </c>
      <c r="AK245" s="19" t="s">
        <v>3528</v>
      </c>
      <c r="AL245" s="19" t="s">
        <v>3529</v>
      </c>
      <c r="AM245" s="19" t="s">
        <v>3530</v>
      </c>
      <c r="AN245" s="19" t="s">
        <v>3531</v>
      </c>
      <c r="AO245" s="19" t="s">
        <v>3557</v>
      </c>
      <c r="AP245" s="19" t="s">
        <v>3533</v>
      </c>
      <c r="AQ245" s="19" t="s">
        <v>3534</v>
      </c>
      <c r="AR245" s="19" t="s">
        <v>3535</v>
      </c>
      <c r="AS245" s="19" t="s">
        <v>3536</v>
      </c>
      <c r="AT245" s="19" t="s">
        <v>3537</v>
      </c>
      <c r="AU245" s="19" t="s">
        <v>6</v>
      </c>
      <c r="AV245" s="19" t="s">
        <v>3538</v>
      </c>
      <c r="AW245" s="19" t="s">
        <v>3539</v>
      </c>
      <c r="AX245" s="19" t="s">
        <v>3540</v>
      </c>
      <c r="AY245" s="19" t="s">
        <v>3541</v>
      </c>
      <c r="AZ245" s="19" t="s">
        <v>3542</v>
      </c>
      <c r="BA245" s="19" t="s">
        <v>3543</v>
      </c>
      <c r="BB245" s="19" t="s">
        <v>3544</v>
      </c>
      <c r="BC245" s="23"/>
    </row>
    <row r="246" ht="22.5" customHeight="1">
      <c r="A246" s="11">
        <v>46182.958185752315</v>
      </c>
      <c r="B246" s="12" t="s">
        <v>4248</v>
      </c>
      <c r="C246" s="13">
        <v>9.0</v>
      </c>
      <c r="D246" s="16"/>
      <c r="E246" s="15">
        <f t="shared" si="1"/>
        <v>9</v>
      </c>
      <c r="F246" s="12" t="s">
        <v>4249</v>
      </c>
      <c r="G246" s="12" t="s">
        <v>4250</v>
      </c>
      <c r="H246" s="12" t="s">
        <v>4251</v>
      </c>
      <c r="I246" s="15">
        <v>9.796701028E9</v>
      </c>
      <c r="J246" s="16"/>
      <c r="K246" s="16"/>
      <c r="L246" s="12" t="s">
        <v>3556</v>
      </c>
      <c r="M246" s="16"/>
      <c r="N246" s="12" t="s">
        <v>3506</v>
      </c>
      <c r="O246" s="16"/>
      <c r="P246" s="16"/>
      <c r="Q246" s="16"/>
      <c r="R246" s="16"/>
      <c r="S246" s="16"/>
      <c r="T246" s="16"/>
      <c r="U246" s="12" t="s">
        <v>3512</v>
      </c>
      <c r="V246" s="16"/>
      <c r="W246" s="16"/>
      <c r="X246" s="16"/>
      <c r="Y246" s="12" t="s">
        <v>3516</v>
      </c>
      <c r="Z246" s="16"/>
      <c r="AA246" s="16"/>
      <c r="AB246" s="12" t="s">
        <v>3519</v>
      </c>
      <c r="AC246" s="12" t="s">
        <v>3520</v>
      </c>
      <c r="AD246" s="16"/>
      <c r="AE246" s="16"/>
      <c r="AF246" s="16"/>
      <c r="AG246" s="16"/>
      <c r="AH246" s="16"/>
      <c r="AI246" s="12" t="s">
        <v>3526</v>
      </c>
      <c r="AJ246" s="16"/>
      <c r="AK246" s="16"/>
      <c r="AL246" s="16"/>
      <c r="AM246" s="16"/>
      <c r="AN246" s="16"/>
      <c r="AO246" s="16"/>
      <c r="AP246" s="16"/>
      <c r="AQ246" s="16"/>
      <c r="AR246" s="12" t="s">
        <v>3535</v>
      </c>
      <c r="AS246" s="12" t="s">
        <v>3536</v>
      </c>
      <c r="AT246" s="12" t="s">
        <v>3578</v>
      </c>
      <c r="AU246" s="12" t="s">
        <v>6</v>
      </c>
      <c r="AV246" s="12" t="s">
        <v>3538</v>
      </c>
      <c r="AW246" s="16"/>
      <c r="AX246" s="16"/>
      <c r="AY246" s="16"/>
      <c r="AZ246" s="16"/>
      <c r="BA246" s="16"/>
      <c r="BB246" s="16"/>
      <c r="BC246" s="17"/>
    </row>
    <row r="247" ht="22.5" customHeight="1">
      <c r="A247" s="18">
        <v>46182.959283310185</v>
      </c>
      <c r="B247" s="19" t="s">
        <v>329</v>
      </c>
      <c r="C247" s="20">
        <v>38.0</v>
      </c>
      <c r="D247" s="24" t="s">
        <v>4252</v>
      </c>
      <c r="E247" s="22">
        <f t="shared" si="1"/>
        <v>43</v>
      </c>
      <c r="F247" s="19" t="s">
        <v>4253</v>
      </c>
      <c r="G247" s="19" t="s">
        <v>4254</v>
      </c>
      <c r="H247" s="19" t="s">
        <v>329</v>
      </c>
      <c r="I247" s="22">
        <v>8.788396505E9</v>
      </c>
      <c r="J247" s="19" t="s">
        <v>3547</v>
      </c>
      <c r="K247" s="19" t="s">
        <v>3504</v>
      </c>
      <c r="L247" s="19" t="s">
        <v>3556</v>
      </c>
      <c r="M247" s="21"/>
      <c r="N247" s="19" t="s">
        <v>3506</v>
      </c>
      <c r="O247" s="19" t="s">
        <v>3507</v>
      </c>
      <c r="P247" s="19" t="s">
        <v>3508</v>
      </c>
      <c r="Q247" s="21"/>
      <c r="R247" s="19" t="s">
        <v>3509</v>
      </c>
      <c r="S247" s="19" t="s">
        <v>3674</v>
      </c>
      <c r="T247" s="19" t="s">
        <v>3549</v>
      </c>
      <c r="U247" s="19" t="s">
        <v>3550</v>
      </c>
      <c r="V247" s="19" t="s">
        <v>3513</v>
      </c>
      <c r="W247" s="19" t="s">
        <v>3587</v>
      </c>
      <c r="X247" s="19" t="s">
        <v>3515</v>
      </c>
      <c r="Y247" s="19" t="s">
        <v>3725</v>
      </c>
      <c r="Z247" s="19" t="s">
        <v>3517</v>
      </c>
      <c r="AA247" s="19" t="s">
        <v>3518</v>
      </c>
      <c r="AB247" s="19" t="s">
        <v>3519</v>
      </c>
      <c r="AC247" s="19" t="s">
        <v>3520</v>
      </c>
      <c r="AD247" s="19" t="s">
        <v>3521</v>
      </c>
      <c r="AE247" s="19" t="s">
        <v>3522</v>
      </c>
      <c r="AF247" s="19" t="s">
        <v>3523</v>
      </c>
      <c r="AG247" s="19" t="s">
        <v>3524</v>
      </c>
      <c r="AH247" s="19" t="s">
        <v>3525</v>
      </c>
      <c r="AI247" s="19" t="s">
        <v>3526</v>
      </c>
      <c r="AJ247" s="19" t="s">
        <v>3527</v>
      </c>
      <c r="AK247" s="19" t="s">
        <v>3528</v>
      </c>
      <c r="AL247" s="19" t="s">
        <v>3529</v>
      </c>
      <c r="AM247" s="19" t="s">
        <v>3530</v>
      </c>
      <c r="AN247" s="19" t="s">
        <v>3531</v>
      </c>
      <c r="AO247" s="19" t="s">
        <v>3557</v>
      </c>
      <c r="AP247" s="19" t="s">
        <v>3533</v>
      </c>
      <c r="AQ247" s="19" t="s">
        <v>3534</v>
      </c>
      <c r="AR247" s="19" t="s">
        <v>3535</v>
      </c>
      <c r="AS247" s="19" t="s">
        <v>3536</v>
      </c>
      <c r="AT247" s="19" t="s">
        <v>3562</v>
      </c>
      <c r="AU247" s="19" t="s">
        <v>6</v>
      </c>
      <c r="AV247" s="19" t="s">
        <v>3538</v>
      </c>
      <c r="AW247" s="19" t="s">
        <v>3539</v>
      </c>
      <c r="AX247" s="19" t="s">
        <v>3540</v>
      </c>
      <c r="AY247" s="19" t="s">
        <v>3541</v>
      </c>
      <c r="AZ247" s="19" t="s">
        <v>3542</v>
      </c>
      <c r="BA247" s="19" t="s">
        <v>3631</v>
      </c>
      <c r="BB247" s="19" t="s">
        <v>3544</v>
      </c>
      <c r="BC247" s="23"/>
    </row>
    <row r="248" ht="22.5" customHeight="1">
      <c r="A248" s="11">
        <v>46182.95962787037</v>
      </c>
      <c r="B248" s="12" t="s">
        <v>1776</v>
      </c>
      <c r="C248" s="13">
        <v>39.0</v>
      </c>
      <c r="D248" s="14" t="s">
        <v>4255</v>
      </c>
      <c r="E248" s="15">
        <f t="shared" si="1"/>
        <v>44</v>
      </c>
      <c r="F248" s="12" t="s">
        <v>4256</v>
      </c>
      <c r="G248" s="12" t="s">
        <v>4257</v>
      </c>
      <c r="H248" s="12" t="s">
        <v>1776</v>
      </c>
      <c r="I248" s="15">
        <v>7.976068525E9</v>
      </c>
      <c r="J248" s="12" t="s">
        <v>3547</v>
      </c>
      <c r="K248" s="12" t="s">
        <v>3504</v>
      </c>
      <c r="L248" s="12" t="s">
        <v>3556</v>
      </c>
      <c r="M248" s="16"/>
      <c r="N248" s="12" t="s">
        <v>3569</v>
      </c>
      <c r="O248" s="12" t="s">
        <v>3507</v>
      </c>
      <c r="P248" s="12" t="s">
        <v>3508</v>
      </c>
      <c r="Q248" s="16"/>
      <c r="R248" s="12" t="s">
        <v>3509</v>
      </c>
      <c r="S248" s="12" t="s">
        <v>3510</v>
      </c>
      <c r="T248" s="12" t="s">
        <v>3549</v>
      </c>
      <c r="U248" s="12" t="s">
        <v>3512</v>
      </c>
      <c r="V248" s="12" t="s">
        <v>3513</v>
      </c>
      <c r="W248" s="12" t="s">
        <v>3514</v>
      </c>
      <c r="X248" s="12" t="s">
        <v>3515</v>
      </c>
      <c r="Y248" s="12" t="s">
        <v>3516</v>
      </c>
      <c r="Z248" s="12" t="s">
        <v>3517</v>
      </c>
      <c r="AA248" s="12" t="s">
        <v>3518</v>
      </c>
      <c r="AB248" s="12" t="s">
        <v>3519</v>
      </c>
      <c r="AC248" s="12" t="s">
        <v>3520</v>
      </c>
      <c r="AD248" s="12" t="s">
        <v>3521</v>
      </c>
      <c r="AE248" s="12" t="s">
        <v>3522</v>
      </c>
      <c r="AF248" s="12" t="s">
        <v>3523</v>
      </c>
      <c r="AG248" s="12" t="s">
        <v>3524</v>
      </c>
      <c r="AH248" s="12" t="s">
        <v>3525</v>
      </c>
      <c r="AI248" s="12" t="s">
        <v>3526</v>
      </c>
      <c r="AJ248" s="12" t="s">
        <v>3527</v>
      </c>
      <c r="AK248" s="12" t="s">
        <v>3528</v>
      </c>
      <c r="AL248" s="12" t="s">
        <v>3529</v>
      </c>
      <c r="AM248" s="12" t="s">
        <v>3530</v>
      </c>
      <c r="AN248" s="12" t="s">
        <v>3531</v>
      </c>
      <c r="AO248" s="12" t="s">
        <v>3557</v>
      </c>
      <c r="AP248" s="12" t="s">
        <v>3533</v>
      </c>
      <c r="AQ248" s="12" t="s">
        <v>3534</v>
      </c>
      <c r="AR248" s="12" t="s">
        <v>3535</v>
      </c>
      <c r="AS248" s="12" t="s">
        <v>3536</v>
      </c>
      <c r="AT248" s="12" t="s">
        <v>3537</v>
      </c>
      <c r="AU248" s="12" t="s">
        <v>6</v>
      </c>
      <c r="AV248" s="12" t="s">
        <v>3538</v>
      </c>
      <c r="AW248" s="12" t="s">
        <v>3558</v>
      </c>
      <c r="AX248" s="12" t="s">
        <v>3540</v>
      </c>
      <c r="AY248" s="12" t="s">
        <v>3541</v>
      </c>
      <c r="AZ248" s="12" t="s">
        <v>3542</v>
      </c>
      <c r="BA248" s="12" t="s">
        <v>3543</v>
      </c>
      <c r="BB248" s="12" t="s">
        <v>3544</v>
      </c>
      <c r="BC248" s="17"/>
    </row>
    <row r="249" ht="22.5" customHeight="1">
      <c r="A249" s="18">
        <v>46182.961265011574</v>
      </c>
      <c r="B249" s="19" t="s">
        <v>1421</v>
      </c>
      <c r="C249" s="20">
        <v>27.0</v>
      </c>
      <c r="D249" s="21"/>
      <c r="E249" s="22">
        <f t="shared" si="1"/>
        <v>27</v>
      </c>
      <c r="F249" s="19" t="s">
        <v>4258</v>
      </c>
      <c r="G249" s="19" t="s">
        <v>4259</v>
      </c>
      <c r="H249" s="19" t="s">
        <v>1421</v>
      </c>
      <c r="I249" s="22">
        <v>8.281120744E9</v>
      </c>
      <c r="J249" s="19" t="s">
        <v>3503</v>
      </c>
      <c r="K249" s="21"/>
      <c r="L249" s="19" t="s">
        <v>3556</v>
      </c>
      <c r="M249" s="21"/>
      <c r="N249" s="19" t="s">
        <v>3506</v>
      </c>
      <c r="O249" s="19" t="s">
        <v>3507</v>
      </c>
      <c r="P249" s="19" t="s">
        <v>3508</v>
      </c>
      <c r="Q249" s="21"/>
      <c r="R249" s="19" t="s">
        <v>3574</v>
      </c>
      <c r="S249" s="19" t="s">
        <v>3510</v>
      </c>
      <c r="T249" s="19" t="s">
        <v>3549</v>
      </c>
      <c r="U249" s="19" t="s">
        <v>3550</v>
      </c>
      <c r="V249" s="19" t="s">
        <v>3513</v>
      </c>
      <c r="W249" s="19" t="s">
        <v>3514</v>
      </c>
      <c r="X249" s="19" t="s">
        <v>3515</v>
      </c>
      <c r="Y249" s="19" t="s">
        <v>3680</v>
      </c>
      <c r="Z249" s="19" t="s">
        <v>3517</v>
      </c>
      <c r="AA249" s="19" t="s">
        <v>3703</v>
      </c>
      <c r="AB249" s="19" t="s">
        <v>3519</v>
      </c>
      <c r="AC249" s="19" t="s">
        <v>3520</v>
      </c>
      <c r="AD249" s="19" t="s">
        <v>3521</v>
      </c>
      <c r="AE249" s="19" t="s">
        <v>3522</v>
      </c>
      <c r="AF249" s="19" t="s">
        <v>3639</v>
      </c>
      <c r="AG249" s="19" t="s">
        <v>3524</v>
      </c>
      <c r="AH249" s="19" t="s">
        <v>3525</v>
      </c>
      <c r="AI249" s="19" t="s">
        <v>3526</v>
      </c>
      <c r="AJ249" s="19" t="s">
        <v>4091</v>
      </c>
      <c r="AK249" s="19" t="s">
        <v>3528</v>
      </c>
      <c r="AL249" s="19" t="s">
        <v>3529</v>
      </c>
      <c r="AM249" s="19" t="s">
        <v>4108</v>
      </c>
      <c r="AN249" s="19" t="s">
        <v>3531</v>
      </c>
      <c r="AO249" s="19" t="s">
        <v>3532</v>
      </c>
      <c r="AP249" s="19" t="s">
        <v>3743</v>
      </c>
      <c r="AQ249" s="19" t="s">
        <v>3616</v>
      </c>
      <c r="AR249" s="19" t="s">
        <v>3753</v>
      </c>
      <c r="AS249" s="19" t="s">
        <v>3538</v>
      </c>
      <c r="AT249" s="21"/>
      <c r="AU249" s="19" t="s">
        <v>6</v>
      </c>
      <c r="AV249" s="19" t="s">
        <v>3538</v>
      </c>
      <c r="AW249" s="19" t="s">
        <v>3539</v>
      </c>
      <c r="AX249" s="19" t="s">
        <v>3774</v>
      </c>
      <c r="AY249" s="19" t="s">
        <v>3570</v>
      </c>
      <c r="AZ249" s="19" t="s">
        <v>3542</v>
      </c>
      <c r="BA249" s="19" t="s">
        <v>3631</v>
      </c>
      <c r="BB249" s="19" t="s">
        <v>3544</v>
      </c>
      <c r="BC249" s="23"/>
    </row>
    <row r="250" ht="22.5" customHeight="1">
      <c r="A250" s="11">
        <v>46182.96242467593</v>
      </c>
      <c r="B250" s="12" t="s">
        <v>1908</v>
      </c>
      <c r="C250" s="13">
        <v>34.0</v>
      </c>
      <c r="D250" s="16"/>
      <c r="E250" s="15">
        <f t="shared" si="1"/>
        <v>34</v>
      </c>
      <c r="F250" s="12" t="s">
        <v>4260</v>
      </c>
      <c r="G250" s="12" t="s">
        <v>1909</v>
      </c>
      <c r="H250" s="12" t="s">
        <v>1908</v>
      </c>
      <c r="I250" s="15">
        <v>8.767103739E9</v>
      </c>
      <c r="J250" s="12" t="s">
        <v>3503</v>
      </c>
      <c r="K250" s="12" t="s">
        <v>3504</v>
      </c>
      <c r="L250" s="12" t="s">
        <v>3505</v>
      </c>
      <c r="M250" s="16"/>
      <c r="N250" s="12" t="s">
        <v>3506</v>
      </c>
      <c r="O250" s="12" t="s">
        <v>3507</v>
      </c>
      <c r="P250" s="12" t="s">
        <v>3508</v>
      </c>
      <c r="Q250" s="16"/>
      <c r="R250" s="12" t="s">
        <v>3509</v>
      </c>
      <c r="S250" s="12" t="s">
        <v>3510</v>
      </c>
      <c r="T250" s="12" t="s">
        <v>3549</v>
      </c>
      <c r="U250" s="12" t="s">
        <v>3550</v>
      </c>
      <c r="V250" s="12" t="s">
        <v>3513</v>
      </c>
      <c r="W250" s="12" t="s">
        <v>3514</v>
      </c>
      <c r="X250" s="12" t="s">
        <v>3515</v>
      </c>
      <c r="Y250" s="12" t="s">
        <v>3516</v>
      </c>
      <c r="Z250" s="12" t="s">
        <v>3517</v>
      </c>
      <c r="AA250" s="12" t="s">
        <v>3518</v>
      </c>
      <c r="AB250" s="12" t="s">
        <v>3519</v>
      </c>
      <c r="AC250" s="12" t="s">
        <v>3520</v>
      </c>
      <c r="AD250" s="12" t="s">
        <v>3521</v>
      </c>
      <c r="AE250" s="12" t="s">
        <v>3522</v>
      </c>
      <c r="AF250" s="12" t="s">
        <v>3523</v>
      </c>
      <c r="AG250" s="12" t="s">
        <v>3524</v>
      </c>
      <c r="AH250" s="12" t="s">
        <v>3525</v>
      </c>
      <c r="AI250" s="12" t="s">
        <v>3526</v>
      </c>
      <c r="AJ250" s="12" t="s">
        <v>3527</v>
      </c>
      <c r="AK250" s="12" t="s">
        <v>3528</v>
      </c>
      <c r="AL250" s="12" t="s">
        <v>3529</v>
      </c>
      <c r="AM250" s="12" t="s">
        <v>3530</v>
      </c>
      <c r="AN250" s="12" t="s">
        <v>3531</v>
      </c>
      <c r="AO250" s="12" t="s">
        <v>3557</v>
      </c>
      <c r="AP250" s="12" t="s">
        <v>3577</v>
      </c>
      <c r="AQ250" s="12" t="s">
        <v>3534</v>
      </c>
      <c r="AR250" s="16"/>
      <c r="AS250" s="16"/>
      <c r="AT250" s="16"/>
      <c r="AU250" s="16"/>
      <c r="AV250" s="16"/>
      <c r="AW250" s="12" t="s">
        <v>3539</v>
      </c>
      <c r="AX250" s="12" t="s">
        <v>3540</v>
      </c>
      <c r="AY250" s="12" t="s">
        <v>3541</v>
      </c>
      <c r="AZ250" s="12" t="s">
        <v>3542</v>
      </c>
      <c r="BA250" s="12" t="s">
        <v>3543</v>
      </c>
      <c r="BB250" s="12" t="s">
        <v>3544</v>
      </c>
      <c r="BC250" s="17"/>
    </row>
    <row r="251" ht="22.5" customHeight="1">
      <c r="A251" s="18">
        <v>46182.96398818287</v>
      </c>
      <c r="B251" s="19" t="s">
        <v>4261</v>
      </c>
      <c r="C251" s="20">
        <v>29.0</v>
      </c>
      <c r="D251" s="21"/>
      <c r="E251" s="22">
        <f t="shared" si="1"/>
        <v>29</v>
      </c>
      <c r="F251" s="19" t="s">
        <v>4262</v>
      </c>
      <c r="G251" s="19" t="s">
        <v>2502</v>
      </c>
      <c r="H251" s="19" t="s">
        <v>2501</v>
      </c>
      <c r="I251" s="22">
        <v>9.667340324E9</v>
      </c>
      <c r="J251" s="19" t="s">
        <v>3547</v>
      </c>
      <c r="K251" s="19" t="s">
        <v>3504</v>
      </c>
      <c r="L251" s="19" t="s">
        <v>3505</v>
      </c>
      <c r="M251" s="21"/>
      <c r="N251" s="19" t="s">
        <v>3506</v>
      </c>
      <c r="O251" s="19" t="s">
        <v>3507</v>
      </c>
      <c r="P251" s="19" t="s">
        <v>3637</v>
      </c>
      <c r="Q251" s="21"/>
      <c r="R251" s="19" t="s">
        <v>3780</v>
      </c>
      <c r="S251" s="21"/>
      <c r="T251" s="19" t="s">
        <v>3549</v>
      </c>
      <c r="U251" s="19" t="s">
        <v>3550</v>
      </c>
      <c r="V251" s="19" t="s">
        <v>3513</v>
      </c>
      <c r="W251" s="19" t="s">
        <v>3514</v>
      </c>
      <c r="X251" s="19" t="s">
        <v>3515</v>
      </c>
      <c r="Y251" s="19" t="s">
        <v>3516</v>
      </c>
      <c r="Z251" s="19" t="s">
        <v>3517</v>
      </c>
      <c r="AA251" s="19" t="s">
        <v>3703</v>
      </c>
      <c r="AB251" s="19" t="s">
        <v>3519</v>
      </c>
      <c r="AC251" s="19" t="s">
        <v>3638</v>
      </c>
      <c r="AD251" s="19" t="s">
        <v>3521</v>
      </c>
      <c r="AE251" s="19" t="s">
        <v>3704</v>
      </c>
      <c r="AF251" s="19" t="s">
        <v>3523</v>
      </c>
      <c r="AG251" s="19" t="s">
        <v>3524</v>
      </c>
      <c r="AH251" s="19" t="s">
        <v>3525</v>
      </c>
      <c r="AI251" s="19" t="s">
        <v>3526</v>
      </c>
      <c r="AJ251" s="19" t="s">
        <v>3527</v>
      </c>
      <c r="AK251" s="19" t="s">
        <v>3528</v>
      </c>
      <c r="AL251" s="19" t="s">
        <v>3529</v>
      </c>
      <c r="AM251" s="19" t="s">
        <v>3530</v>
      </c>
      <c r="AN251" s="19" t="s">
        <v>3531</v>
      </c>
      <c r="AO251" s="19" t="s">
        <v>3557</v>
      </c>
      <c r="AP251" s="19" t="s">
        <v>4109</v>
      </c>
      <c r="AQ251" s="21"/>
      <c r="AR251" s="19" t="s">
        <v>3535</v>
      </c>
      <c r="AS251" s="19" t="s">
        <v>3538</v>
      </c>
      <c r="AT251" s="19" t="s">
        <v>3537</v>
      </c>
      <c r="AU251" s="21"/>
      <c r="AV251" s="19" t="s">
        <v>3538</v>
      </c>
      <c r="AW251" s="19" t="s">
        <v>3539</v>
      </c>
      <c r="AX251" s="19" t="s">
        <v>3540</v>
      </c>
      <c r="AY251" s="19" t="s">
        <v>3570</v>
      </c>
      <c r="AZ251" s="19" t="s">
        <v>3542</v>
      </c>
      <c r="BA251" s="19" t="s">
        <v>3631</v>
      </c>
      <c r="BB251" s="19" t="s">
        <v>3544</v>
      </c>
      <c r="BC251" s="23"/>
    </row>
    <row r="252" ht="22.5" customHeight="1">
      <c r="A252" s="11">
        <v>46182.96429068287</v>
      </c>
      <c r="B252" s="12" t="s">
        <v>2382</v>
      </c>
      <c r="C252" s="13">
        <v>40.0</v>
      </c>
      <c r="D252" s="14" t="s">
        <v>4263</v>
      </c>
      <c r="E252" s="15">
        <f t="shared" si="1"/>
        <v>45</v>
      </c>
      <c r="F252" s="12" t="s">
        <v>4264</v>
      </c>
      <c r="G252" s="12" t="s">
        <v>2383</v>
      </c>
      <c r="H252" s="12" t="s">
        <v>2382</v>
      </c>
      <c r="I252" s="15">
        <v>9.9901378E9</v>
      </c>
      <c r="J252" s="12" t="s">
        <v>3547</v>
      </c>
      <c r="K252" s="12" t="s">
        <v>3504</v>
      </c>
      <c r="L252" s="12" t="s">
        <v>3556</v>
      </c>
      <c r="M252" s="16"/>
      <c r="N252" s="12" t="s">
        <v>3506</v>
      </c>
      <c r="O252" s="12" t="s">
        <v>3507</v>
      </c>
      <c r="P252" s="12" t="s">
        <v>3508</v>
      </c>
      <c r="Q252" s="16"/>
      <c r="R252" s="12" t="s">
        <v>3509</v>
      </c>
      <c r="S252" s="12" t="s">
        <v>3510</v>
      </c>
      <c r="T252" s="12" t="s">
        <v>3549</v>
      </c>
      <c r="U252" s="12" t="s">
        <v>3512</v>
      </c>
      <c r="V252" s="12" t="s">
        <v>3513</v>
      </c>
      <c r="W252" s="12" t="s">
        <v>3514</v>
      </c>
      <c r="X252" s="12" t="s">
        <v>3515</v>
      </c>
      <c r="Y252" s="12" t="s">
        <v>3516</v>
      </c>
      <c r="Z252" s="12" t="s">
        <v>3517</v>
      </c>
      <c r="AA252" s="12" t="s">
        <v>3518</v>
      </c>
      <c r="AB252" s="12" t="s">
        <v>3519</v>
      </c>
      <c r="AC252" s="12" t="s">
        <v>3520</v>
      </c>
      <c r="AD252" s="12" t="s">
        <v>3521</v>
      </c>
      <c r="AE252" s="12" t="s">
        <v>3522</v>
      </c>
      <c r="AF252" s="12" t="s">
        <v>3523</v>
      </c>
      <c r="AG252" s="12" t="s">
        <v>3524</v>
      </c>
      <c r="AH252" s="12" t="s">
        <v>3525</v>
      </c>
      <c r="AI252" s="12" t="s">
        <v>3526</v>
      </c>
      <c r="AJ252" s="12" t="s">
        <v>3527</v>
      </c>
      <c r="AK252" s="12" t="s">
        <v>3528</v>
      </c>
      <c r="AL252" s="12" t="s">
        <v>3529</v>
      </c>
      <c r="AM252" s="12" t="s">
        <v>3530</v>
      </c>
      <c r="AN252" s="12" t="s">
        <v>3531</v>
      </c>
      <c r="AO252" s="12" t="s">
        <v>3557</v>
      </c>
      <c r="AP252" s="12" t="s">
        <v>3533</v>
      </c>
      <c r="AQ252" s="12" t="s">
        <v>3534</v>
      </c>
      <c r="AR252" s="12" t="s">
        <v>3535</v>
      </c>
      <c r="AS252" s="12" t="s">
        <v>3536</v>
      </c>
      <c r="AT252" s="12" t="s">
        <v>3578</v>
      </c>
      <c r="AU252" s="12" t="s">
        <v>6</v>
      </c>
      <c r="AV252" s="12" t="s">
        <v>3538</v>
      </c>
      <c r="AW252" s="12" t="s">
        <v>3539</v>
      </c>
      <c r="AX252" s="12" t="s">
        <v>3540</v>
      </c>
      <c r="AY252" s="12" t="s">
        <v>3541</v>
      </c>
      <c r="AZ252" s="12" t="s">
        <v>3542</v>
      </c>
      <c r="BA252" s="12" t="s">
        <v>3543</v>
      </c>
      <c r="BB252" s="12" t="s">
        <v>3544</v>
      </c>
      <c r="BC252" s="17"/>
    </row>
    <row r="253" ht="22.5" customHeight="1">
      <c r="A253" s="18">
        <v>46182.967163587964</v>
      </c>
      <c r="B253" s="19" t="s">
        <v>3199</v>
      </c>
      <c r="C253" s="20">
        <v>35.0</v>
      </c>
      <c r="D253" s="21"/>
      <c r="E253" s="22">
        <f t="shared" si="1"/>
        <v>35</v>
      </c>
      <c r="F253" s="19" t="s">
        <v>4265</v>
      </c>
      <c r="G253" s="19" t="s">
        <v>4266</v>
      </c>
      <c r="H253" s="19" t="s">
        <v>3199</v>
      </c>
      <c r="I253" s="22">
        <v>7.529899126E9</v>
      </c>
      <c r="J253" s="19" t="s">
        <v>3547</v>
      </c>
      <c r="K253" s="19" t="s">
        <v>3504</v>
      </c>
      <c r="L253" s="19" t="s">
        <v>3612</v>
      </c>
      <c r="M253" s="21"/>
      <c r="N253" s="19" t="s">
        <v>3569</v>
      </c>
      <c r="O253" s="19" t="s">
        <v>3507</v>
      </c>
      <c r="P253" s="19" t="s">
        <v>3508</v>
      </c>
      <c r="Q253" s="21"/>
      <c r="R253" s="19" t="s">
        <v>3509</v>
      </c>
      <c r="S253" s="19" t="s">
        <v>3510</v>
      </c>
      <c r="T253" s="19" t="s">
        <v>3511</v>
      </c>
      <c r="U253" s="19" t="s">
        <v>3550</v>
      </c>
      <c r="V253" s="19" t="s">
        <v>3513</v>
      </c>
      <c r="W253" s="19" t="s">
        <v>3514</v>
      </c>
      <c r="X253" s="19" t="s">
        <v>3515</v>
      </c>
      <c r="Y253" s="19" t="s">
        <v>3516</v>
      </c>
      <c r="Z253" s="19" t="s">
        <v>3517</v>
      </c>
      <c r="AA253" s="19" t="s">
        <v>3518</v>
      </c>
      <c r="AB253" s="21"/>
      <c r="AC253" s="19" t="s">
        <v>3520</v>
      </c>
      <c r="AD253" s="19" t="s">
        <v>3615</v>
      </c>
      <c r="AE253" s="19" t="s">
        <v>3522</v>
      </c>
      <c r="AF253" s="19" t="s">
        <v>3523</v>
      </c>
      <c r="AG253" s="19" t="s">
        <v>3524</v>
      </c>
      <c r="AH253" s="19" t="s">
        <v>3525</v>
      </c>
      <c r="AI253" s="19" t="s">
        <v>3526</v>
      </c>
      <c r="AJ253" s="19" t="s">
        <v>3773</v>
      </c>
      <c r="AK253" s="19" t="s">
        <v>3528</v>
      </c>
      <c r="AL253" s="19" t="s">
        <v>3529</v>
      </c>
      <c r="AM253" s="19" t="s">
        <v>3530</v>
      </c>
      <c r="AN253" s="19" t="s">
        <v>3531</v>
      </c>
      <c r="AO253" s="19" t="s">
        <v>3557</v>
      </c>
      <c r="AP253" s="19" t="s">
        <v>3533</v>
      </c>
      <c r="AQ253" s="19" t="s">
        <v>3534</v>
      </c>
      <c r="AR253" s="19" t="s">
        <v>3535</v>
      </c>
      <c r="AS253" s="19" t="s">
        <v>3536</v>
      </c>
      <c r="AT253" s="19" t="s">
        <v>3537</v>
      </c>
      <c r="AU253" s="19" t="s">
        <v>6</v>
      </c>
      <c r="AV253" s="19" t="s">
        <v>3538</v>
      </c>
      <c r="AW253" s="19" t="s">
        <v>3539</v>
      </c>
      <c r="AX253" s="19" t="s">
        <v>3540</v>
      </c>
      <c r="AY253" s="19" t="s">
        <v>3541</v>
      </c>
      <c r="AZ253" s="19" t="s">
        <v>3706</v>
      </c>
      <c r="BA253" s="19" t="s">
        <v>3543</v>
      </c>
      <c r="BB253" s="19" t="s">
        <v>3544</v>
      </c>
      <c r="BC253" s="23"/>
    </row>
    <row r="254" ht="22.5" customHeight="1">
      <c r="A254" s="11">
        <v>46182.96717259259</v>
      </c>
      <c r="B254" s="12" t="s">
        <v>4267</v>
      </c>
      <c r="C254" s="13">
        <v>39.0</v>
      </c>
      <c r="D254" s="14" t="s">
        <v>4268</v>
      </c>
      <c r="E254" s="15">
        <f t="shared" si="1"/>
        <v>44</v>
      </c>
      <c r="F254" s="12" t="s">
        <v>4269</v>
      </c>
      <c r="G254" s="12" t="s">
        <v>2252</v>
      </c>
      <c r="H254" s="12" t="s">
        <v>4270</v>
      </c>
      <c r="I254" s="15">
        <v>9.013277899E9</v>
      </c>
      <c r="J254" s="12" t="s">
        <v>3547</v>
      </c>
      <c r="K254" s="12" t="s">
        <v>3504</v>
      </c>
      <c r="L254" s="12" t="s">
        <v>3556</v>
      </c>
      <c r="M254" s="16"/>
      <c r="N254" s="12" t="s">
        <v>3548</v>
      </c>
      <c r="O254" s="12" t="s">
        <v>3507</v>
      </c>
      <c r="P254" s="12" t="s">
        <v>3508</v>
      </c>
      <c r="Q254" s="16"/>
      <c r="R254" s="12" t="s">
        <v>3509</v>
      </c>
      <c r="S254" s="12" t="s">
        <v>3510</v>
      </c>
      <c r="T254" s="12" t="s">
        <v>3549</v>
      </c>
      <c r="U254" s="12" t="s">
        <v>3512</v>
      </c>
      <c r="V254" s="12" t="s">
        <v>3513</v>
      </c>
      <c r="W254" s="12" t="s">
        <v>3514</v>
      </c>
      <c r="X254" s="12" t="s">
        <v>3515</v>
      </c>
      <c r="Y254" s="12" t="s">
        <v>3516</v>
      </c>
      <c r="Z254" s="12" t="s">
        <v>3517</v>
      </c>
      <c r="AA254" s="12" t="s">
        <v>3518</v>
      </c>
      <c r="AB254" s="12" t="s">
        <v>3519</v>
      </c>
      <c r="AC254" s="12" t="s">
        <v>3520</v>
      </c>
      <c r="AD254" s="12" t="s">
        <v>3521</v>
      </c>
      <c r="AE254" s="12" t="s">
        <v>3522</v>
      </c>
      <c r="AF254" s="12" t="s">
        <v>3523</v>
      </c>
      <c r="AG254" s="12" t="s">
        <v>3524</v>
      </c>
      <c r="AH254" s="12" t="s">
        <v>3525</v>
      </c>
      <c r="AI254" s="12" t="s">
        <v>3526</v>
      </c>
      <c r="AJ254" s="12" t="s">
        <v>3527</v>
      </c>
      <c r="AK254" s="12" t="s">
        <v>3528</v>
      </c>
      <c r="AL254" s="12" t="s">
        <v>3529</v>
      </c>
      <c r="AM254" s="12" t="s">
        <v>3530</v>
      </c>
      <c r="AN254" s="12" t="s">
        <v>3531</v>
      </c>
      <c r="AO254" s="12" t="s">
        <v>3557</v>
      </c>
      <c r="AP254" s="12" t="s">
        <v>3533</v>
      </c>
      <c r="AQ254" s="12" t="s">
        <v>3534</v>
      </c>
      <c r="AR254" s="12" t="s">
        <v>3535</v>
      </c>
      <c r="AS254" s="12" t="s">
        <v>3536</v>
      </c>
      <c r="AT254" s="12" t="s">
        <v>3537</v>
      </c>
      <c r="AU254" s="12" t="s">
        <v>6</v>
      </c>
      <c r="AV254" s="12" t="s">
        <v>3538</v>
      </c>
      <c r="AW254" s="12" t="s">
        <v>3558</v>
      </c>
      <c r="AX254" s="12" t="s">
        <v>3540</v>
      </c>
      <c r="AY254" s="12" t="s">
        <v>3541</v>
      </c>
      <c r="AZ254" s="12" t="s">
        <v>3542</v>
      </c>
      <c r="BA254" s="12" t="s">
        <v>3543</v>
      </c>
      <c r="BB254" s="12" t="s">
        <v>3544</v>
      </c>
      <c r="BC254" s="17"/>
    </row>
    <row r="255" ht="22.5" customHeight="1">
      <c r="A255" s="18">
        <v>46182.968730347224</v>
      </c>
      <c r="B255" s="19" t="s">
        <v>4271</v>
      </c>
      <c r="C255" s="20">
        <v>39.0</v>
      </c>
      <c r="D255" s="21"/>
      <c r="E255" s="22">
        <f t="shared" si="1"/>
        <v>39</v>
      </c>
      <c r="F255" s="19" t="s">
        <v>4272</v>
      </c>
      <c r="G255" s="19" t="s">
        <v>4273</v>
      </c>
      <c r="H255" s="19" t="s">
        <v>74</v>
      </c>
      <c r="I255" s="22">
        <v>7.014589274E9</v>
      </c>
      <c r="J255" s="19" t="s">
        <v>3503</v>
      </c>
      <c r="K255" s="19" t="s">
        <v>3504</v>
      </c>
      <c r="L255" s="19" t="s">
        <v>3556</v>
      </c>
      <c r="M255" s="21"/>
      <c r="N255" s="19" t="s">
        <v>3506</v>
      </c>
      <c r="O255" s="19" t="s">
        <v>3507</v>
      </c>
      <c r="P255" s="19" t="s">
        <v>3508</v>
      </c>
      <c r="Q255" s="21"/>
      <c r="R255" s="19" t="s">
        <v>3509</v>
      </c>
      <c r="S255" s="19" t="s">
        <v>3510</v>
      </c>
      <c r="T255" s="19" t="s">
        <v>3511</v>
      </c>
      <c r="U255" s="19" t="s">
        <v>3512</v>
      </c>
      <c r="V255" s="19" t="s">
        <v>3513</v>
      </c>
      <c r="W255" s="19" t="s">
        <v>3514</v>
      </c>
      <c r="X255" s="19" t="s">
        <v>3515</v>
      </c>
      <c r="Y255" s="19" t="s">
        <v>3516</v>
      </c>
      <c r="Z255" s="19" t="s">
        <v>3517</v>
      </c>
      <c r="AA255" s="19" t="s">
        <v>3518</v>
      </c>
      <c r="AB255" s="19" t="s">
        <v>3519</v>
      </c>
      <c r="AC255" s="19" t="s">
        <v>3520</v>
      </c>
      <c r="AD255" s="19" t="s">
        <v>3521</v>
      </c>
      <c r="AE255" s="19" t="s">
        <v>3522</v>
      </c>
      <c r="AF255" s="19" t="s">
        <v>3523</v>
      </c>
      <c r="AG255" s="19" t="s">
        <v>3524</v>
      </c>
      <c r="AH255" s="19" t="s">
        <v>3525</v>
      </c>
      <c r="AI255" s="19" t="s">
        <v>3526</v>
      </c>
      <c r="AJ255" s="19" t="s">
        <v>3527</v>
      </c>
      <c r="AK255" s="19" t="s">
        <v>3528</v>
      </c>
      <c r="AL255" s="19" t="s">
        <v>3529</v>
      </c>
      <c r="AM255" s="19" t="s">
        <v>3530</v>
      </c>
      <c r="AN255" s="19" t="s">
        <v>3531</v>
      </c>
      <c r="AO255" s="19" t="s">
        <v>3557</v>
      </c>
      <c r="AP255" s="19" t="s">
        <v>3533</v>
      </c>
      <c r="AQ255" s="19" t="s">
        <v>3534</v>
      </c>
      <c r="AR255" s="19" t="s">
        <v>3535</v>
      </c>
      <c r="AS255" s="19" t="s">
        <v>3536</v>
      </c>
      <c r="AT255" s="19" t="s">
        <v>3537</v>
      </c>
      <c r="AU255" s="19" t="s">
        <v>6</v>
      </c>
      <c r="AV255" s="19" t="s">
        <v>3538</v>
      </c>
      <c r="AW255" s="19" t="s">
        <v>3539</v>
      </c>
      <c r="AX255" s="19" t="s">
        <v>3540</v>
      </c>
      <c r="AY255" s="19" t="s">
        <v>3541</v>
      </c>
      <c r="AZ255" s="19" t="s">
        <v>3542</v>
      </c>
      <c r="BA255" s="19" t="s">
        <v>3543</v>
      </c>
      <c r="BB255" s="19" t="s">
        <v>3544</v>
      </c>
      <c r="BC255" s="23"/>
    </row>
    <row r="256" ht="22.5" customHeight="1">
      <c r="A256" s="11">
        <v>46182.971671747684</v>
      </c>
      <c r="B256" s="12" t="s">
        <v>2789</v>
      </c>
      <c r="C256" s="13">
        <v>36.0</v>
      </c>
      <c r="D256" s="14" t="s">
        <v>4274</v>
      </c>
      <c r="E256" s="15">
        <f t="shared" si="1"/>
        <v>41</v>
      </c>
      <c r="F256" s="12" t="s">
        <v>4275</v>
      </c>
      <c r="G256" s="12" t="s">
        <v>2790</v>
      </c>
      <c r="H256" s="12" t="s">
        <v>2789</v>
      </c>
      <c r="I256" s="12" t="s">
        <v>2790</v>
      </c>
      <c r="J256" s="12" t="s">
        <v>3547</v>
      </c>
      <c r="K256" s="12" t="s">
        <v>3504</v>
      </c>
      <c r="L256" s="12" t="s">
        <v>3556</v>
      </c>
      <c r="M256" s="16"/>
      <c r="N256" s="12" t="s">
        <v>3548</v>
      </c>
      <c r="O256" s="12" t="s">
        <v>3507</v>
      </c>
      <c r="P256" s="12" t="s">
        <v>3637</v>
      </c>
      <c r="Q256" s="16"/>
      <c r="R256" s="12" t="s">
        <v>3509</v>
      </c>
      <c r="S256" s="12" t="s">
        <v>3510</v>
      </c>
      <c r="T256" s="12" t="s">
        <v>3511</v>
      </c>
      <c r="U256" s="12" t="s">
        <v>3550</v>
      </c>
      <c r="V256" s="12" t="s">
        <v>3513</v>
      </c>
      <c r="W256" s="12" t="s">
        <v>3575</v>
      </c>
      <c r="X256" s="12" t="s">
        <v>3515</v>
      </c>
      <c r="Y256" s="12" t="s">
        <v>3516</v>
      </c>
      <c r="Z256" s="12" t="s">
        <v>3517</v>
      </c>
      <c r="AA256" s="12" t="s">
        <v>3518</v>
      </c>
      <c r="AB256" s="12" t="s">
        <v>3519</v>
      </c>
      <c r="AC256" s="12" t="s">
        <v>3520</v>
      </c>
      <c r="AD256" s="12" t="s">
        <v>3521</v>
      </c>
      <c r="AE256" s="12" t="s">
        <v>3522</v>
      </c>
      <c r="AF256" s="12" t="s">
        <v>3523</v>
      </c>
      <c r="AG256" s="12" t="s">
        <v>3524</v>
      </c>
      <c r="AH256" s="12" t="s">
        <v>3525</v>
      </c>
      <c r="AI256" s="12" t="s">
        <v>3526</v>
      </c>
      <c r="AJ256" s="12" t="s">
        <v>3527</v>
      </c>
      <c r="AK256" s="12" t="s">
        <v>3528</v>
      </c>
      <c r="AL256" s="12" t="s">
        <v>3529</v>
      </c>
      <c r="AM256" s="12" t="s">
        <v>3530</v>
      </c>
      <c r="AN256" s="12" t="s">
        <v>3531</v>
      </c>
      <c r="AO256" s="12" t="s">
        <v>3557</v>
      </c>
      <c r="AP256" s="12" t="s">
        <v>3533</v>
      </c>
      <c r="AQ256" s="12" t="s">
        <v>3534</v>
      </c>
      <c r="AR256" s="12" t="s">
        <v>3535</v>
      </c>
      <c r="AS256" s="12" t="s">
        <v>3536</v>
      </c>
      <c r="AT256" s="12" t="s">
        <v>3562</v>
      </c>
      <c r="AU256" s="12" t="s">
        <v>6</v>
      </c>
      <c r="AV256" s="12" t="s">
        <v>3538</v>
      </c>
      <c r="AW256" s="12" t="s">
        <v>3539</v>
      </c>
      <c r="AX256" s="12" t="s">
        <v>3540</v>
      </c>
      <c r="AY256" s="12" t="s">
        <v>3950</v>
      </c>
      <c r="AZ256" s="12" t="s">
        <v>3542</v>
      </c>
      <c r="BA256" s="12" t="s">
        <v>3543</v>
      </c>
      <c r="BB256" s="12" t="s">
        <v>3544</v>
      </c>
      <c r="BC256" s="17"/>
    </row>
    <row r="257" ht="22.5" customHeight="1">
      <c r="A257" s="18">
        <v>46182.97599119213</v>
      </c>
      <c r="B257" s="19" t="s">
        <v>4276</v>
      </c>
      <c r="C257" s="20">
        <v>42.0</v>
      </c>
      <c r="D257" s="24" t="s">
        <v>4277</v>
      </c>
      <c r="E257" s="22">
        <f t="shared" si="1"/>
        <v>47</v>
      </c>
      <c r="F257" s="19" t="s">
        <v>4278</v>
      </c>
      <c r="G257" s="19" t="s">
        <v>2090</v>
      </c>
      <c r="H257" s="19" t="s">
        <v>2089</v>
      </c>
      <c r="I257" s="22">
        <v>7.417939743E9</v>
      </c>
      <c r="J257" s="19" t="s">
        <v>3547</v>
      </c>
      <c r="K257" s="19" t="s">
        <v>3504</v>
      </c>
      <c r="L257" s="19" t="s">
        <v>3556</v>
      </c>
      <c r="M257" s="21"/>
      <c r="N257" s="19" t="s">
        <v>3506</v>
      </c>
      <c r="O257" s="19" t="s">
        <v>3507</v>
      </c>
      <c r="P257" s="19" t="s">
        <v>3508</v>
      </c>
      <c r="Q257" s="21"/>
      <c r="R257" s="19" t="s">
        <v>3509</v>
      </c>
      <c r="S257" s="19" t="s">
        <v>3510</v>
      </c>
      <c r="T257" s="19" t="s">
        <v>3549</v>
      </c>
      <c r="U257" s="19" t="s">
        <v>3550</v>
      </c>
      <c r="V257" s="19" t="s">
        <v>3513</v>
      </c>
      <c r="W257" s="19" t="s">
        <v>3514</v>
      </c>
      <c r="X257" s="19" t="s">
        <v>3515</v>
      </c>
      <c r="Y257" s="19" t="s">
        <v>3516</v>
      </c>
      <c r="Z257" s="19" t="s">
        <v>3517</v>
      </c>
      <c r="AA257" s="19" t="s">
        <v>3518</v>
      </c>
      <c r="AB257" s="19" t="s">
        <v>3519</v>
      </c>
      <c r="AC257" s="19" t="s">
        <v>3520</v>
      </c>
      <c r="AD257" s="19" t="s">
        <v>3521</v>
      </c>
      <c r="AE257" s="19" t="s">
        <v>3522</v>
      </c>
      <c r="AF257" s="19" t="s">
        <v>3523</v>
      </c>
      <c r="AG257" s="19" t="s">
        <v>3524</v>
      </c>
      <c r="AH257" s="19" t="s">
        <v>3525</v>
      </c>
      <c r="AI257" s="19" t="s">
        <v>3526</v>
      </c>
      <c r="AJ257" s="19" t="s">
        <v>3527</v>
      </c>
      <c r="AK257" s="19" t="s">
        <v>3528</v>
      </c>
      <c r="AL257" s="19" t="s">
        <v>3529</v>
      </c>
      <c r="AM257" s="19" t="s">
        <v>3530</v>
      </c>
      <c r="AN257" s="19" t="s">
        <v>3531</v>
      </c>
      <c r="AO257" s="19" t="s">
        <v>3557</v>
      </c>
      <c r="AP257" s="19" t="s">
        <v>3533</v>
      </c>
      <c r="AQ257" s="19" t="s">
        <v>3534</v>
      </c>
      <c r="AR257" s="19" t="s">
        <v>3535</v>
      </c>
      <c r="AS257" s="19" t="s">
        <v>3536</v>
      </c>
      <c r="AT257" s="19" t="s">
        <v>3537</v>
      </c>
      <c r="AU257" s="19" t="s">
        <v>6</v>
      </c>
      <c r="AV257" s="19" t="s">
        <v>3538</v>
      </c>
      <c r="AW257" s="19" t="s">
        <v>3539</v>
      </c>
      <c r="AX257" s="19" t="s">
        <v>3540</v>
      </c>
      <c r="AY257" s="19" t="s">
        <v>3541</v>
      </c>
      <c r="AZ257" s="19" t="s">
        <v>3542</v>
      </c>
      <c r="BA257" s="19" t="s">
        <v>3543</v>
      </c>
      <c r="BB257" s="19" t="s">
        <v>3544</v>
      </c>
      <c r="BC257" s="23"/>
    </row>
    <row r="258" ht="22.5" customHeight="1">
      <c r="A258" s="11">
        <v>46182.977847476854</v>
      </c>
      <c r="B258" s="12" t="s">
        <v>1140</v>
      </c>
      <c r="C258" s="13">
        <v>39.0</v>
      </c>
      <c r="D258" s="16"/>
      <c r="E258" s="15">
        <f t="shared" si="1"/>
        <v>39</v>
      </c>
      <c r="F258" s="12" t="s">
        <v>4279</v>
      </c>
      <c r="G258" s="12" t="s">
        <v>1141</v>
      </c>
      <c r="H258" s="12" t="s">
        <v>1140</v>
      </c>
      <c r="I258" s="15">
        <v>6.352160242E9</v>
      </c>
      <c r="J258" s="12" t="s">
        <v>3547</v>
      </c>
      <c r="K258" s="12" t="s">
        <v>3504</v>
      </c>
      <c r="L258" s="12" t="s">
        <v>3556</v>
      </c>
      <c r="M258" s="16"/>
      <c r="N258" s="12" t="s">
        <v>3506</v>
      </c>
      <c r="O258" s="12" t="s">
        <v>3507</v>
      </c>
      <c r="P258" s="12" t="s">
        <v>3508</v>
      </c>
      <c r="Q258" s="16"/>
      <c r="R258" s="12" t="s">
        <v>3509</v>
      </c>
      <c r="S258" s="12" t="s">
        <v>3510</v>
      </c>
      <c r="T258" s="12" t="s">
        <v>3511</v>
      </c>
      <c r="U258" s="12" t="s">
        <v>3550</v>
      </c>
      <c r="V258" s="12" t="s">
        <v>3513</v>
      </c>
      <c r="W258" s="12" t="s">
        <v>3514</v>
      </c>
      <c r="X258" s="12" t="s">
        <v>3515</v>
      </c>
      <c r="Y258" s="12" t="s">
        <v>3516</v>
      </c>
      <c r="Z258" s="12" t="s">
        <v>3517</v>
      </c>
      <c r="AA258" s="12" t="s">
        <v>3518</v>
      </c>
      <c r="AB258" s="12" t="s">
        <v>3519</v>
      </c>
      <c r="AC258" s="12" t="s">
        <v>3520</v>
      </c>
      <c r="AD258" s="12" t="s">
        <v>3521</v>
      </c>
      <c r="AE258" s="12" t="s">
        <v>3522</v>
      </c>
      <c r="AF258" s="12" t="s">
        <v>3523</v>
      </c>
      <c r="AG258" s="12" t="s">
        <v>3524</v>
      </c>
      <c r="AH258" s="12" t="s">
        <v>3525</v>
      </c>
      <c r="AI258" s="12" t="s">
        <v>3526</v>
      </c>
      <c r="AJ258" s="12" t="s">
        <v>3527</v>
      </c>
      <c r="AK258" s="12" t="s">
        <v>3528</v>
      </c>
      <c r="AL258" s="12" t="s">
        <v>3529</v>
      </c>
      <c r="AM258" s="12" t="s">
        <v>3530</v>
      </c>
      <c r="AN258" s="12" t="s">
        <v>3531</v>
      </c>
      <c r="AO258" s="12" t="s">
        <v>3557</v>
      </c>
      <c r="AP258" s="12" t="s">
        <v>3533</v>
      </c>
      <c r="AQ258" s="12" t="s">
        <v>3534</v>
      </c>
      <c r="AR258" s="12" t="s">
        <v>6</v>
      </c>
      <c r="AS258" s="12" t="s">
        <v>3538</v>
      </c>
      <c r="AT258" s="12" t="s">
        <v>3537</v>
      </c>
      <c r="AU258" s="12" t="s">
        <v>6</v>
      </c>
      <c r="AV258" s="12" t="s">
        <v>3538</v>
      </c>
      <c r="AW258" s="12" t="s">
        <v>3539</v>
      </c>
      <c r="AX258" s="12" t="s">
        <v>3540</v>
      </c>
      <c r="AY258" s="12" t="s">
        <v>3541</v>
      </c>
      <c r="AZ258" s="12" t="s">
        <v>3542</v>
      </c>
      <c r="BA258" s="12" t="s">
        <v>3543</v>
      </c>
      <c r="BB258" s="12" t="s">
        <v>3544</v>
      </c>
      <c r="BC258" s="17"/>
    </row>
    <row r="259" ht="22.5" customHeight="1">
      <c r="A259" s="18">
        <v>46182.97817768519</v>
      </c>
      <c r="B259" s="19" t="s">
        <v>2519</v>
      </c>
      <c r="C259" s="20">
        <v>33.0</v>
      </c>
      <c r="D259" s="24" t="s">
        <v>4280</v>
      </c>
      <c r="E259" s="22">
        <f t="shared" si="1"/>
        <v>38</v>
      </c>
      <c r="F259" s="19" t="s">
        <v>4281</v>
      </c>
      <c r="G259" s="19" t="s">
        <v>4282</v>
      </c>
      <c r="H259" s="19" t="s">
        <v>2519</v>
      </c>
      <c r="I259" s="22">
        <v>8.777579276E9</v>
      </c>
      <c r="J259" s="19" t="s">
        <v>3547</v>
      </c>
      <c r="K259" s="19" t="s">
        <v>3504</v>
      </c>
      <c r="L259" s="19" t="s">
        <v>3505</v>
      </c>
      <c r="M259" s="21"/>
      <c r="N259" s="19" t="s">
        <v>3506</v>
      </c>
      <c r="O259" s="19" t="s">
        <v>3507</v>
      </c>
      <c r="P259" s="19" t="s">
        <v>3508</v>
      </c>
      <c r="Q259" s="21"/>
      <c r="R259" s="19" t="s">
        <v>3780</v>
      </c>
      <c r="S259" s="19" t="s">
        <v>3510</v>
      </c>
      <c r="T259" s="19" t="s">
        <v>3549</v>
      </c>
      <c r="U259" s="19" t="s">
        <v>3550</v>
      </c>
      <c r="V259" s="19" t="s">
        <v>3593</v>
      </c>
      <c r="W259" s="19" t="s">
        <v>3514</v>
      </c>
      <c r="X259" s="19" t="s">
        <v>3515</v>
      </c>
      <c r="Y259" s="19" t="s">
        <v>3680</v>
      </c>
      <c r="Z259" s="19" t="s">
        <v>3517</v>
      </c>
      <c r="AA259" s="19" t="s">
        <v>3518</v>
      </c>
      <c r="AB259" s="19" t="s">
        <v>3519</v>
      </c>
      <c r="AC259" s="19" t="s">
        <v>3520</v>
      </c>
      <c r="AD259" s="19" t="s">
        <v>3521</v>
      </c>
      <c r="AE259" s="19" t="s">
        <v>3704</v>
      </c>
      <c r="AF259" s="19" t="s">
        <v>3523</v>
      </c>
      <c r="AG259" s="19" t="s">
        <v>3524</v>
      </c>
      <c r="AH259" s="19" t="s">
        <v>3525</v>
      </c>
      <c r="AI259" s="19" t="s">
        <v>3526</v>
      </c>
      <c r="AJ259" s="19" t="s">
        <v>3527</v>
      </c>
      <c r="AK259" s="19" t="s">
        <v>3528</v>
      </c>
      <c r="AL259" s="19" t="s">
        <v>3529</v>
      </c>
      <c r="AM259" s="19" t="s">
        <v>3530</v>
      </c>
      <c r="AN259" s="19" t="s">
        <v>3531</v>
      </c>
      <c r="AO259" s="19" t="s">
        <v>3551</v>
      </c>
      <c r="AP259" s="19" t="s">
        <v>3577</v>
      </c>
      <c r="AQ259" s="19" t="s">
        <v>3534</v>
      </c>
      <c r="AR259" s="19" t="s">
        <v>3535</v>
      </c>
      <c r="AS259" s="19" t="s">
        <v>3536</v>
      </c>
      <c r="AT259" s="19" t="s">
        <v>3562</v>
      </c>
      <c r="AU259" s="19" t="s">
        <v>6</v>
      </c>
      <c r="AV259" s="19" t="s">
        <v>3536</v>
      </c>
      <c r="AW259" s="21"/>
      <c r="AX259" s="19" t="s">
        <v>3540</v>
      </c>
      <c r="AY259" s="19" t="s">
        <v>3541</v>
      </c>
      <c r="AZ259" s="19" t="s">
        <v>3726</v>
      </c>
      <c r="BA259" s="19" t="s">
        <v>3543</v>
      </c>
      <c r="BB259" s="19" t="s">
        <v>3544</v>
      </c>
      <c r="BC259" s="23"/>
    </row>
    <row r="260" ht="22.5" customHeight="1">
      <c r="A260" s="11">
        <v>46182.97831896991</v>
      </c>
      <c r="B260" s="12" t="s">
        <v>4283</v>
      </c>
      <c r="C260" s="13">
        <v>41.0</v>
      </c>
      <c r="D260" s="26" t="s">
        <v>4284</v>
      </c>
      <c r="E260" s="15">
        <f t="shared" si="1"/>
        <v>46</v>
      </c>
      <c r="F260" s="12" t="s">
        <v>4285</v>
      </c>
      <c r="G260" s="12" t="s">
        <v>4286</v>
      </c>
      <c r="H260" s="12" t="s">
        <v>118</v>
      </c>
      <c r="I260" s="15">
        <v>9.629645373E9</v>
      </c>
      <c r="J260" s="12" t="s">
        <v>3547</v>
      </c>
      <c r="K260" s="12" t="s">
        <v>3504</v>
      </c>
      <c r="L260" s="12" t="s">
        <v>3556</v>
      </c>
      <c r="M260" s="16"/>
      <c r="N260" s="12" t="s">
        <v>3506</v>
      </c>
      <c r="O260" s="12" t="s">
        <v>3507</v>
      </c>
      <c r="P260" s="12" t="s">
        <v>3508</v>
      </c>
      <c r="Q260" s="16"/>
      <c r="R260" s="12" t="s">
        <v>3509</v>
      </c>
      <c r="S260" s="12" t="s">
        <v>3510</v>
      </c>
      <c r="T260" s="12" t="s">
        <v>3549</v>
      </c>
      <c r="U260" s="12" t="s">
        <v>3512</v>
      </c>
      <c r="V260" s="12" t="s">
        <v>3513</v>
      </c>
      <c r="W260" s="12" t="s">
        <v>3514</v>
      </c>
      <c r="X260" s="12" t="s">
        <v>3515</v>
      </c>
      <c r="Y260" s="12" t="s">
        <v>3516</v>
      </c>
      <c r="Z260" s="12" t="s">
        <v>3517</v>
      </c>
      <c r="AA260" s="12" t="s">
        <v>3518</v>
      </c>
      <c r="AB260" s="12" t="s">
        <v>3519</v>
      </c>
      <c r="AC260" s="12" t="s">
        <v>3520</v>
      </c>
      <c r="AD260" s="12" t="s">
        <v>3521</v>
      </c>
      <c r="AE260" s="12" t="s">
        <v>3522</v>
      </c>
      <c r="AF260" s="12" t="s">
        <v>3523</v>
      </c>
      <c r="AG260" s="12" t="s">
        <v>3524</v>
      </c>
      <c r="AH260" s="12" t="s">
        <v>3525</v>
      </c>
      <c r="AI260" s="12" t="s">
        <v>3526</v>
      </c>
      <c r="AJ260" s="12" t="s">
        <v>3527</v>
      </c>
      <c r="AK260" s="12" t="s">
        <v>3528</v>
      </c>
      <c r="AL260" s="12" t="s">
        <v>3529</v>
      </c>
      <c r="AM260" s="12" t="s">
        <v>3530</v>
      </c>
      <c r="AN260" s="12" t="s">
        <v>3531</v>
      </c>
      <c r="AO260" s="12" t="s">
        <v>3557</v>
      </c>
      <c r="AP260" s="12" t="s">
        <v>3533</v>
      </c>
      <c r="AQ260" s="12" t="s">
        <v>3534</v>
      </c>
      <c r="AR260" s="12" t="s">
        <v>3535</v>
      </c>
      <c r="AS260" s="12" t="s">
        <v>3536</v>
      </c>
      <c r="AT260" s="12" t="s">
        <v>3537</v>
      </c>
      <c r="AU260" s="12" t="s">
        <v>6</v>
      </c>
      <c r="AV260" s="12" t="s">
        <v>3538</v>
      </c>
      <c r="AW260" s="12" t="s">
        <v>3539</v>
      </c>
      <c r="AX260" s="12" t="s">
        <v>3540</v>
      </c>
      <c r="AY260" s="12" t="s">
        <v>3541</v>
      </c>
      <c r="AZ260" s="12" t="s">
        <v>3542</v>
      </c>
      <c r="BA260" s="12" t="s">
        <v>3543</v>
      </c>
      <c r="BB260" s="12" t="s">
        <v>3544</v>
      </c>
      <c r="BC260" s="17"/>
    </row>
    <row r="261" ht="22.5" customHeight="1">
      <c r="A261" s="18">
        <v>46182.98135695602</v>
      </c>
      <c r="B261" s="19" t="s">
        <v>4287</v>
      </c>
      <c r="C261" s="20">
        <v>29.0</v>
      </c>
      <c r="D261" s="21"/>
      <c r="E261" s="22">
        <f t="shared" si="1"/>
        <v>29</v>
      </c>
      <c r="F261" s="19" t="s">
        <v>4288</v>
      </c>
      <c r="G261" s="19" t="s">
        <v>3679</v>
      </c>
      <c r="H261" s="19" t="s">
        <v>869</v>
      </c>
      <c r="I261" s="22">
        <v>7.017542594E9</v>
      </c>
      <c r="J261" s="21"/>
      <c r="K261" s="21"/>
      <c r="L261" s="19" t="s">
        <v>3556</v>
      </c>
      <c r="M261" s="21"/>
      <c r="N261" s="19" t="s">
        <v>3569</v>
      </c>
      <c r="O261" s="19" t="s">
        <v>3507</v>
      </c>
      <c r="P261" s="21"/>
      <c r="Q261" s="21"/>
      <c r="R261" s="19" t="s">
        <v>3509</v>
      </c>
      <c r="S261" s="21"/>
      <c r="T261" s="19" t="s">
        <v>3511</v>
      </c>
      <c r="U261" s="19" t="s">
        <v>3512</v>
      </c>
      <c r="V261" s="21"/>
      <c r="W261" s="19" t="s">
        <v>3514</v>
      </c>
      <c r="X261" s="19" t="s">
        <v>3515</v>
      </c>
      <c r="Y261" s="19" t="s">
        <v>3516</v>
      </c>
      <c r="Z261" s="19" t="s">
        <v>3517</v>
      </c>
      <c r="AA261" s="19" t="s">
        <v>3518</v>
      </c>
      <c r="AB261" s="19" t="s">
        <v>4289</v>
      </c>
      <c r="AC261" s="19" t="s">
        <v>3520</v>
      </c>
      <c r="AD261" s="19" t="s">
        <v>3521</v>
      </c>
      <c r="AE261" s="21"/>
      <c r="AF261" s="19" t="s">
        <v>3523</v>
      </c>
      <c r="AG261" s="21"/>
      <c r="AH261" s="19" t="s">
        <v>3525</v>
      </c>
      <c r="AI261" s="19" t="s">
        <v>3526</v>
      </c>
      <c r="AJ261" s="21"/>
      <c r="AK261" s="19" t="s">
        <v>3528</v>
      </c>
      <c r="AL261" s="19" t="s">
        <v>3529</v>
      </c>
      <c r="AM261" s="19" t="s">
        <v>3698</v>
      </c>
      <c r="AN261" s="19" t="s">
        <v>3531</v>
      </c>
      <c r="AO261" s="19" t="s">
        <v>3557</v>
      </c>
      <c r="AP261" s="19" t="s">
        <v>3533</v>
      </c>
      <c r="AQ261" s="19" t="s">
        <v>3534</v>
      </c>
      <c r="AR261" s="19" t="s">
        <v>3535</v>
      </c>
      <c r="AS261" s="19" t="s">
        <v>3536</v>
      </c>
      <c r="AT261" s="19" t="s">
        <v>3537</v>
      </c>
      <c r="AU261" s="19" t="s">
        <v>6</v>
      </c>
      <c r="AV261" s="19" t="s">
        <v>3538</v>
      </c>
      <c r="AW261" s="19" t="s">
        <v>3539</v>
      </c>
      <c r="AX261" s="19" t="s">
        <v>3540</v>
      </c>
      <c r="AY261" s="19" t="s">
        <v>3541</v>
      </c>
      <c r="AZ261" s="19" t="s">
        <v>3542</v>
      </c>
      <c r="BA261" s="19" t="s">
        <v>3543</v>
      </c>
      <c r="BB261" s="19" t="s">
        <v>3544</v>
      </c>
      <c r="BC261" s="23"/>
    </row>
    <row r="262" ht="22.5" customHeight="1">
      <c r="A262" s="11">
        <v>46182.98162731482</v>
      </c>
      <c r="B262" s="12" t="s">
        <v>3228</v>
      </c>
      <c r="C262" s="13">
        <v>26.0</v>
      </c>
      <c r="D262" s="16"/>
      <c r="E262" s="15">
        <f t="shared" si="1"/>
        <v>26</v>
      </c>
      <c r="F262" s="12" t="s">
        <v>4290</v>
      </c>
      <c r="G262" s="12" t="s">
        <v>3229</v>
      </c>
      <c r="H262" s="12" t="s">
        <v>3228</v>
      </c>
      <c r="I262" s="15">
        <v>7.902805653E9</v>
      </c>
      <c r="J262" s="12" t="s">
        <v>3547</v>
      </c>
      <c r="K262" s="12" t="s">
        <v>3504</v>
      </c>
      <c r="L262" s="12" t="s">
        <v>3556</v>
      </c>
      <c r="M262" s="16"/>
      <c r="N262" s="12" t="s">
        <v>3506</v>
      </c>
      <c r="O262" s="12" t="s">
        <v>3507</v>
      </c>
      <c r="P262" s="12" t="s">
        <v>3508</v>
      </c>
      <c r="Q262" s="16"/>
      <c r="R262" s="12" t="s">
        <v>3509</v>
      </c>
      <c r="S262" s="12" t="s">
        <v>3510</v>
      </c>
      <c r="T262" s="12" t="s">
        <v>3511</v>
      </c>
      <c r="U262" s="12" t="s">
        <v>3550</v>
      </c>
      <c r="V262" s="12" t="s">
        <v>3513</v>
      </c>
      <c r="W262" s="12" t="s">
        <v>3514</v>
      </c>
      <c r="X262" s="12" t="s">
        <v>3515</v>
      </c>
      <c r="Y262" s="12" t="s">
        <v>3516</v>
      </c>
      <c r="Z262" s="12" t="s">
        <v>3517</v>
      </c>
      <c r="AA262" s="12" t="s">
        <v>3518</v>
      </c>
      <c r="AB262" s="12" t="s">
        <v>3519</v>
      </c>
      <c r="AC262" s="12" t="s">
        <v>3520</v>
      </c>
      <c r="AD262" s="12" t="s">
        <v>3521</v>
      </c>
      <c r="AE262" s="12" t="s">
        <v>3522</v>
      </c>
      <c r="AF262" s="12" t="s">
        <v>3523</v>
      </c>
      <c r="AG262" s="12" t="s">
        <v>3524</v>
      </c>
      <c r="AH262" s="12" t="s">
        <v>3525</v>
      </c>
      <c r="AI262" s="12" t="s">
        <v>3526</v>
      </c>
      <c r="AJ262" s="12" t="s">
        <v>3527</v>
      </c>
      <c r="AK262" s="16"/>
      <c r="AL262" s="16"/>
      <c r="AM262" s="12" t="s">
        <v>3530</v>
      </c>
      <c r="AN262" s="16"/>
      <c r="AO262" s="16"/>
      <c r="AP262" s="16"/>
      <c r="AQ262" s="16"/>
      <c r="AR262" s="16"/>
      <c r="AS262" s="16"/>
      <c r="AT262" s="16"/>
      <c r="AU262" s="16"/>
      <c r="AV262" s="16"/>
      <c r="AW262" s="16"/>
      <c r="AX262" s="16"/>
      <c r="AY262" s="16"/>
      <c r="AZ262" s="12" t="s">
        <v>3542</v>
      </c>
      <c r="BA262" s="12" t="s">
        <v>3543</v>
      </c>
      <c r="BB262" s="16"/>
      <c r="BC262" s="17"/>
    </row>
    <row r="263" ht="22.5" customHeight="1">
      <c r="A263" s="18">
        <v>46182.98250805556</v>
      </c>
      <c r="B263" s="19" t="s">
        <v>4291</v>
      </c>
      <c r="C263" s="20">
        <v>29.0</v>
      </c>
      <c r="D263" s="21"/>
      <c r="E263" s="22">
        <f t="shared" si="1"/>
        <v>29</v>
      </c>
      <c r="F263" s="19" t="s">
        <v>4292</v>
      </c>
      <c r="G263" s="19" t="s">
        <v>2100</v>
      </c>
      <c r="H263" s="19" t="s">
        <v>2099</v>
      </c>
      <c r="I263" s="19" t="s">
        <v>4293</v>
      </c>
      <c r="J263" s="19" t="s">
        <v>3561</v>
      </c>
      <c r="K263" s="19" t="s">
        <v>3504</v>
      </c>
      <c r="L263" s="19" t="s">
        <v>3556</v>
      </c>
      <c r="M263" s="21"/>
      <c r="N263" s="19" t="s">
        <v>3548</v>
      </c>
      <c r="O263" s="19" t="s">
        <v>3507</v>
      </c>
      <c r="P263" s="19" t="s">
        <v>3981</v>
      </c>
      <c r="Q263" s="21"/>
      <c r="R263" s="19" t="s">
        <v>3574</v>
      </c>
      <c r="S263" s="19" t="s">
        <v>3674</v>
      </c>
      <c r="T263" s="19" t="s">
        <v>3511</v>
      </c>
      <c r="U263" s="19" t="s">
        <v>3512</v>
      </c>
      <c r="V263" s="19" t="s">
        <v>3513</v>
      </c>
      <c r="W263" s="19" t="s">
        <v>3587</v>
      </c>
      <c r="X263" s="19" t="s">
        <v>3515</v>
      </c>
      <c r="Y263" s="19" t="s">
        <v>3576</v>
      </c>
      <c r="Z263" s="19" t="s">
        <v>3517</v>
      </c>
      <c r="AA263" s="19" t="s">
        <v>3518</v>
      </c>
      <c r="AB263" s="19" t="s">
        <v>3519</v>
      </c>
      <c r="AC263" s="19" t="s">
        <v>3520</v>
      </c>
      <c r="AD263" s="19" t="s">
        <v>3521</v>
      </c>
      <c r="AE263" s="19" t="s">
        <v>3522</v>
      </c>
      <c r="AF263" s="19" t="s">
        <v>3523</v>
      </c>
      <c r="AG263" s="19" t="s">
        <v>3524</v>
      </c>
      <c r="AH263" s="19" t="s">
        <v>3525</v>
      </c>
      <c r="AI263" s="19" t="s">
        <v>4171</v>
      </c>
      <c r="AJ263" s="19" t="s">
        <v>3527</v>
      </c>
      <c r="AK263" s="19" t="s">
        <v>3528</v>
      </c>
      <c r="AL263" s="19" t="s">
        <v>3529</v>
      </c>
      <c r="AM263" s="19" t="s">
        <v>3530</v>
      </c>
      <c r="AN263" s="19" t="s">
        <v>3531</v>
      </c>
      <c r="AO263" s="19" t="s">
        <v>3557</v>
      </c>
      <c r="AP263" s="19" t="s">
        <v>3533</v>
      </c>
      <c r="AQ263" s="19" t="s">
        <v>3534</v>
      </c>
      <c r="AR263" s="19" t="s">
        <v>6</v>
      </c>
      <c r="AS263" s="19" t="s">
        <v>3536</v>
      </c>
      <c r="AT263" s="19" t="s">
        <v>3537</v>
      </c>
      <c r="AU263" s="19" t="s">
        <v>6</v>
      </c>
      <c r="AV263" s="19" t="s">
        <v>3538</v>
      </c>
      <c r="AW263" s="19" t="s">
        <v>3558</v>
      </c>
      <c r="AX263" s="19" t="s">
        <v>3694</v>
      </c>
      <c r="AY263" s="19" t="s">
        <v>3541</v>
      </c>
      <c r="AZ263" s="19" t="s">
        <v>3542</v>
      </c>
      <c r="BA263" s="19" t="s">
        <v>3631</v>
      </c>
      <c r="BB263" s="19" t="s">
        <v>3544</v>
      </c>
      <c r="BC263" s="23"/>
    </row>
    <row r="264" ht="22.5" customHeight="1">
      <c r="A264" s="11">
        <v>46182.98337410879</v>
      </c>
      <c r="B264" s="12" t="s">
        <v>2333</v>
      </c>
      <c r="C264" s="13">
        <v>22.0</v>
      </c>
      <c r="D264" s="16"/>
      <c r="E264" s="15">
        <f t="shared" si="1"/>
        <v>22</v>
      </c>
      <c r="F264" s="12" t="s">
        <v>4294</v>
      </c>
      <c r="G264" s="12" t="s">
        <v>2334</v>
      </c>
      <c r="H264" s="12" t="s">
        <v>2333</v>
      </c>
      <c r="I264" s="15">
        <v>8.955128034E9</v>
      </c>
      <c r="J264" s="12" t="s">
        <v>3547</v>
      </c>
      <c r="K264" s="12" t="s">
        <v>3504</v>
      </c>
      <c r="L264" s="12" t="s">
        <v>3556</v>
      </c>
      <c r="M264" s="16"/>
      <c r="N264" s="12" t="s">
        <v>3569</v>
      </c>
      <c r="O264" s="12" t="s">
        <v>3507</v>
      </c>
      <c r="P264" s="12" t="s">
        <v>3877</v>
      </c>
      <c r="Q264" s="16"/>
      <c r="R264" s="12" t="s">
        <v>3509</v>
      </c>
      <c r="S264" s="12" t="s">
        <v>3510</v>
      </c>
      <c r="T264" s="12" t="s">
        <v>3709</v>
      </c>
      <c r="U264" s="12" t="s">
        <v>3550</v>
      </c>
      <c r="V264" s="12" t="s">
        <v>3593</v>
      </c>
      <c r="W264" s="12" t="s">
        <v>3587</v>
      </c>
      <c r="X264" s="12" t="s">
        <v>3515</v>
      </c>
      <c r="Y264" s="12" t="s">
        <v>3516</v>
      </c>
      <c r="Z264" s="12" t="s">
        <v>4295</v>
      </c>
      <c r="AA264" s="12" t="s">
        <v>3518</v>
      </c>
      <c r="AB264" s="12" t="s">
        <v>3519</v>
      </c>
      <c r="AC264" s="12" t="s">
        <v>3520</v>
      </c>
      <c r="AD264" s="12" t="s">
        <v>3521</v>
      </c>
      <c r="AE264" s="12" t="s">
        <v>3704</v>
      </c>
      <c r="AF264" s="12" t="s">
        <v>3523</v>
      </c>
      <c r="AG264" s="12" t="s">
        <v>4135</v>
      </c>
      <c r="AH264" s="12" t="s">
        <v>3525</v>
      </c>
      <c r="AI264" s="12" t="s">
        <v>3526</v>
      </c>
      <c r="AJ264" s="12" t="s">
        <v>3527</v>
      </c>
      <c r="AK264" s="12" t="s">
        <v>3528</v>
      </c>
      <c r="AL264" s="12" t="s">
        <v>3590</v>
      </c>
      <c r="AM264" s="12" t="s">
        <v>3530</v>
      </c>
      <c r="AN264" s="12" t="s">
        <v>3531</v>
      </c>
      <c r="AO264" s="12" t="s">
        <v>3551</v>
      </c>
      <c r="AP264" s="12" t="s">
        <v>3533</v>
      </c>
      <c r="AQ264" s="12" t="s">
        <v>3616</v>
      </c>
      <c r="AR264" s="12" t="s">
        <v>3753</v>
      </c>
      <c r="AS264" s="12" t="s">
        <v>4158</v>
      </c>
      <c r="AT264" s="12" t="s">
        <v>3643</v>
      </c>
      <c r="AU264" s="15">
        <v>2.0</v>
      </c>
      <c r="AV264" s="12" t="s">
        <v>3536</v>
      </c>
      <c r="AW264" s="12" t="s">
        <v>3558</v>
      </c>
      <c r="AX264" s="12" t="s">
        <v>3711</v>
      </c>
      <c r="AY264" s="12" t="s">
        <v>3570</v>
      </c>
      <c r="AZ264" s="12" t="s">
        <v>3726</v>
      </c>
      <c r="BA264" s="12" t="s">
        <v>3543</v>
      </c>
      <c r="BB264" s="12" t="s">
        <v>3544</v>
      </c>
      <c r="BC264" s="17"/>
    </row>
    <row r="265" ht="22.5" customHeight="1">
      <c r="A265" s="18">
        <v>46182.9833855787</v>
      </c>
      <c r="B265" s="19" t="s">
        <v>4296</v>
      </c>
      <c r="C265" s="20">
        <v>6.0</v>
      </c>
      <c r="D265" s="24" t="s">
        <v>4297</v>
      </c>
      <c r="E265" s="22">
        <f t="shared" si="1"/>
        <v>11</v>
      </c>
      <c r="F265" s="19" t="s">
        <v>4298</v>
      </c>
      <c r="G265" s="19" t="s">
        <v>4299</v>
      </c>
      <c r="H265" s="19" t="s">
        <v>58</v>
      </c>
      <c r="I265" s="22">
        <v>8.982520245E9</v>
      </c>
      <c r="J265" s="21"/>
      <c r="K265" s="21"/>
      <c r="L265" s="21"/>
      <c r="M265" s="21"/>
      <c r="N265" s="19" t="s">
        <v>3506</v>
      </c>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19" t="s">
        <v>3530</v>
      </c>
      <c r="AN265" s="21"/>
      <c r="AO265" s="21"/>
      <c r="AP265" s="21"/>
      <c r="AQ265" s="21"/>
      <c r="AR265" s="19" t="s">
        <v>3535</v>
      </c>
      <c r="AS265" s="19" t="s">
        <v>3538</v>
      </c>
      <c r="AT265" s="19" t="s">
        <v>3537</v>
      </c>
      <c r="AU265" s="19" t="s">
        <v>6</v>
      </c>
      <c r="AV265" s="19" t="s">
        <v>3538</v>
      </c>
      <c r="AW265" s="21"/>
      <c r="AX265" s="21"/>
      <c r="AY265" s="21"/>
      <c r="AZ265" s="21"/>
      <c r="BA265" s="21"/>
      <c r="BB265" s="21"/>
      <c r="BC265" s="23"/>
    </row>
    <row r="266" ht="22.5" customHeight="1">
      <c r="A266" s="11">
        <v>46182.98349380787</v>
      </c>
      <c r="B266" s="12" t="s">
        <v>802</v>
      </c>
      <c r="C266" s="13">
        <v>38.0</v>
      </c>
      <c r="D266" s="16"/>
      <c r="E266" s="15">
        <f t="shared" si="1"/>
        <v>38</v>
      </c>
      <c r="F266" s="12" t="s">
        <v>4300</v>
      </c>
      <c r="G266" s="12" t="s">
        <v>803</v>
      </c>
      <c r="H266" s="12" t="s">
        <v>802</v>
      </c>
      <c r="I266" s="15">
        <v>9.414095972E9</v>
      </c>
      <c r="J266" s="12" t="s">
        <v>3503</v>
      </c>
      <c r="K266" s="12" t="s">
        <v>3504</v>
      </c>
      <c r="L266" s="12" t="s">
        <v>3556</v>
      </c>
      <c r="M266" s="16"/>
      <c r="N266" s="12" t="s">
        <v>3569</v>
      </c>
      <c r="O266" s="12" t="s">
        <v>3507</v>
      </c>
      <c r="P266" s="12" t="s">
        <v>3508</v>
      </c>
      <c r="Q266" s="16"/>
      <c r="R266" s="12" t="s">
        <v>3509</v>
      </c>
      <c r="S266" s="12" t="s">
        <v>3510</v>
      </c>
      <c r="T266" s="12" t="s">
        <v>3549</v>
      </c>
      <c r="U266" s="12" t="s">
        <v>3550</v>
      </c>
      <c r="V266" s="12" t="s">
        <v>3513</v>
      </c>
      <c r="W266" s="12" t="s">
        <v>3514</v>
      </c>
      <c r="X266" s="12" t="s">
        <v>3515</v>
      </c>
      <c r="Y266" s="12" t="s">
        <v>3516</v>
      </c>
      <c r="Z266" s="12" t="s">
        <v>3517</v>
      </c>
      <c r="AA266" s="12" t="s">
        <v>3518</v>
      </c>
      <c r="AB266" s="12" t="s">
        <v>3519</v>
      </c>
      <c r="AC266" s="12" t="s">
        <v>3520</v>
      </c>
      <c r="AD266" s="12" t="s">
        <v>3521</v>
      </c>
      <c r="AE266" s="12" t="s">
        <v>3522</v>
      </c>
      <c r="AF266" s="12" t="s">
        <v>3523</v>
      </c>
      <c r="AG266" s="12" t="s">
        <v>3524</v>
      </c>
      <c r="AH266" s="12" t="s">
        <v>3525</v>
      </c>
      <c r="AI266" s="12" t="s">
        <v>3526</v>
      </c>
      <c r="AJ266" s="12" t="s">
        <v>3527</v>
      </c>
      <c r="AK266" s="12" t="s">
        <v>3528</v>
      </c>
      <c r="AL266" s="12" t="s">
        <v>3529</v>
      </c>
      <c r="AM266" s="12" t="s">
        <v>3530</v>
      </c>
      <c r="AN266" s="12" t="s">
        <v>3531</v>
      </c>
      <c r="AO266" s="12" t="s">
        <v>3658</v>
      </c>
      <c r="AP266" s="12" t="s">
        <v>3533</v>
      </c>
      <c r="AQ266" s="12" t="s">
        <v>3534</v>
      </c>
      <c r="AR266" s="12" t="s">
        <v>3535</v>
      </c>
      <c r="AS266" s="12" t="s">
        <v>3536</v>
      </c>
      <c r="AT266" s="12" t="s">
        <v>3537</v>
      </c>
      <c r="AU266" s="12" t="s">
        <v>6</v>
      </c>
      <c r="AV266" s="12" t="s">
        <v>3538</v>
      </c>
      <c r="AW266" s="12" t="s">
        <v>3558</v>
      </c>
      <c r="AX266" s="12" t="s">
        <v>3540</v>
      </c>
      <c r="AY266" s="12" t="s">
        <v>3541</v>
      </c>
      <c r="AZ266" s="12" t="s">
        <v>3542</v>
      </c>
      <c r="BA266" s="12" t="s">
        <v>3543</v>
      </c>
      <c r="BB266" s="12" t="s">
        <v>3544</v>
      </c>
      <c r="BC266" s="17"/>
    </row>
    <row r="267" ht="22.5" customHeight="1">
      <c r="A267" s="18">
        <v>46182.98366804398</v>
      </c>
      <c r="B267" s="19" t="s">
        <v>2929</v>
      </c>
      <c r="C267" s="20">
        <v>26.0</v>
      </c>
      <c r="D267" s="24" t="s">
        <v>4301</v>
      </c>
      <c r="E267" s="22">
        <f t="shared" si="1"/>
        <v>31</v>
      </c>
      <c r="F267" s="19" t="s">
        <v>4302</v>
      </c>
      <c r="G267" s="19" t="s">
        <v>4303</v>
      </c>
      <c r="H267" s="19" t="s">
        <v>2929</v>
      </c>
      <c r="I267" s="22">
        <v>8.433909515E9</v>
      </c>
      <c r="J267" s="19" t="s">
        <v>3547</v>
      </c>
      <c r="K267" s="19" t="s">
        <v>3504</v>
      </c>
      <c r="L267" s="19" t="s">
        <v>3505</v>
      </c>
      <c r="M267" s="21"/>
      <c r="N267" s="19" t="s">
        <v>3569</v>
      </c>
      <c r="O267" s="19" t="s">
        <v>3614</v>
      </c>
      <c r="P267" s="19" t="s">
        <v>3508</v>
      </c>
      <c r="Q267" s="21"/>
      <c r="R267" s="19" t="s">
        <v>3509</v>
      </c>
      <c r="S267" s="19" t="s">
        <v>3781</v>
      </c>
      <c r="T267" s="19" t="s">
        <v>3549</v>
      </c>
      <c r="U267" s="19" t="s">
        <v>3550</v>
      </c>
      <c r="V267" s="19" t="s">
        <v>3513</v>
      </c>
      <c r="W267" s="19" t="s">
        <v>3587</v>
      </c>
      <c r="X267" s="19" t="s">
        <v>3515</v>
      </c>
      <c r="Y267" s="19" t="s">
        <v>3725</v>
      </c>
      <c r="Z267" s="19" t="s">
        <v>3608</v>
      </c>
      <c r="AA267" s="19" t="s">
        <v>3518</v>
      </c>
      <c r="AB267" s="19" t="s">
        <v>3519</v>
      </c>
      <c r="AC267" s="19" t="s">
        <v>3520</v>
      </c>
      <c r="AD267" s="19" t="s">
        <v>3521</v>
      </c>
      <c r="AE267" s="19" t="s">
        <v>3704</v>
      </c>
      <c r="AF267" s="19" t="s">
        <v>3681</v>
      </c>
      <c r="AG267" s="19" t="s">
        <v>3589</v>
      </c>
      <c r="AH267" s="19" t="s">
        <v>3525</v>
      </c>
      <c r="AI267" s="19" t="s">
        <v>3526</v>
      </c>
      <c r="AJ267" s="19" t="s">
        <v>3773</v>
      </c>
      <c r="AK267" s="19" t="s">
        <v>3528</v>
      </c>
      <c r="AL267" s="19" t="s">
        <v>3529</v>
      </c>
      <c r="AM267" s="19" t="s">
        <v>3530</v>
      </c>
      <c r="AN267" s="19" t="s">
        <v>3531</v>
      </c>
      <c r="AO267" s="19" t="s">
        <v>3551</v>
      </c>
      <c r="AP267" s="19" t="s">
        <v>3577</v>
      </c>
      <c r="AQ267" s="19" t="s">
        <v>3534</v>
      </c>
      <c r="AR267" s="19" t="s">
        <v>3535</v>
      </c>
      <c r="AS267" s="19" t="s">
        <v>3538</v>
      </c>
      <c r="AT267" s="19" t="s">
        <v>3537</v>
      </c>
      <c r="AU267" s="22">
        <v>2.0</v>
      </c>
      <c r="AV267" s="19" t="s">
        <v>3538</v>
      </c>
      <c r="AW267" s="19" t="s">
        <v>3617</v>
      </c>
      <c r="AX267" s="19" t="s">
        <v>3540</v>
      </c>
      <c r="AY267" s="19" t="s">
        <v>3541</v>
      </c>
      <c r="AZ267" s="19" t="s">
        <v>3542</v>
      </c>
      <c r="BA267" s="19" t="s">
        <v>3631</v>
      </c>
      <c r="BB267" s="19" t="s">
        <v>3544</v>
      </c>
      <c r="BC267" s="23"/>
    </row>
    <row r="268" ht="22.5" customHeight="1">
      <c r="A268" s="11">
        <v>46182.98393876158</v>
      </c>
      <c r="B268" s="12" t="s">
        <v>4304</v>
      </c>
      <c r="C268" s="13">
        <v>38.0</v>
      </c>
      <c r="D268" s="14" t="s">
        <v>4305</v>
      </c>
      <c r="E268" s="15">
        <f t="shared" si="1"/>
        <v>43</v>
      </c>
      <c r="F268" s="12" t="s">
        <v>4306</v>
      </c>
      <c r="G268" s="12" t="s">
        <v>4307</v>
      </c>
      <c r="H268" s="12" t="s">
        <v>1915</v>
      </c>
      <c r="I268" s="15">
        <v>9.28458801E9</v>
      </c>
      <c r="J268" s="12" t="s">
        <v>3547</v>
      </c>
      <c r="K268" s="12" t="s">
        <v>3504</v>
      </c>
      <c r="L268" s="12" t="s">
        <v>3556</v>
      </c>
      <c r="M268" s="16"/>
      <c r="N268" s="12" t="s">
        <v>3548</v>
      </c>
      <c r="O268" s="12" t="s">
        <v>3507</v>
      </c>
      <c r="P268" s="12" t="s">
        <v>3508</v>
      </c>
      <c r="Q268" s="16"/>
      <c r="R268" s="12" t="s">
        <v>3509</v>
      </c>
      <c r="S268" s="12" t="s">
        <v>3510</v>
      </c>
      <c r="T268" s="12" t="s">
        <v>3549</v>
      </c>
      <c r="U268" s="12" t="s">
        <v>3512</v>
      </c>
      <c r="V268" s="12" t="s">
        <v>3513</v>
      </c>
      <c r="W268" s="12" t="s">
        <v>3514</v>
      </c>
      <c r="X268" s="12" t="s">
        <v>3515</v>
      </c>
      <c r="Y268" s="12" t="s">
        <v>3516</v>
      </c>
      <c r="Z268" s="12" t="s">
        <v>3517</v>
      </c>
      <c r="AA268" s="12" t="s">
        <v>3518</v>
      </c>
      <c r="AB268" s="12" t="s">
        <v>3519</v>
      </c>
      <c r="AC268" s="12" t="s">
        <v>3520</v>
      </c>
      <c r="AD268" s="12" t="s">
        <v>3521</v>
      </c>
      <c r="AE268" s="12" t="s">
        <v>3522</v>
      </c>
      <c r="AF268" s="12" t="s">
        <v>3523</v>
      </c>
      <c r="AG268" s="12" t="s">
        <v>3524</v>
      </c>
      <c r="AH268" s="12" t="s">
        <v>3525</v>
      </c>
      <c r="AI268" s="12" t="s">
        <v>3526</v>
      </c>
      <c r="AJ268" s="12" t="s">
        <v>3527</v>
      </c>
      <c r="AK268" s="12" t="s">
        <v>3528</v>
      </c>
      <c r="AL268" s="12" t="s">
        <v>3529</v>
      </c>
      <c r="AM268" s="12" t="s">
        <v>3530</v>
      </c>
      <c r="AN268" s="12" t="s">
        <v>3531</v>
      </c>
      <c r="AO268" s="12" t="s">
        <v>3551</v>
      </c>
      <c r="AP268" s="12" t="s">
        <v>3533</v>
      </c>
      <c r="AQ268" s="12" t="s">
        <v>3534</v>
      </c>
      <c r="AR268" s="12" t="s">
        <v>3535</v>
      </c>
      <c r="AS268" s="12" t="s">
        <v>3536</v>
      </c>
      <c r="AT268" s="12" t="s">
        <v>3562</v>
      </c>
      <c r="AU268" s="12" t="s">
        <v>6</v>
      </c>
      <c r="AV268" s="12" t="s">
        <v>3538</v>
      </c>
      <c r="AW268" s="12" t="s">
        <v>3539</v>
      </c>
      <c r="AX268" s="12" t="s">
        <v>3540</v>
      </c>
      <c r="AY268" s="12" t="s">
        <v>3541</v>
      </c>
      <c r="AZ268" s="12" t="s">
        <v>3542</v>
      </c>
      <c r="BA268" s="12" t="s">
        <v>3543</v>
      </c>
      <c r="BB268" s="12" t="s">
        <v>3544</v>
      </c>
      <c r="BC268" s="17"/>
    </row>
    <row r="269" ht="22.5" customHeight="1">
      <c r="A269" s="18">
        <v>46182.986385219905</v>
      </c>
      <c r="B269" s="19" t="s">
        <v>1213</v>
      </c>
      <c r="C269" s="20">
        <v>36.0</v>
      </c>
      <c r="D269" s="21"/>
      <c r="E269" s="22">
        <f t="shared" si="1"/>
        <v>36</v>
      </c>
      <c r="F269" s="19" t="s">
        <v>4308</v>
      </c>
      <c r="G269" s="19" t="s">
        <v>1214</v>
      </c>
      <c r="H269" s="19" t="s">
        <v>1213</v>
      </c>
      <c r="I269" s="22">
        <v>8.669212061E9</v>
      </c>
      <c r="J269" s="19" t="s">
        <v>3547</v>
      </c>
      <c r="K269" s="19" t="s">
        <v>3504</v>
      </c>
      <c r="L269" s="19" t="s">
        <v>3556</v>
      </c>
      <c r="M269" s="21"/>
      <c r="N269" s="19" t="s">
        <v>3506</v>
      </c>
      <c r="O269" s="19" t="s">
        <v>3507</v>
      </c>
      <c r="P269" s="19" t="s">
        <v>3508</v>
      </c>
      <c r="Q269" s="21"/>
      <c r="R269" s="19" t="s">
        <v>3509</v>
      </c>
      <c r="S269" s="19" t="s">
        <v>3510</v>
      </c>
      <c r="T269" s="19" t="s">
        <v>3549</v>
      </c>
      <c r="U269" s="19" t="s">
        <v>3512</v>
      </c>
      <c r="V269" s="19" t="s">
        <v>3513</v>
      </c>
      <c r="W269" s="19" t="s">
        <v>3514</v>
      </c>
      <c r="X269" s="19" t="s">
        <v>3515</v>
      </c>
      <c r="Y269" s="19" t="s">
        <v>3516</v>
      </c>
      <c r="Z269" s="19" t="s">
        <v>3517</v>
      </c>
      <c r="AA269" s="19" t="s">
        <v>3518</v>
      </c>
      <c r="AB269" s="19" t="s">
        <v>3519</v>
      </c>
      <c r="AC269" s="19" t="s">
        <v>3520</v>
      </c>
      <c r="AD269" s="19" t="s">
        <v>3521</v>
      </c>
      <c r="AE269" s="19" t="s">
        <v>3522</v>
      </c>
      <c r="AF269" s="19" t="s">
        <v>3523</v>
      </c>
      <c r="AG269" s="19" t="s">
        <v>3524</v>
      </c>
      <c r="AH269" s="19" t="s">
        <v>3525</v>
      </c>
      <c r="AI269" s="19" t="s">
        <v>3526</v>
      </c>
      <c r="AJ269" s="19" t="s">
        <v>3527</v>
      </c>
      <c r="AK269" s="19" t="s">
        <v>3528</v>
      </c>
      <c r="AL269" s="19" t="s">
        <v>3529</v>
      </c>
      <c r="AM269" s="19" t="s">
        <v>3530</v>
      </c>
      <c r="AN269" s="19" t="s">
        <v>3531</v>
      </c>
      <c r="AO269" s="19" t="s">
        <v>3557</v>
      </c>
      <c r="AP269" s="19" t="s">
        <v>3533</v>
      </c>
      <c r="AQ269" s="19" t="s">
        <v>3534</v>
      </c>
      <c r="AR269" s="21"/>
      <c r="AS269" s="21"/>
      <c r="AT269" s="21"/>
      <c r="AU269" s="21"/>
      <c r="AV269" s="21"/>
      <c r="AW269" s="19" t="s">
        <v>3539</v>
      </c>
      <c r="AX269" s="19" t="s">
        <v>3540</v>
      </c>
      <c r="AY269" s="19" t="s">
        <v>3541</v>
      </c>
      <c r="AZ269" s="19" t="s">
        <v>3542</v>
      </c>
      <c r="BA269" s="19" t="s">
        <v>3543</v>
      </c>
      <c r="BB269" s="19" t="s">
        <v>3544</v>
      </c>
      <c r="BC269" s="23"/>
    </row>
    <row r="270" ht="22.5" customHeight="1">
      <c r="A270" s="11">
        <v>46182.989802488424</v>
      </c>
      <c r="B270" s="12" t="s">
        <v>1121</v>
      </c>
      <c r="C270" s="13">
        <v>37.0</v>
      </c>
      <c r="D270" s="14" t="s">
        <v>4309</v>
      </c>
      <c r="E270" s="15">
        <f t="shared" si="1"/>
        <v>42</v>
      </c>
      <c r="F270" s="12" t="s">
        <v>4310</v>
      </c>
      <c r="G270" s="12" t="s">
        <v>1122</v>
      </c>
      <c r="H270" s="12" t="s">
        <v>1121</v>
      </c>
      <c r="I270" s="15">
        <v>7.041950797E9</v>
      </c>
      <c r="J270" s="12" t="s">
        <v>3503</v>
      </c>
      <c r="K270" s="12" t="s">
        <v>3504</v>
      </c>
      <c r="L270" s="12" t="s">
        <v>3612</v>
      </c>
      <c r="M270" s="16"/>
      <c r="N270" s="12" t="s">
        <v>3569</v>
      </c>
      <c r="O270" s="12" t="s">
        <v>3507</v>
      </c>
      <c r="P270" s="12" t="s">
        <v>3508</v>
      </c>
      <c r="Q270" s="16"/>
      <c r="R270" s="12" t="s">
        <v>3509</v>
      </c>
      <c r="S270" s="12" t="s">
        <v>3510</v>
      </c>
      <c r="T270" s="12" t="s">
        <v>3549</v>
      </c>
      <c r="U270" s="12" t="s">
        <v>3512</v>
      </c>
      <c r="V270" s="12" t="s">
        <v>3513</v>
      </c>
      <c r="W270" s="12" t="s">
        <v>3514</v>
      </c>
      <c r="X270" s="12" t="s">
        <v>3515</v>
      </c>
      <c r="Y270" s="12" t="s">
        <v>3725</v>
      </c>
      <c r="Z270" s="12" t="s">
        <v>3517</v>
      </c>
      <c r="AA270" s="12" t="s">
        <v>3518</v>
      </c>
      <c r="AB270" s="12" t="s">
        <v>3519</v>
      </c>
      <c r="AC270" s="12" t="s">
        <v>3520</v>
      </c>
      <c r="AD270" s="12" t="s">
        <v>3521</v>
      </c>
      <c r="AE270" s="12" t="s">
        <v>3522</v>
      </c>
      <c r="AF270" s="12" t="s">
        <v>3523</v>
      </c>
      <c r="AG270" s="12" t="s">
        <v>3524</v>
      </c>
      <c r="AH270" s="12" t="s">
        <v>3525</v>
      </c>
      <c r="AI270" s="12" t="s">
        <v>3526</v>
      </c>
      <c r="AJ270" s="12" t="s">
        <v>3527</v>
      </c>
      <c r="AK270" s="12" t="s">
        <v>3528</v>
      </c>
      <c r="AL270" s="12" t="s">
        <v>3529</v>
      </c>
      <c r="AM270" s="12" t="s">
        <v>3530</v>
      </c>
      <c r="AN270" s="12" t="s">
        <v>3531</v>
      </c>
      <c r="AO270" s="12" t="s">
        <v>3557</v>
      </c>
      <c r="AP270" s="12" t="s">
        <v>3577</v>
      </c>
      <c r="AQ270" s="12" t="s">
        <v>3534</v>
      </c>
      <c r="AR270" s="12" t="s">
        <v>3535</v>
      </c>
      <c r="AS270" s="12" t="s">
        <v>3536</v>
      </c>
      <c r="AT270" s="12" t="s">
        <v>3537</v>
      </c>
      <c r="AU270" s="12" t="s">
        <v>6</v>
      </c>
      <c r="AV270" s="12" t="s">
        <v>3538</v>
      </c>
      <c r="AW270" s="12" t="s">
        <v>3539</v>
      </c>
      <c r="AX270" s="12" t="s">
        <v>3540</v>
      </c>
      <c r="AY270" s="12" t="s">
        <v>3541</v>
      </c>
      <c r="AZ270" s="12" t="s">
        <v>3542</v>
      </c>
      <c r="BA270" s="12" t="s">
        <v>3543</v>
      </c>
      <c r="BB270" s="12" t="s">
        <v>3544</v>
      </c>
      <c r="BC270" s="17"/>
    </row>
    <row r="271" ht="22.5" customHeight="1">
      <c r="A271" s="18">
        <v>46182.99121840278</v>
      </c>
      <c r="B271" s="19" t="s">
        <v>738</v>
      </c>
      <c r="C271" s="20">
        <v>38.0</v>
      </c>
      <c r="D271" s="24" t="s">
        <v>4311</v>
      </c>
      <c r="E271" s="22">
        <f t="shared" si="1"/>
        <v>43</v>
      </c>
      <c r="F271" s="19" t="s">
        <v>4312</v>
      </c>
      <c r="G271" s="19" t="s">
        <v>739</v>
      </c>
      <c r="H271" s="19" t="s">
        <v>738</v>
      </c>
      <c r="I271" s="22">
        <v>8.447892924E9</v>
      </c>
      <c r="J271" s="19" t="s">
        <v>3503</v>
      </c>
      <c r="K271" s="19" t="s">
        <v>3504</v>
      </c>
      <c r="L271" s="19" t="s">
        <v>3556</v>
      </c>
      <c r="M271" s="21"/>
      <c r="N271" s="19" t="s">
        <v>3569</v>
      </c>
      <c r="O271" s="19" t="s">
        <v>3507</v>
      </c>
      <c r="P271" s="19" t="s">
        <v>3508</v>
      </c>
      <c r="Q271" s="21"/>
      <c r="R271" s="19" t="s">
        <v>3509</v>
      </c>
      <c r="S271" s="19" t="s">
        <v>3510</v>
      </c>
      <c r="T271" s="19" t="s">
        <v>3549</v>
      </c>
      <c r="U271" s="19" t="s">
        <v>3512</v>
      </c>
      <c r="V271" s="19" t="s">
        <v>3513</v>
      </c>
      <c r="W271" s="19" t="s">
        <v>3514</v>
      </c>
      <c r="X271" s="19" t="s">
        <v>3515</v>
      </c>
      <c r="Y271" s="19" t="s">
        <v>3516</v>
      </c>
      <c r="Z271" s="19" t="s">
        <v>3517</v>
      </c>
      <c r="AA271" s="19" t="s">
        <v>3518</v>
      </c>
      <c r="AB271" s="19" t="s">
        <v>3519</v>
      </c>
      <c r="AC271" s="19" t="s">
        <v>3520</v>
      </c>
      <c r="AD271" s="19" t="s">
        <v>3521</v>
      </c>
      <c r="AE271" s="19" t="s">
        <v>3522</v>
      </c>
      <c r="AF271" s="19" t="s">
        <v>3523</v>
      </c>
      <c r="AG271" s="19" t="s">
        <v>3524</v>
      </c>
      <c r="AH271" s="19" t="s">
        <v>3525</v>
      </c>
      <c r="AI271" s="19" t="s">
        <v>3526</v>
      </c>
      <c r="AJ271" s="19" t="s">
        <v>3527</v>
      </c>
      <c r="AK271" s="19" t="s">
        <v>3528</v>
      </c>
      <c r="AL271" s="19" t="s">
        <v>3529</v>
      </c>
      <c r="AM271" s="19" t="s">
        <v>3530</v>
      </c>
      <c r="AN271" s="19" t="s">
        <v>3531</v>
      </c>
      <c r="AO271" s="19" t="s">
        <v>3557</v>
      </c>
      <c r="AP271" s="19" t="s">
        <v>3533</v>
      </c>
      <c r="AQ271" s="19" t="s">
        <v>3534</v>
      </c>
      <c r="AR271" s="19" t="s">
        <v>3535</v>
      </c>
      <c r="AS271" s="19" t="s">
        <v>3538</v>
      </c>
      <c r="AT271" s="19" t="s">
        <v>3537</v>
      </c>
      <c r="AU271" s="19" t="s">
        <v>6</v>
      </c>
      <c r="AV271" s="19" t="s">
        <v>3538</v>
      </c>
      <c r="AW271" s="19" t="s">
        <v>3539</v>
      </c>
      <c r="AX271" s="19" t="s">
        <v>3540</v>
      </c>
      <c r="AY271" s="19" t="s">
        <v>3541</v>
      </c>
      <c r="AZ271" s="19" t="s">
        <v>3542</v>
      </c>
      <c r="BA271" s="19" t="s">
        <v>3543</v>
      </c>
      <c r="BB271" s="19" t="s">
        <v>3544</v>
      </c>
      <c r="BC271" s="23"/>
    </row>
    <row r="272" ht="22.5" customHeight="1">
      <c r="A272" s="11">
        <v>46182.99369819445</v>
      </c>
      <c r="B272" s="12" t="s">
        <v>4313</v>
      </c>
      <c r="C272" s="13">
        <v>33.0</v>
      </c>
      <c r="D272" s="16"/>
      <c r="E272" s="15">
        <f t="shared" si="1"/>
        <v>33</v>
      </c>
      <c r="F272" s="12" t="s">
        <v>4314</v>
      </c>
      <c r="G272" s="12" t="s">
        <v>3196</v>
      </c>
      <c r="H272" s="12" t="s">
        <v>4315</v>
      </c>
      <c r="I272" s="15">
        <v>9.345795478E9</v>
      </c>
      <c r="J272" s="12" t="s">
        <v>3547</v>
      </c>
      <c r="K272" s="12" t="s">
        <v>3504</v>
      </c>
      <c r="L272" s="12" t="s">
        <v>3556</v>
      </c>
      <c r="M272" s="16"/>
      <c r="N272" s="12" t="s">
        <v>3506</v>
      </c>
      <c r="O272" s="12" t="s">
        <v>3507</v>
      </c>
      <c r="P272" s="12" t="s">
        <v>3981</v>
      </c>
      <c r="Q272" s="16"/>
      <c r="R272" s="12" t="s">
        <v>3509</v>
      </c>
      <c r="S272" s="12" t="s">
        <v>3510</v>
      </c>
      <c r="T272" s="12" t="s">
        <v>3549</v>
      </c>
      <c r="U272" s="12" t="s">
        <v>3550</v>
      </c>
      <c r="V272" s="12" t="s">
        <v>3593</v>
      </c>
      <c r="W272" s="12" t="s">
        <v>3587</v>
      </c>
      <c r="X272" s="12" t="s">
        <v>3515</v>
      </c>
      <c r="Y272" s="12" t="s">
        <v>3516</v>
      </c>
      <c r="Z272" s="12" t="s">
        <v>3517</v>
      </c>
      <c r="AA272" s="12" t="s">
        <v>3518</v>
      </c>
      <c r="AB272" s="12" t="s">
        <v>3519</v>
      </c>
      <c r="AC272" s="12" t="s">
        <v>3520</v>
      </c>
      <c r="AD272" s="12" t="s">
        <v>3521</v>
      </c>
      <c r="AE272" s="12" t="s">
        <v>3630</v>
      </c>
      <c r="AF272" s="12" t="s">
        <v>3639</v>
      </c>
      <c r="AG272" s="12" t="s">
        <v>3524</v>
      </c>
      <c r="AH272" s="12" t="s">
        <v>3525</v>
      </c>
      <c r="AI272" s="12" t="s">
        <v>3526</v>
      </c>
      <c r="AJ272" s="12" t="s">
        <v>3527</v>
      </c>
      <c r="AK272" s="12" t="s">
        <v>3528</v>
      </c>
      <c r="AL272" s="12" t="s">
        <v>3529</v>
      </c>
      <c r="AM272" s="12" t="s">
        <v>3530</v>
      </c>
      <c r="AN272" s="12" t="s">
        <v>3531</v>
      </c>
      <c r="AO272" s="12" t="s">
        <v>3557</v>
      </c>
      <c r="AP272" s="12" t="s">
        <v>3533</v>
      </c>
      <c r="AQ272" s="12" t="s">
        <v>3534</v>
      </c>
      <c r="AR272" s="12" t="s">
        <v>2802</v>
      </c>
      <c r="AS272" s="12" t="s">
        <v>3538</v>
      </c>
      <c r="AT272" s="12" t="s">
        <v>3562</v>
      </c>
      <c r="AU272" s="12" t="s">
        <v>6</v>
      </c>
      <c r="AV272" s="12" t="s">
        <v>3538</v>
      </c>
      <c r="AW272" s="12" t="s">
        <v>3558</v>
      </c>
      <c r="AX272" s="12" t="s">
        <v>3540</v>
      </c>
      <c r="AY272" s="12" t="s">
        <v>3541</v>
      </c>
      <c r="AZ272" s="12" t="s">
        <v>3542</v>
      </c>
      <c r="BA272" s="12" t="s">
        <v>3543</v>
      </c>
      <c r="BB272" s="12" t="s">
        <v>3544</v>
      </c>
      <c r="BC272" s="17"/>
    </row>
    <row r="273" ht="22.5" customHeight="1">
      <c r="A273" s="18">
        <v>46182.99371909723</v>
      </c>
      <c r="B273" s="19" t="s">
        <v>4316</v>
      </c>
      <c r="C273" s="20">
        <v>18.0</v>
      </c>
      <c r="D273" s="21"/>
      <c r="E273" s="22">
        <f t="shared" si="1"/>
        <v>18</v>
      </c>
      <c r="F273" s="19" t="s">
        <v>4317</v>
      </c>
      <c r="G273" s="19" t="s">
        <v>4318</v>
      </c>
      <c r="H273" s="19" t="s">
        <v>1458</v>
      </c>
      <c r="I273" s="22">
        <v>8.708996629E9</v>
      </c>
      <c r="J273" s="19" t="s">
        <v>3547</v>
      </c>
      <c r="K273" s="19" t="s">
        <v>3504</v>
      </c>
      <c r="L273" s="19" t="s">
        <v>3556</v>
      </c>
      <c r="M273" s="21"/>
      <c r="N273" s="19" t="s">
        <v>3613</v>
      </c>
      <c r="O273" s="19" t="s">
        <v>3507</v>
      </c>
      <c r="P273" s="19" t="s">
        <v>3508</v>
      </c>
      <c r="Q273" s="21"/>
      <c r="R273" s="19" t="s">
        <v>3574</v>
      </c>
      <c r="S273" s="19" t="s">
        <v>3674</v>
      </c>
      <c r="T273" s="19" t="s">
        <v>3511</v>
      </c>
      <c r="U273" s="19" t="s">
        <v>3550</v>
      </c>
      <c r="V273" s="19" t="s">
        <v>3513</v>
      </c>
      <c r="W273" s="19" t="s">
        <v>3514</v>
      </c>
      <c r="X273" s="19" t="s">
        <v>3515</v>
      </c>
      <c r="Y273" s="19" t="s">
        <v>3516</v>
      </c>
      <c r="Z273" s="19" t="s">
        <v>3517</v>
      </c>
      <c r="AA273" s="19" t="s">
        <v>3518</v>
      </c>
      <c r="AB273" s="19" t="s">
        <v>3519</v>
      </c>
      <c r="AC273" s="19" t="s">
        <v>3520</v>
      </c>
      <c r="AD273" s="19" t="s">
        <v>3521</v>
      </c>
      <c r="AE273" s="19" t="s">
        <v>3522</v>
      </c>
      <c r="AF273" s="19" t="s">
        <v>3639</v>
      </c>
      <c r="AG273" s="19" t="s">
        <v>3524</v>
      </c>
      <c r="AH273" s="19" t="s">
        <v>4319</v>
      </c>
      <c r="AI273" s="19" t="s">
        <v>3526</v>
      </c>
      <c r="AJ273" s="19" t="s">
        <v>3527</v>
      </c>
      <c r="AK273" s="21"/>
      <c r="AL273" s="21"/>
      <c r="AM273" s="21"/>
      <c r="AN273" s="21"/>
      <c r="AO273" s="21"/>
      <c r="AP273" s="21"/>
      <c r="AQ273" s="21"/>
      <c r="AR273" s="21"/>
      <c r="AS273" s="21"/>
      <c r="AT273" s="21"/>
      <c r="AU273" s="21"/>
      <c r="AV273" s="21"/>
      <c r="AW273" s="21"/>
      <c r="AX273" s="21"/>
      <c r="AY273" s="21"/>
      <c r="AZ273" s="21"/>
      <c r="BA273" s="21"/>
      <c r="BB273" s="21"/>
      <c r="BC273" s="23"/>
    </row>
    <row r="274" ht="22.5" customHeight="1">
      <c r="A274" s="11">
        <v>46182.994493645834</v>
      </c>
      <c r="B274" s="12" t="s">
        <v>3420</v>
      </c>
      <c r="C274" s="13">
        <v>31.0</v>
      </c>
      <c r="D274" s="14" t="s">
        <v>4320</v>
      </c>
      <c r="E274" s="15">
        <f t="shared" si="1"/>
        <v>36</v>
      </c>
      <c r="F274" s="12" t="s">
        <v>4321</v>
      </c>
      <c r="G274" s="12" t="s">
        <v>4322</v>
      </c>
      <c r="H274" s="12" t="s">
        <v>3420</v>
      </c>
      <c r="I274" s="15">
        <v>8.779806286E9</v>
      </c>
      <c r="J274" s="12" t="s">
        <v>3547</v>
      </c>
      <c r="K274" s="12" t="s">
        <v>3504</v>
      </c>
      <c r="L274" s="12" t="s">
        <v>3505</v>
      </c>
      <c r="M274" s="16"/>
      <c r="N274" s="12" t="s">
        <v>3506</v>
      </c>
      <c r="O274" s="12" t="s">
        <v>3507</v>
      </c>
      <c r="P274" s="12" t="s">
        <v>3981</v>
      </c>
      <c r="Q274" s="16"/>
      <c r="R274" s="12" t="s">
        <v>3574</v>
      </c>
      <c r="S274" s="12" t="s">
        <v>3510</v>
      </c>
      <c r="T274" s="12" t="s">
        <v>3549</v>
      </c>
      <c r="U274" s="12" t="s">
        <v>3512</v>
      </c>
      <c r="V274" s="12" t="s">
        <v>3513</v>
      </c>
      <c r="W274" s="12" t="s">
        <v>3587</v>
      </c>
      <c r="X274" s="12" t="s">
        <v>3515</v>
      </c>
      <c r="Y274" s="12" t="s">
        <v>3516</v>
      </c>
      <c r="Z274" s="12" t="s">
        <v>3517</v>
      </c>
      <c r="AA274" s="12" t="s">
        <v>3518</v>
      </c>
      <c r="AB274" s="12" t="s">
        <v>3519</v>
      </c>
      <c r="AC274" s="12" t="s">
        <v>3520</v>
      </c>
      <c r="AD274" s="12" t="s">
        <v>3615</v>
      </c>
      <c r="AE274" s="12" t="s">
        <v>3522</v>
      </c>
      <c r="AF274" s="12" t="s">
        <v>3681</v>
      </c>
      <c r="AG274" s="12" t="s">
        <v>3524</v>
      </c>
      <c r="AH274" s="12" t="s">
        <v>3525</v>
      </c>
      <c r="AI274" s="12" t="s">
        <v>3526</v>
      </c>
      <c r="AJ274" s="12" t="s">
        <v>3527</v>
      </c>
      <c r="AK274" s="12" t="s">
        <v>3528</v>
      </c>
      <c r="AL274" s="12" t="s">
        <v>3529</v>
      </c>
      <c r="AM274" s="12" t="s">
        <v>3530</v>
      </c>
      <c r="AN274" s="12" t="s">
        <v>3531</v>
      </c>
      <c r="AO274" s="12" t="s">
        <v>3557</v>
      </c>
      <c r="AP274" s="12" t="s">
        <v>3533</v>
      </c>
      <c r="AQ274" s="12" t="s">
        <v>3534</v>
      </c>
      <c r="AR274" s="12" t="s">
        <v>3535</v>
      </c>
      <c r="AS274" s="12" t="s">
        <v>3538</v>
      </c>
      <c r="AT274" s="12" t="s">
        <v>3537</v>
      </c>
      <c r="AU274" s="12" t="s">
        <v>6</v>
      </c>
      <c r="AV274" s="12" t="s">
        <v>3536</v>
      </c>
      <c r="AW274" s="12" t="s">
        <v>3539</v>
      </c>
      <c r="AX274" s="12" t="s">
        <v>3694</v>
      </c>
      <c r="AY274" s="12" t="s">
        <v>3541</v>
      </c>
      <c r="AZ274" s="12" t="s">
        <v>3542</v>
      </c>
      <c r="BA274" s="12" t="s">
        <v>3699</v>
      </c>
      <c r="BB274" s="12" t="s">
        <v>3544</v>
      </c>
      <c r="BC274" s="17"/>
    </row>
    <row r="275" ht="22.5" customHeight="1">
      <c r="A275" s="18">
        <v>46182.995626585645</v>
      </c>
      <c r="B275" s="19" t="s">
        <v>275</v>
      </c>
      <c r="C275" s="20">
        <v>33.0</v>
      </c>
      <c r="D275" s="21"/>
      <c r="E275" s="22">
        <f t="shared" si="1"/>
        <v>33</v>
      </c>
      <c r="F275" s="19" t="s">
        <v>4323</v>
      </c>
      <c r="G275" s="19" t="s">
        <v>276</v>
      </c>
      <c r="H275" s="19" t="s">
        <v>275</v>
      </c>
      <c r="I275" s="22">
        <v>7.41557649E9</v>
      </c>
      <c r="J275" s="19" t="s">
        <v>3547</v>
      </c>
      <c r="K275" s="19" t="s">
        <v>3504</v>
      </c>
      <c r="L275" s="19" t="s">
        <v>3556</v>
      </c>
      <c r="M275" s="21"/>
      <c r="N275" s="19" t="s">
        <v>3506</v>
      </c>
      <c r="O275" s="19" t="s">
        <v>3507</v>
      </c>
      <c r="P275" s="19" t="s">
        <v>3508</v>
      </c>
      <c r="Q275" s="21"/>
      <c r="R275" s="19" t="s">
        <v>3509</v>
      </c>
      <c r="S275" s="19" t="s">
        <v>3510</v>
      </c>
      <c r="T275" s="19" t="s">
        <v>3549</v>
      </c>
      <c r="U275" s="19" t="s">
        <v>3512</v>
      </c>
      <c r="V275" s="19" t="s">
        <v>3513</v>
      </c>
      <c r="W275" s="19" t="s">
        <v>3514</v>
      </c>
      <c r="X275" s="19" t="s">
        <v>3515</v>
      </c>
      <c r="Y275" s="19" t="s">
        <v>3516</v>
      </c>
      <c r="Z275" s="19" t="s">
        <v>3517</v>
      </c>
      <c r="AA275" s="19" t="s">
        <v>3518</v>
      </c>
      <c r="AB275" s="19" t="s">
        <v>3519</v>
      </c>
      <c r="AC275" s="19" t="s">
        <v>3520</v>
      </c>
      <c r="AD275" s="19" t="s">
        <v>3521</v>
      </c>
      <c r="AE275" s="19" t="s">
        <v>3522</v>
      </c>
      <c r="AF275" s="19" t="s">
        <v>3523</v>
      </c>
      <c r="AG275" s="19" t="s">
        <v>3524</v>
      </c>
      <c r="AH275" s="19" t="s">
        <v>3525</v>
      </c>
      <c r="AI275" s="19" t="s">
        <v>3526</v>
      </c>
      <c r="AJ275" s="19" t="s">
        <v>3527</v>
      </c>
      <c r="AK275" s="19" t="s">
        <v>4139</v>
      </c>
      <c r="AL275" s="19" t="s">
        <v>3529</v>
      </c>
      <c r="AM275" s="19" t="s">
        <v>3530</v>
      </c>
      <c r="AN275" s="19" t="s">
        <v>3531</v>
      </c>
      <c r="AO275" s="19" t="s">
        <v>3557</v>
      </c>
      <c r="AP275" s="19" t="s">
        <v>3533</v>
      </c>
      <c r="AQ275" s="19" t="s">
        <v>3534</v>
      </c>
      <c r="AR275" s="21"/>
      <c r="AS275" s="21"/>
      <c r="AT275" s="21"/>
      <c r="AU275" s="21"/>
      <c r="AV275" s="21"/>
      <c r="AW275" s="19" t="s">
        <v>3558</v>
      </c>
      <c r="AX275" s="19" t="s">
        <v>3774</v>
      </c>
      <c r="AY275" s="19" t="s">
        <v>3541</v>
      </c>
      <c r="AZ275" s="19" t="s">
        <v>3542</v>
      </c>
      <c r="BA275" s="19" t="s">
        <v>3543</v>
      </c>
      <c r="BB275" s="19" t="s">
        <v>3544</v>
      </c>
      <c r="BC275" s="23"/>
    </row>
    <row r="276" ht="22.5" customHeight="1">
      <c r="A276" s="11">
        <v>46182.99570233797</v>
      </c>
      <c r="B276" s="12" t="s">
        <v>2081</v>
      </c>
      <c r="C276" s="13">
        <v>40.0</v>
      </c>
      <c r="D276" s="16"/>
      <c r="E276" s="15">
        <f t="shared" si="1"/>
        <v>40</v>
      </c>
      <c r="F276" s="12" t="s">
        <v>4324</v>
      </c>
      <c r="G276" s="12" t="s">
        <v>2082</v>
      </c>
      <c r="H276" s="12" t="s">
        <v>2081</v>
      </c>
      <c r="I276" s="15">
        <v>9.958322114E9</v>
      </c>
      <c r="J276" s="12" t="s">
        <v>3547</v>
      </c>
      <c r="K276" s="12" t="s">
        <v>3504</v>
      </c>
      <c r="L276" s="12" t="s">
        <v>3612</v>
      </c>
      <c r="M276" s="16"/>
      <c r="N276" s="12" t="s">
        <v>3506</v>
      </c>
      <c r="O276" s="12" t="s">
        <v>3507</v>
      </c>
      <c r="P276" s="12" t="s">
        <v>3508</v>
      </c>
      <c r="Q276" s="16"/>
      <c r="R276" s="12" t="s">
        <v>3509</v>
      </c>
      <c r="S276" s="12" t="s">
        <v>3510</v>
      </c>
      <c r="T276" s="12" t="s">
        <v>3549</v>
      </c>
      <c r="U276" s="12" t="s">
        <v>3550</v>
      </c>
      <c r="V276" s="12" t="s">
        <v>3513</v>
      </c>
      <c r="W276" s="12" t="s">
        <v>3514</v>
      </c>
      <c r="X276" s="12" t="s">
        <v>3515</v>
      </c>
      <c r="Y276" s="12" t="s">
        <v>3516</v>
      </c>
      <c r="Z276" s="12" t="s">
        <v>3517</v>
      </c>
      <c r="AA276" s="12" t="s">
        <v>3518</v>
      </c>
      <c r="AB276" s="12" t="s">
        <v>3519</v>
      </c>
      <c r="AC276" s="12" t="s">
        <v>3520</v>
      </c>
      <c r="AD276" s="12" t="s">
        <v>3521</v>
      </c>
      <c r="AE276" s="12" t="s">
        <v>3522</v>
      </c>
      <c r="AF276" s="12" t="s">
        <v>3523</v>
      </c>
      <c r="AG276" s="12" t="s">
        <v>3524</v>
      </c>
      <c r="AH276" s="12" t="s">
        <v>3525</v>
      </c>
      <c r="AI276" s="12" t="s">
        <v>3526</v>
      </c>
      <c r="AJ276" s="12" t="s">
        <v>3527</v>
      </c>
      <c r="AK276" s="12" t="s">
        <v>3528</v>
      </c>
      <c r="AL276" s="12" t="s">
        <v>3529</v>
      </c>
      <c r="AM276" s="12" t="s">
        <v>3530</v>
      </c>
      <c r="AN276" s="12" t="s">
        <v>3531</v>
      </c>
      <c r="AO276" s="12" t="s">
        <v>3557</v>
      </c>
      <c r="AP276" s="12" t="s">
        <v>3533</v>
      </c>
      <c r="AQ276" s="12" t="s">
        <v>3534</v>
      </c>
      <c r="AR276" s="12" t="s">
        <v>3535</v>
      </c>
      <c r="AS276" s="12" t="s">
        <v>3536</v>
      </c>
      <c r="AT276" s="12" t="s">
        <v>3537</v>
      </c>
      <c r="AU276" s="12" t="s">
        <v>6</v>
      </c>
      <c r="AV276" s="12" t="s">
        <v>3538</v>
      </c>
      <c r="AW276" s="12" t="s">
        <v>3539</v>
      </c>
      <c r="AX276" s="12" t="s">
        <v>3540</v>
      </c>
      <c r="AY276" s="12" t="s">
        <v>3541</v>
      </c>
      <c r="AZ276" s="12" t="s">
        <v>3542</v>
      </c>
      <c r="BA276" s="16"/>
      <c r="BB276" s="12" t="s">
        <v>3544</v>
      </c>
      <c r="BC276" s="17"/>
    </row>
    <row r="277" ht="22.5" customHeight="1">
      <c r="A277" s="18">
        <v>46182.99652372685</v>
      </c>
      <c r="B277" s="19" t="s">
        <v>4325</v>
      </c>
      <c r="C277" s="20">
        <v>39.0</v>
      </c>
      <c r="D277" s="21"/>
      <c r="E277" s="22">
        <f t="shared" si="1"/>
        <v>39</v>
      </c>
      <c r="F277" s="19" t="s">
        <v>4326</v>
      </c>
      <c r="G277" s="19" t="s">
        <v>1450</v>
      </c>
      <c r="H277" s="19" t="s">
        <v>1449</v>
      </c>
      <c r="I277" s="22">
        <v>9.637727089E9</v>
      </c>
      <c r="J277" s="19" t="s">
        <v>3547</v>
      </c>
      <c r="K277" s="19" t="s">
        <v>3504</v>
      </c>
      <c r="L277" s="19" t="s">
        <v>3556</v>
      </c>
      <c r="M277" s="21"/>
      <c r="N277" s="19" t="s">
        <v>3548</v>
      </c>
      <c r="O277" s="19" t="s">
        <v>3507</v>
      </c>
      <c r="P277" s="19" t="s">
        <v>3508</v>
      </c>
      <c r="Q277" s="21"/>
      <c r="R277" s="19" t="s">
        <v>3509</v>
      </c>
      <c r="S277" s="19" t="s">
        <v>3510</v>
      </c>
      <c r="T277" s="19" t="s">
        <v>3549</v>
      </c>
      <c r="U277" s="19" t="s">
        <v>3512</v>
      </c>
      <c r="V277" s="19" t="s">
        <v>3513</v>
      </c>
      <c r="W277" s="19" t="s">
        <v>3514</v>
      </c>
      <c r="X277" s="19" t="s">
        <v>3515</v>
      </c>
      <c r="Y277" s="19" t="s">
        <v>3516</v>
      </c>
      <c r="Z277" s="19" t="s">
        <v>3517</v>
      </c>
      <c r="AA277" s="19" t="s">
        <v>3518</v>
      </c>
      <c r="AB277" s="19" t="s">
        <v>3519</v>
      </c>
      <c r="AC277" s="19" t="s">
        <v>3520</v>
      </c>
      <c r="AD277" s="19" t="s">
        <v>3521</v>
      </c>
      <c r="AE277" s="19" t="s">
        <v>3522</v>
      </c>
      <c r="AF277" s="19" t="s">
        <v>3523</v>
      </c>
      <c r="AG277" s="19" t="s">
        <v>3524</v>
      </c>
      <c r="AH277" s="19" t="s">
        <v>3525</v>
      </c>
      <c r="AI277" s="19" t="s">
        <v>3526</v>
      </c>
      <c r="AJ277" s="19" t="s">
        <v>3527</v>
      </c>
      <c r="AK277" s="19" t="s">
        <v>3528</v>
      </c>
      <c r="AL277" s="19" t="s">
        <v>3529</v>
      </c>
      <c r="AM277" s="19" t="s">
        <v>3530</v>
      </c>
      <c r="AN277" s="19" t="s">
        <v>3531</v>
      </c>
      <c r="AO277" s="19" t="s">
        <v>3557</v>
      </c>
      <c r="AP277" s="19" t="s">
        <v>3533</v>
      </c>
      <c r="AQ277" s="19" t="s">
        <v>3534</v>
      </c>
      <c r="AR277" s="19" t="s">
        <v>3535</v>
      </c>
      <c r="AS277" s="19" t="s">
        <v>3536</v>
      </c>
      <c r="AT277" s="19" t="s">
        <v>3537</v>
      </c>
      <c r="AU277" s="19" t="s">
        <v>6</v>
      </c>
      <c r="AV277" s="19" t="s">
        <v>3538</v>
      </c>
      <c r="AW277" s="19" t="s">
        <v>3558</v>
      </c>
      <c r="AX277" s="19" t="s">
        <v>3540</v>
      </c>
      <c r="AY277" s="19" t="s">
        <v>3541</v>
      </c>
      <c r="AZ277" s="19" t="s">
        <v>3542</v>
      </c>
      <c r="BA277" s="19" t="s">
        <v>3543</v>
      </c>
      <c r="BB277" s="19" t="s">
        <v>3544</v>
      </c>
      <c r="BC277" s="23"/>
    </row>
    <row r="278" ht="22.5" customHeight="1">
      <c r="A278" s="11">
        <v>46182.99725356481</v>
      </c>
      <c r="B278" s="12" t="s">
        <v>1127</v>
      </c>
      <c r="C278" s="13">
        <v>34.0</v>
      </c>
      <c r="D278" s="14" t="s">
        <v>4327</v>
      </c>
      <c r="E278" s="15">
        <f t="shared" si="1"/>
        <v>39</v>
      </c>
      <c r="F278" s="12" t="s">
        <v>4328</v>
      </c>
      <c r="G278" s="12" t="s">
        <v>4329</v>
      </c>
      <c r="H278" s="12" t="s">
        <v>1127</v>
      </c>
      <c r="I278" s="15">
        <v>7.803916516E9</v>
      </c>
      <c r="J278" s="12" t="s">
        <v>3547</v>
      </c>
      <c r="K278" s="12" t="s">
        <v>3504</v>
      </c>
      <c r="L278" s="12" t="s">
        <v>3556</v>
      </c>
      <c r="M278" s="16"/>
      <c r="N278" s="12" t="s">
        <v>3569</v>
      </c>
      <c r="O278" s="12" t="s">
        <v>3507</v>
      </c>
      <c r="P278" s="12" t="s">
        <v>3508</v>
      </c>
      <c r="Q278" s="16"/>
      <c r="R278" s="12" t="s">
        <v>3509</v>
      </c>
      <c r="S278" s="12" t="s">
        <v>3674</v>
      </c>
      <c r="T278" s="12" t="s">
        <v>3511</v>
      </c>
      <c r="U278" s="12" t="s">
        <v>3512</v>
      </c>
      <c r="V278" s="12" t="s">
        <v>3513</v>
      </c>
      <c r="W278" s="12" t="s">
        <v>3514</v>
      </c>
      <c r="X278" s="12" t="s">
        <v>3515</v>
      </c>
      <c r="Y278" s="12" t="s">
        <v>3516</v>
      </c>
      <c r="Z278" s="12" t="s">
        <v>3517</v>
      </c>
      <c r="AA278" s="12" t="s">
        <v>3518</v>
      </c>
      <c r="AB278" s="12" t="s">
        <v>3519</v>
      </c>
      <c r="AC278" s="12" t="s">
        <v>3520</v>
      </c>
      <c r="AD278" s="12" t="s">
        <v>3521</v>
      </c>
      <c r="AE278" s="12" t="s">
        <v>3522</v>
      </c>
      <c r="AF278" s="12" t="s">
        <v>3523</v>
      </c>
      <c r="AG278" s="12" t="s">
        <v>3524</v>
      </c>
      <c r="AH278" s="12" t="s">
        <v>3525</v>
      </c>
      <c r="AI278" s="12" t="s">
        <v>3526</v>
      </c>
      <c r="AJ278" s="12" t="s">
        <v>3527</v>
      </c>
      <c r="AK278" s="12" t="s">
        <v>3528</v>
      </c>
      <c r="AL278" s="12" t="s">
        <v>3529</v>
      </c>
      <c r="AM278" s="12" t="s">
        <v>3530</v>
      </c>
      <c r="AN278" s="12" t="s">
        <v>3531</v>
      </c>
      <c r="AO278" s="12" t="s">
        <v>3557</v>
      </c>
      <c r="AP278" s="12" t="s">
        <v>3533</v>
      </c>
      <c r="AQ278" s="12" t="s">
        <v>3534</v>
      </c>
      <c r="AR278" s="12" t="s">
        <v>3535</v>
      </c>
      <c r="AS278" s="12" t="s">
        <v>3536</v>
      </c>
      <c r="AT278" s="12" t="s">
        <v>3562</v>
      </c>
      <c r="AU278" s="15">
        <v>2.0</v>
      </c>
      <c r="AV278" s="12" t="s">
        <v>3536</v>
      </c>
      <c r="AW278" s="12" t="s">
        <v>3558</v>
      </c>
      <c r="AX278" s="12" t="s">
        <v>3540</v>
      </c>
      <c r="AY278" s="12" t="s">
        <v>3541</v>
      </c>
      <c r="AZ278" s="12" t="s">
        <v>3542</v>
      </c>
      <c r="BA278" s="12" t="s">
        <v>3543</v>
      </c>
      <c r="BB278" s="12" t="s">
        <v>3544</v>
      </c>
      <c r="BC278" s="17"/>
    </row>
    <row r="279" ht="22.5" customHeight="1">
      <c r="A279" s="18">
        <v>46182.997387083335</v>
      </c>
      <c r="B279" s="19" t="s">
        <v>4330</v>
      </c>
      <c r="C279" s="20">
        <v>29.0</v>
      </c>
      <c r="D279" s="24" t="s">
        <v>4331</v>
      </c>
      <c r="E279" s="22">
        <f t="shared" si="1"/>
        <v>34</v>
      </c>
      <c r="F279" s="19" t="s">
        <v>4332</v>
      </c>
      <c r="G279" s="19" t="s">
        <v>4333</v>
      </c>
      <c r="H279" s="19" t="s">
        <v>30</v>
      </c>
      <c r="I279" s="22">
        <v>8.088291584E9</v>
      </c>
      <c r="J279" s="19" t="s">
        <v>3503</v>
      </c>
      <c r="K279" s="19" t="s">
        <v>3504</v>
      </c>
      <c r="L279" s="19" t="s">
        <v>3505</v>
      </c>
      <c r="M279" s="21"/>
      <c r="N279" s="19" t="s">
        <v>3506</v>
      </c>
      <c r="O279" s="19" t="s">
        <v>3614</v>
      </c>
      <c r="P279" s="19" t="s">
        <v>3508</v>
      </c>
      <c r="Q279" s="21"/>
      <c r="R279" s="19" t="s">
        <v>3509</v>
      </c>
      <c r="S279" s="19" t="s">
        <v>3723</v>
      </c>
      <c r="T279" s="19" t="s">
        <v>3549</v>
      </c>
      <c r="U279" s="19" t="s">
        <v>3550</v>
      </c>
      <c r="V279" s="19" t="s">
        <v>3513</v>
      </c>
      <c r="W279" s="19" t="s">
        <v>3575</v>
      </c>
      <c r="X279" s="19" t="s">
        <v>3515</v>
      </c>
      <c r="Y279" s="19" t="s">
        <v>3516</v>
      </c>
      <c r="Z279" s="19" t="s">
        <v>3608</v>
      </c>
      <c r="AA279" s="19" t="s">
        <v>3518</v>
      </c>
      <c r="AB279" s="19" t="s">
        <v>3519</v>
      </c>
      <c r="AC279" s="19" t="s">
        <v>3520</v>
      </c>
      <c r="AD279" s="19" t="s">
        <v>3521</v>
      </c>
      <c r="AE279" s="19" t="s">
        <v>3522</v>
      </c>
      <c r="AF279" s="19" t="s">
        <v>3594</v>
      </c>
      <c r="AG279" s="19" t="s">
        <v>3589</v>
      </c>
      <c r="AH279" s="19" t="s">
        <v>3525</v>
      </c>
      <c r="AI279" s="19" t="s">
        <v>3526</v>
      </c>
      <c r="AJ279" s="19" t="s">
        <v>3527</v>
      </c>
      <c r="AK279" s="19" t="s">
        <v>3528</v>
      </c>
      <c r="AL279" s="19" t="s">
        <v>3529</v>
      </c>
      <c r="AM279" s="19" t="s">
        <v>3530</v>
      </c>
      <c r="AN279" s="19" t="s">
        <v>3531</v>
      </c>
      <c r="AO279" s="19" t="s">
        <v>3557</v>
      </c>
      <c r="AP279" s="19" t="s">
        <v>3533</v>
      </c>
      <c r="AQ279" s="19" t="s">
        <v>3534</v>
      </c>
      <c r="AR279" s="19" t="s">
        <v>3535</v>
      </c>
      <c r="AS279" s="19" t="s">
        <v>3536</v>
      </c>
      <c r="AT279" s="19" t="s">
        <v>3562</v>
      </c>
      <c r="AU279" s="19" t="s">
        <v>6</v>
      </c>
      <c r="AV279" s="19" t="s">
        <v>3536</v>
      </c>
      <c r="AW279" s="19" t="s">
        <v>3539</v>
      </c>
      <c r="AX279" s="19" t="s">
        <v>3694</v>
      </c>
      <c r="AY279" s="19" t="s">
        <v>3570</v>
      </c>
      <c r="AZ279" s="19" t="s">
        <v>3542</v>
      </c>
      <c r="BA279" s="19" t="s">
        <v>3579</v>
      </c>
      <c r="BB279" s="19" t="s">
        <v>3544</v>
      </c>
      <c r="BC279" s="23"/>
    </row>
    <row r="280" ht="22.5" customHeight="1">
      <c r="A280" s="11">
        <v>46182.997446504625</v>
      </c>
      <c r="B280" s="12" t="s">
        <v>2995</v>
      </c>
      <c r="C280" s="13">
        <v>30.0</v>
      </c>
      <c r="D280" s="14" t="s">
        <v>4334</v>
      </c>
      <c r="E280" s="15">
        <f t="shared" si="1"/>
        <v>35</v>
      </c>
      <c r="F280" s="12" t="s">
        <v>4335</v>
      </c>
      <c r="G280" s="12" t="s">
        <v>4336</v>
      </c>
      <c r="H280" s="12" t="s">
        <v>2995</v>
      </c>
      <c r="I280" s="15">
        <v>9.712666813E9</v>
      </c>
      <c r="J280" s="12" t="s">
        <v>3547</v>
      </c>
      <c r="K280" s="12" t="s">
        <v>3504</v>
      </c>
      <c r="L280" s="12" t="s">
        <v>3556</v>
      </c>
      <c r="M280" s="16"/>
      <c r="N280" s="12" t="s">
        <v>3548</v>
      </c>
      <c r="O280" s="12" t="s">
        <v>3507</v>
      </c>
      <c r="P280" s="12" t="s">
        <v>3508</v>
      </c>
      <c r="Q280" s="16"/>
      <c r="R280" s="12" t="s">
        <v>3509</v>
      </c>
      <c r="S280" s="12" t="s">
        <v>3510</v>
      </c>
      <c r="T280" s="12" t="s">
        <v>3549</v>
      </c>
      <c r="U280" s="12" t="s">
        <v>3512</v>
      </c>
      <c r="V280" s="12" t="s">
        <v>3513</v>
      </c>
      <c r="W280" s="12" t="s">
        <v>3514</v>
      </c>
      <c r="X280" s="12" t="s">
        <v>3515</v>
      </c>
      <c r="Y280" s="12" t="s">
        <v>3516</v>
      </c>
      <c r="Z280" s="12" t="s">
        <v>3517</v>
      </c>
      <c r="AA280" s="12" t="s">
        <v>3518</v>
      </c>
      <c r="AB280" s="12" t="s">
        <v>3519</v>
      </c>
      <c r="AC280" s="12" t="s">
        <v>3520</v>
      </c>
      <c r="AD280" s="16"/>
      <c r="AE280" s="12" t="s">
        <v>3522</v>
      </c>
      <c r="AF280" s="12" t="s">
        <v>3681</v>
      </c>
      <c r="AG280" s="12" t="s">
        <v>3524</v>
      </c>
      <c r="AH280" s="12" t="s">
        <v>3525</v>
      </c>
      <c r="AI280" s="12" t="s">
        <v>3526</v>
      </c>
      <c r="AJ280" s="12" t="s">
        <v>3527</v>
      </c>
      <c r="AK280" s="16"/>
      <c r="AL280" s="12" t="s">
        <v>3529</v>
      </c>
      <c r="AM280" s="16"/>
      <c r="AN280" s="12" t="s">
        <v>3531</v>
      </c>
      <c r="AO280" s="16"/>
      <c r="AP280" s="16"/>
      <c r="AQ280" s="12" t="s">
        <v>3534</v>
      </c>
      <c r="AR280" s="12" t="s">
        <v>3535</v>
      </c>
      <c r="AS280" s="12" t="s">
        <v>3536</v>
      </c>
      <c r="AT280" s="12" t="s">
        <v>3537</v>
      </c>
      <c r="AU280" s="12" t="s">
        <v>6</v>
      </c>
      <c r="AV280" s="12" t="s">
        <v>3538</v>
      </c>
      <c r="AW280" s="12" t="s">
        <v>3539</v>
      </c>
      <c r="AX280" s="16"/>
      <c r="AY280" s="16"/>
      <c r="AZ280" s="16"/>
      <c r="BA280" s="12" t="s">
        <v>3543</v>
      </c>
      <c r="BB280" s="16"/>
      <c r="BC280" s="17"/>
    </row>
    <row r="281" ht="22.5" customHeight="1">
      <c r="A281" s="18">
        <v>46182.99819324074</v>
      </c>
      <c r="B281" s="19" t="s">
        <v>4337</v>
      </c>
      <c r="C281" s="20">
        <v>38.0</v>
      </c>
      <c r="D281" s="24" t="s">
        <v>4338</v>
      </c>
      <c r="E281" s="22">
        <f t="shared" si="1"/>
        <v>43</v>
      </c>
      <c r="F281" s="19" t="s">
        <v>4339</v>
      </c>
      <c r="G281" s="19" t="s">
        <v>175</v>
      </c>
      <c r="H281" s="19" t="s">
        <v>174</v>
      </c>
      <c r="I281" s="27" t="s">
        <v>4340</v>
      </c>
      <c r="J281" s="19" t="s">
        <v>3547</v>
      </c>
      <c r="K281" s="19" t="s">
        <v>3504</v>
      </c>
      <c r="L281" s="19" t="s">
        <v>3556</v>
      </c>
      <c r="M281" s="21"/>
      <c r="N281" s="19" t="s">
        <v>3506</v>
      </c>
      <c r="O281" s="19" t="s">
        <v>3507</v>
      </c>
      <c r="P281" s="19" t="s">
        <v>3508</v>
      </c>
      <c r="Q281" s="21"/>
      <c r="R281" s="19" t="s">
        <v>3509</v>
      </c>
      <c r="S281" s="19" t="s">
        <v>3510</v>
      </c>
      <c r="T281" s="19" t="s">
        <v>3549</v>
      </c>
      <c r="U281" s="19" t="s">
        <v>3512</v>
      </c>
      <c r="V281" s="19" t="s">
        <v>3513</v>
      </c>
      <c r="W281" s="19" t="s">
        <v>3514</v>
      </c>
      <c r="X281" s="19" t="s">
        <v>3515</v>
      </c>
      <c r="Y281" s="19" t="s">
        <v>3516</v>
      </c>
      <c r="Z281" s="19" t="s">
        <v>3517</v>
      </c>
      <c r="AA281" s="19" t="s">
        <v>3518</v>
      </c>
      <c r="AB281" s="19" t="s">
        <v>3519</v>
      </c>
      <c r="AC281" s="19" t="s">
        <v>3520</v>
      </c>
      <c r="AD281" s="19" t="s">
        <v>3521</v>
      </c>
      <c r="AE281" s="19" t="s">
        <v>3522</v>
      </c>
      <c r="AF281" s="19" t="s">
        <v>3523</v>
      </c>
      <c r="AG281" s="19" t="s">
        <v>3524</v>
      </c>
      <c r="AH281" s="19" t="s">
        <v>3525</v>
      </c>
      <c r="AI281" s="19" t="s">
        <v>3526</v>
      </c>
      <c r="AJ281" s="19" t="s">
        <v>3773</v>
      </c>
      <c r="AK281" s="19" t="s">
        <v>3528</v>
      </c>
      <c r="AL281" s="19" t="s">
        <v>3529</v>
      </c>
      <c r="AM281" s="19" t="s">
        <v>3530</v>
      </c>
      <c r="AN281" s="19" t="s">
        <v>3531</v>
      </c>
      <c r="AO281" s="19" t="s">
        <v>3557</v>
      </c>
      <c r="AP281" s="19" t="s">
        <v>3577</v>
      </c>
      <c r="AQ281" s="19" t="s">
        <v>3534</v>
      </c>
      <c r="AR281" s="19" t="s">
        <v>3535</v>
      </c>
      <c r="AS281" s="19" t="s">
        <v>3536</v>
      </c>
      <c r="AT281" s="19" t="s">
        <v>3562</v>
      </c>
      <c r="AU281" s="19" t="s">
        <v>6</v>
      </c>
      <c r="AV281" s="19" t="s">
        <v>3538</v>
      </c>
      <c r="AW281" s="19" t="s">
        <v>3539</v>
      </c>
      <c r="AX281" s="19" t="s">
        <v>3540</v>
      </c>
      <c r="AY281" s="19" t="s">
        <v>3541</v>
      </c>
      <c r="AZ281" s="19" t="s">
        <v>3542</v>
      </c>
      <c r="BA281" s="19" t="s">
        <v>3543</v>
      </c>
      <c r="BB281" s="19" t="s">
        <v>3544</v>
      </c>
      <c r="BC281" s="23"/>
    </row>
    <row r="282" ht="22.5" customHeight="1">
      <c r="A282" s="11">
        <v>46182.99865609954</v>
      </c>
      <c r="B282" s="12" t="s">
        <v>1046</v>
      </c>
      <c r="C282" s="13">
        <v>38.0</v>
      </c>
      <c r="D282" s="16"/>
      <c r="E282" s="15">
        <f t="shared" si="1"/>
        <v>38</v>
      </c>
      <c r="F282" s="12" t="s">
        <v>4341</v>
      </c>
      <c r="G282" s="12" t="s">
        <v>1047</v>
      </c>
      <c r="H282" s="12" t="s">
        <v>1046</v>
      </c>
      <c r="I282" s="15">
        <v>9.714832557E9</v>
      </c>
      <c r="J282" s="12" t="s">
        <v>3503</v>
      </c>
      <c r="K282" s="12" t="s">
        <v>3504</v>
      </c>
      <c r="L282" s="12" t="s">
        <v>3556</v>
      </c>
      <c r="M282" s="16"/>
      <c r="N282" s="12" t="s">
        <v>3548</v>
      </c>
      <c r="O282" s="12" t="s">
        <v>3507</v>
      </c>
      <c r="P282" s="12" t="s">
        <v>3508</v>
      </c>
      <c r="Q282" s="16"/>
      <c r="R282" s="12" t="s">
        <v>3509</v>
      </c>
      <c r="S282" s="12" t="s">
        <v>3510</v>
      </c>
      <c r="T282" s="12" t="s">
        <v>3549</v>
      </c>
      <c r="U282" s="12" t="s">
        <v>3550</v>
      </c>
      <c r="V282" s="12" t="s">
        <v>3513</v>
      </c>
      <c r="W282" s="12" t="s">
        <v>3514</v>
      </c>
      <c r="X282" s="12" t="s">
        <v>3515</v>
      </c>
      <c r="Y282" s="12" t="s">
        <v>3516</v>
      </c>
      <c r="Z282" s="12" t="s">
        <v>3517</v>
      </c>
      <c r="AA282" s="12" t="s">
        <v>3518</v>
      </c>
      <c r="AB282" s="12" t="s">
        <v>3519</v>
      </c>
      <c r="AC282" s="12" t="s">
        <v>3520</v>
      </c>
      <c r="AD282" s="12" t="s">
        <v>3521</v>
      </c>
      <c r="AE282" s="12" t="s">
        <v>3522</v>
      </c>
      <c r="AF282" s="12" t="s">
        <v>3523</v>
      </c>
      <c r="AG282" s="12" t="s">
        <v>3524</v>
      </c>
      <c r="AH282" s="12" t="s">
        <v>3525</v>
      </c>
      <c r="AI282" s="12" t="s">
        <v>3526</v>
      </c>
      <c r="AJ282" s="12" t="s">
        <v>3527</v>
      </c>
      <c r="AK282" s="12" t="s">
        <v>3528</v>
      </c>
      <c r="AL282" s="12" t="s">
        <v>3529</v>
      </c>
      <c r="AM282" s="12" t="s">
        <v>3530</v>
      </c>
      <c r="AN282" s="12" t="s">
        <v>3531</v>
      </c>
      <c r="AO282" s="12" t="s">
        <v>3551</v>
      </c>
      <c r="AP282" s="12" t="s">
        <v>3533</v>
      </c>
      <c r="AQ282" s="12" t="s">
        <v>3534</v>
      </c>
      <c r="AR282" s="12" t="s">
        <v>3535</v>
      </c>
      <c r="AS282" s="12" t="s">
        <v>3536</v>
      </c>
      <c r="AT282" s="12" t="s">
        <v>3537</v>
      </c>
      <c r="AU282" s="12" t="s">
        <v>6</v>
      </c>
      <c r="AV282" s="12" t="s">
        <v>3538</v>
      </c>
      <c r="AW282" s="12" t="s">
        <v>3558</v>
      </c>
      <c r="AX282" s="12" t="s">
        <v>3540</v>
      </c>
      <c r="AY282" s="12" t="s">
        <v>3541</v>
      </c>
      <c r="AZ282" s="12" t="s">
        <v>3542</v>
      </c>
      <c r="BA282" s="12" t="s">
        <v>3543</v>
      </c>
      <c r="BB282" s="12" t="s">
        <v>3544</v>
      </c>
      <c r="BC282" s="17"/>
    </row>
    <row r="283" ht="22.5" customHeight="1">
      <c r="A283" s="18">
        <v>46182.99978363426</v>
      </c>
      <c r="B283" s="19" t="s">
        <v>2078</v>
      </c>
      <c r="C283" s="20">
        <v>33.0</v>
      </c>
      <c r="D283" s="24" t="s">
        <v>4342</v>
      </c>
      <c r="E283" s="22">
        <f t="shared" si="1"/>
        <v>38</v>
      </c>
      <c r="F283" s="19" t="s">
        <v>4343</v>
      </c>
      <c r="G283" s="19" t="s">
        <v>4344</v>
      </c>
      <c r="H283" s="19" t="s">
        <v>4345</v>
      </c>
      <c r="I283" s="22">
        <v>9.934739013E9</v>
      </c>
      <c r="J283" s="19" t="s">
        <v>3547</v>
      </c>
      <c r="K283" s="19" t="s">
        <v>3504</v>
      </c>
      <c r="L283" s="19" t="s">
        <v>3556</v>
      </c>
      <c r="M283" s="21"/>
      <c r="N283" s="19" t="s">
        <v>3548</v>
      </c>
      <c r="O283" s="19" t="s">
        <v>3507</v>
      </c>
      <c r="P283" s="19" t="s">
        <v>3508</v>
      </c>
      <c r="Q283" s="21"/>
      <c r="R283" s="19" t="s">
        <v>3509</v>
      </c>
      <c r="S283" s="19" t="s">
        <v>3510</v>
      </c>
      <c r="T283" s="19" t="s">
        <v>3511</v>
      </c>
      <c r="U283" s="19" t="s">
        <v>3512</v>
      </c>
      <c r="V283" s="21"/>
      <c r="W283" s="19" t="s">
        <v>3514</v>
      </c>
      <c r="X283" s="19" t="s">
        <v>3515</v>
      </c>
      <c r="Y283" s="19" t="s">
        <v>3516</v>
      </c>
      <c r="Z283" s="21"/>
      <c r="AA283" s="19" t="s">
        <v>3518</v>
      </c>
      <c r="AB283" s="19" t="s">
        <v>3519</v>
      </c>
      <c r="AC283" s="19" t="s">
        <v>3638</v>
      </c>
      <c r="AD283" s="19" t="s">
        <v>3521</v>
      </c>
      <c r="AE283" s="19" t="s">
        <v>3522</v>
      </c>
      <c r="AF283" s="19" t="s">
        <v>3523</v>
      </c>
      <c r="AG283" s="19" t="s">
        <v>3524</v>
      </c>
      <c r="AH283" s="19" t="s">
        <v>3525</v>
      </c>
      <c r="AI283" s="19" t="s">
        <v>3526</v>
      </c>
      <c r="AJ283" s="19" t="s">
        <v>3527</v>
      </c>
      <c r="AK283" s="19" t="s">
        <v>3528</v>
      </c>
      <c r="AL283" s="21"/>
      <c r="AM283" s="19" t="s">
        <v>3530</v>
      </c>
      <c r="AN283" s="19" t="s">
        <v>3531</v>
      </c>
      <c r="AO283" s="19" t="s">
        <v>3557</v>
      </c>
      <c r="AP283" s="19" t="s">
        <v>3533</v>
      </c>
      <c r="AQ283" s="19" t="s">
        <v>3534</v>
      </c>
      <c r="AR283" s="19" t="s">
        <v>3535</v>
      </c>
      <c r="AS283" s="19" t="s">
        <v>3536</v>
      </c>
      <c r="AT283" s="19" t="s">
        <v>3562</v>
      </c>
      <c r="AU283" s="19" t="s">
        <v>6</v>
      </c>
      <c r="AV283" s="19" t="s">
        <v>3538</v>
      </c>
      <c r="AW283" s="19" t="s">
        <v>3539</v>
      </c>
      <c r="AX283" s="21"/>
      <c r="AY283" s="19" t="s">
        <v>3541</v>
      </c>
      <c r="AZ283" s="19" t="s">
        <v>3542</v>
      </c>
      <c r="BA283" s="19" t="s">
        <v>3543</v>
      </c>
      <c r="BB283" s="19" t="s">
        <v>3544</v>
      </c>
      <c r="BC283" s="23"/>
    </row>
    <row r="284" ht="22.5" customHeight="1">
      <c r="A284" s="11">
        <v>46182.99989746528</v>
      </c>
      <c r="B284" s="12" t="s">
        <v>4346</v>
      </c>
      <c r="C284" s="13">
        <v>27.0</v>
      </c>
      <c r="D284" s="16"/>
      <c r="E284" s="15">
        <f t="shared" si="1"/>
        <v>27</v>
      </c>
      <c r="F284" s="12" t="s">
        <v>4347</v>
      </c>
      <c r="G284" s="12" t="s">
        <v>4348</v>
      </c>
      <c r="H284" s="12" t="s">
        <v>4349</v>
      </c>
      <c r="I284" s="15">
        <v>6.353167088E9</v>
      </c>
      <c r="J284" s="12" t="s">
        <v>3547</v>
      </c>
      <c r="K284" s="12" t="s">
        <v>3504</v>
      </c>
      <c r="L284" s="12" t="s">
        <v>3505</v>
      </c>
      <c r="M284" s="16"/>
      <c r="N284" s="12" t="s">
        <v>3506</v>
      </c>
      <c r="O284" s="12" t="s">
        <v>3614</v>
      </c>
      <c r="P284" s="12" t="s">
        <v>3508</v>
      </c>
      <c r="Q284" s="16"/>
      <c r="R284" s="12" t="s">
        <v>3574</v>
      </c>
      <c r="S284" s="12" t="s">
        <v>3510</v>
      </c>
      <c r="T284" s="12" t="s">
        <v>3549</v>
      </c>
      <c r="U284" s="12" t="s">
        <v>3550</v>
      </c>
      <c r="V284" s="12" t="s">
        <v>3599</v>
      </c>
      <c r="W284" s="12" t="s">
        <v>3514</v>
      </c>
      <c r="X284" s="12" t="s">
        <v>3515</v>
      </c>
      <c r="Y284" s="16"/>
      <c r="Z284" s="12" t="s">
        <v>3517</v>
      </c>
      <c r="AA284" s="12" t="s">
        <v>3518</v>
      </c>
      <c r="AB284" s="12" t="s">
        <v>3519</v>
      </c>
      <c r="AC284" s="12" t="s">
        <v>3638</v>
      </c>
      <c r="AD284" s="12" t="s">
        <v>3521</v>
      </c>
      <c r="AE284" s="12" t="s">
        <v>3522</v>
      </c>
      <c r="AF284" s="12" t="s">
        <v>3639</v>
      </c>
      <c r="AG284" s="12" t="s">
        <v>3524</v>
      </c>
      <c r="AH284" s="12" t="s">
        <v>3525</v>
      </c>
      <c r="AI284" s="12" t="s">
        <v>3526</v>
      </c>
      <c r="AJ284" s="12" t="s">
        <v>3527</v>
      </c>
      <c r="AK284" s="12" t="s">
        <v>3528</v>
      </c>
      <c r="AL284" s="12" t="s">
        <v>3885</v>
      </c>
      <c r="AM284" s="12" t="s">
        <v>3750</v>
      </c>
      <c r="AN284" s="12" t="s">
        <v>3531</v>
      </c>
      <c r="AO284" s="12" t="s">
        <v>3557</v>
      </c>
      <c r="AP284" s="12" t="s">
        <v>3533</v>
      </c>
      <c r="AQ284" s="16"/>
      <c r="AR284" s="12" t="s">
        <v>3535</v>
      </c>
      <c r="AS284" s="12" t="s">
        <v>3536</v>
      </c>
      <c r="AT284" s="12" t="s">
        <v>3643</v>
      </c>
      <c r="AU284" s="15">
        <v>2.0</v>
      </c>
      <c r="AV284" s="12" t="s">
        <v>3536</v>
      </c>
      <c r="AW284" s="12" t="s">
        <v>3705</v>
      </c>
      <c r="AX284" s="12" t="s">
        <v>3540</v>
      </c>
      <c r="AY284" s="12" t="s">
        <v>3541</v>
      </c>
      <c r="AZ284" s="12" t="s">
        <v>3726</v>
      </c>
      <c r="BA284" s="12" t="s">
        <v>3579</v>
      </c>
      <c r="BB284" s="12" t="s">
        <v>3544</v>
      </c>
      <c r="BC284" s="17"/>
    </row>
    <row r="285" ht="22.5" customHeight="1">
      <c r="A285" s="18">
        <v>46183.00034048611</v>
      </c>
      <c r="B285" s="19" t="s">
        <v>4350</v>
      </c>
      <c r="C285" s="20">
        <v>28.0</v>
      </c>
      <c r="D285" s="21"/>
      <c r="E285" s="22">
        <f t="shared" si="1"/>
        <v>28</v>
      </c>
      <c r="F285" s="19" t="s">
        <v>4351</v>
      </c>
      <c r="G285" s="19" t="s">
        <v>4352</v>
      </c>
      <c r="H285" s="19" t="s">
        <v>4350</v>
      </c>
      <c r="I285" s="22">
        <v>7.778914384E9</v>
      </c>
      <c r="J285" s="19" t="s">
        <v>3547</v>
      </c>
      <c r="K285" s="19" t="s">
        <v>3504</v>
      </c>
      <c r="L285" s="19" t="s">
        <v>3556</v>
      </c>
      <c r="M285" s="21"/>
      <c r="N285" s="19" t="s">
        <v>3506</v>
      </c>
      <c r="O285" s="19" t="s">
        <v>3507</v>
      </c>
      <c r="P285" s="19" t="s">
        <v>3508</v>
      </c>
      <c r="Q285" s="21"/>
      <c r="R285" s="19" t="s">
        <v>3509</v>
      </c>
      <c r="S285" s="19" t="s">
        <v>3510</v>
      </c>
      <c r="T285" s="19" t="s">
        <v>3549</v>
      </c>
      <c r="U285" s="19" t="s">
        <v>3512</v>
      </c>
      <c r="V285" s="19" t="s">
        <v>3513</v>
      </c>
      <c r="W285" s="19" t="s">
        <v>3514</v>
      </c>
      <c r="X285" s="19" t="s">
        <v>3740</v>
      </c>
      <c r="Y285" s="19" t="s">
        <v>3680</v>
      </c>
      <c r="Z285" s="19" t="s">
        <v>4295</v>
      </c>
      <c r="AA285" s="19" t="s">
        <v>4353</v>
      </c>
      <c r="AB285" s="19" t="s">
        <v>3519</v>
      </c>
      <c r="AC285" s="19" t="s">
        <v>3520</v>
      </c>
      <c r="AD285" s="19" t="s">
        <v>3521</v>
      </c>
      <c r="AE285" s="19" t="s">
        <v>3522</v>
      </c>
      <c r="AF285" s="19" t="s">
        <v>3594</v>
      </c>
      <c r="AG285" s="19" t="s">
        <v>3524</v>
      </c>
      <c r="AH285" s="19" t="s">
        <v>3525</v>
      </c>
      <c r="AI285" s="21"/>
      <c r="AJ285" s="19" t="s">
        <v>3527</v>
      </c>
      <c r="AK285" s="19" t="s">
        <v>3528</v>
      </c>
      <c r="AL285" s="19" t="s">
        <v>3590</v>
      </c>
      <c r="AM285" s="21"/>
      <c r="AN285" s="19" t="s">
        <v>3531</v>
      </c>
      <c r="AO285" s="19" t="s">
        <v>3658</v>
      </c>
      <c r="AP285" s="19" t="s">
        <v>3533</v>
      </c>
      <c r="AQ285" s="19" t="s">
        <v>3534</v>
      </c>
      <c r="AR285" s="21"/>
      <c r="AS285" s="19" t="s">
        <v>3538</v>
      </c>
      <c r="AT285" s="21"/>
      <c r="AU285" s="21"/>
      <c r="AV285" s="19" t="s">
        <v>3538</v>
      </c>
      <c r="AW285" s="19" t="s">
        <v>3539</v>
      </c>
      <c r="AX285" s="21"/>
      <c r="AY285" s="19" t="s">
        <v>3570</v>
      </c>
      <c r="AZ285" s="19" t="s">
        <v>3542</v>
      </c>
      <c r="BA285" s="19" t="s">
        <v>3543</v>
      </c>
      <c r="BB285" s="19" t="s">
        <v>3544</v>
      </c>
      <c r="BC285" s="23"/>
    </row>
    <row r="286" ht="22.5" customHeight="1">
      <c r="A286" s="11">
        <v>46183.00285379629</v>
      </c>
      <c r="B286" s="12" t="s">
        <v>4354</v>
      </c>
      <c r="C286" s="13">
        <v>27.0</v>
      </c>
      <c r="D286" s="16"/>
      <c r="E286" s="15">
        <f t="shared" si="1"/>
        <v>27</v>
      </c>
      <c r="F286" s="12" t="s">
        <v>4355</v>
      </c>
      <c r="G286" s="12" t="s">
        <v>873</v>
      </c>
      <c r="H286" s="12" t="s">
        <v>872</v>
      </c>
      <c r="I286" s="15">
        <v>9.833873172E9</v>
      </c>
      <c r="J286" s="12" t="s">
        <v>3503</v>
      </c>
      <c r="K286" s="12" t="s">
        <v>3504</v>
      </c>
      <c r="L286" s="12" t="s">
        <v>3556</v>
      </c>
      <c r="M286" s="16"/>
      <c r="N286" s="12" t="s">
        <v>3613</v>
      </c>
      <c r="O286" s="12" t="s">
        <v>3507</v>
      </c>
      <c r="P286" s="12" t="s">
        <v>3981</v>
      </c>
      <c r="Q286" s="16"/>
      <c r="R286" s="12" t="s">
        <v>3509</v>
      </c>
      <c r="S286" s="12" t="s">
        <v>3674</v>
      </c>
      <c r="T286" s="12" t="s">
        <v>3549</v>
      </c>
      <c r="U286" s="12" t="s">
        <v>3512</v>
      </c>
      <c r="V286" s="12" t="s">
        <v>3513</v>
      </c>
      <c r="W286" s="12" t="s">
        <v>3514</v>
      </c>
      <c r="X286" s="12" t="s">
        <v>3869</v>
      </c>
      <c r="Y286" s="12" t="s">
        <v>3516</v>
      </c>
      <c r="Z286" s="12" t="s">
        <v>3517</v>
      </c>
      <c r="AA286" s="12" t="s">
        <v>3518</v>
      </c>
      <c r="AB286" s="12" t="s">
        <v>3519</v>
      </c>
      <c r="AC286" s="12" t="s">
        <v>3520</v>
      </c>
      <c r="AD286" s="12" t="s">
        <v>3521</v>
      </c>
      <c r="AE286" s="12" t="s">
        <v>3522</v>
      </c>
      <c r="AF286" s="12" t="s">
        <v>3523</v>
      </c>
      <c r="AG286" s="12" t="s">
        <v>3524</v>
      </c>
      <c r="AH286" s="12" t="s">
        <v>3525</v>
      </c>
      <c r="AI286" s="12" t="s">
        <v>3526</v>
      </c>
      <c r="AJ286" s="12" t="s">
        <v>4091</v>
      </c>
      <c r="AK286" s="12" t="s">
        <v>3528</v>
      </c>
      <c r="AL286" s="12" t="s">
        <v>3529</v>
      </c>
      <c r="AM286" s="12" t="s">
        <v>3530</v>
      </c>
      <c r="AN286" s="12" t="s">
        <v>3531</v>
      </c>
      <c r="AO286" s="12" t="s">
        <v>3551</v>
      </c>
      <c r="AP286" s="12" t="s">
        <v>3533</v>
      </c>
      <c r="AQ286" s="12" t="s">
        <v>3616</v>
      </c>
      <c r="AR286" s="16"/>
      <c r="AS286" s="16"/>
      <c r="AT286" s="16"/>
      <c r="AU286" s="16"/>
      <c r="AV286" s="16"/>
      <c r="AW286" s="12" t="s">
        <v>3558</v>
      </c>
      <c r="AX286" s="12" t="s">
        <v>3540</v>
      </c>
      <c r="AY286" s="12" t="s">
        <v>3541</v>
      </c>
      <c r="AZ286" s="12" t="s">
        <v>3542</v>
      </c>
      <c r="BA286" s="12" t="s">
        <v>3543</v>
      </c>
      <c r="BB286" s="12" t="s">
        <v>3544</v>
      </c>
      <c r="BC286" s="17"/>
    </row>
    <row r="287" ht="22.5" customHeight="1">
      <c r="A287" s="18">
        <v>46183.00298340278</v>
      </c>
      <c r="B287" s="19" t="s">
        <v>1466</v>
      </c>
      <c r="C287" s="20">
        <v>33.0</v>
      </c>
      <c r="D287" s="24" t="s">
        <v>4356</v>
      </c>
      <c r="E287" s="22">
        <f t="shared" si="1"/>
        <v>38</v>
      </c>
      <c r="F287" s="19" t="s">
        <v>4357</v>
      </c>
      <c r="G287" s="19" t="s">
        <v>1467</v>
      </c>
      <c r="H287" s="19" t="s">
        <v>1466</v>
      </c>
      <c r="I287" s="22">
        <v>8.668462213E9</v>
      </c>
      <c r="J287" s="19" t="s">
        <v>3503</v>
      </c>
      <c r="K287" s="19" t="s">
        <v>3504</v>
      </c>
      <c r="L287" s="21"/>
      <c r="M287" s="21"/>
      <c r="N287" s="19" t="s">
        <v>3506</v>
      </c>
      <c r="O287" s="19" t="s">
        <v>3507</v>
      </c>
      <c r="P287" s="19" t="s">
        <v>3508</v>
      </c>
      <c r="Q287" s="21"/>
      <c r="R287" s="19" t="s">
        <v>3509</v>
      </c>
      <c r="S287" s="19" t="s">
        <v>3510</v>
      </c>
      <c r="T287" s="19" t="s">
        <v>3549</v>
      </c>
      <c r="U287" s="19" t="s">
        <v>3550</v>
      </c>
      <c r="V287" s="19" t="s">
        <v>3513</v>
      </c>
      <c r="W287" s="19" t="s">
        <v>3514</v>
      </c>
      <c r="X287" s="19" t="s">
        <v>3515</v>
      </c>
      <c r="Y287" s="19" t="s">
        <v>3516</v>
      </c>
      <c r="Z287" s="19" t="s">
        <v>3517</v>
      </c>
      <c r="AA287" s="19" t="s">
        <v>3518</v>
      </c>
      <c r="AB287" s="19" t="s">
        <v>3519</v>
      </c>
      <c r="AC287" s="19" t="s">
        <v>3520</v>
      </c>
      <c r="AD287" s="19" t="s">
        <v>3521</v>
      </c>
      <c r="AE287" s="21"/>
      <c r="AF287" s="21"/>
      <c r="AG287" s="19" t="s">
        <v>3524</v>
      </c>
      <c r="AH287" s="19" t="s">
        <v>3525</v>
      </c>
      <c r="AI287" s="19" t="s">
        <v>3526</v>
      </c>
      <c r="AJ287" s="19" t="s">
        <v>3527</v>
      </c>
      <c r="AK287" s="19" t="s">
        <v>3528</v>
      </c>
      <c r="AL287" s="19" t="s">
        <v>3529</v>
      </c>
      <c r="AM287" s="21"/>
      <c r="AN287" s="19" t="s">
        <v>3531</v>
      </c>
      <c r="AO287" s="21"/>
      <c r="AP287" s="19" t="s">
        <v>3533</v>
      </c>
      <c r="AQ287" s="19" t="s">
        <v>3534</v>
      </c>
      <c r="AR287" s="19" t="s">
        <v>3535</v>
      </c>
      <c r="AS287" s="19" t="s">
        <v>3536</v>
      </c>
      <c r="AT287" s="19" t="s">
        <v>3537</v>
      </c>
      <c r="AU287" s="19" t="s">
        <v>6</v>
      </c>
      <c r="AV287" s="19" t="s">
        <v>3536</v>
      </c>
      <c r="AW287" s="19" t="s">
        <v>3539</v>
      </c>
      <c r="AX287" s="21"/>
      <c r="AY287" s="19" t="s">
        <v>3570</v>
      </c>
      <c r="AZ287" s="19" t="s">
        <v>3542</v>
      </c>
      <c r="BA287" s="19" t="s">
        <v>3543</v>
      </c>
      <c r="BB287" s="19" t="s">
        <v>3544</v>
      </c>
      <c r="BC287" s="23"/>
    </row>
    <row r="288" ht="22.5" customHeight="1">
      <c r="A288" s="11">
        <v>46183.01318913195</v>
      </c>
      <c r="B288" s="12" t="s">
        <v>4358</v>
      </c>
      <c r="C288" s="13">
        <v>34.0</v>
      </c>
      <c r="D288" s="16"/>
      <c r="E288" s="15">
        <f t="shared" si="1"/>
        <v>34</v>
      </c>
      <c r="F288" s="12" t="s">
        <v>4359</v>
      </c>
      <c r="G288" s="12" t="s">
        <v>2637</v>
      </c>
      <c r="H288" s="12" t="s">
        <v>2636</v>
      </c>
      <c r="I288" s="15">
        <v>7.644926665E9</v>
      </c>
      <c r="J288" s="12" t="s">
        <v>3503</v>
      </c>
      <c r="K288" s="12" t="s">
        <v>3504</v>
      </c>
      <c r="L288" s="12" t="s">
        <v>3556</v>
      </c>
      <c r="M288" s="16"/>
      <c r="N288" s="12" t="s">
        <v>3506</v>
      </c>
      <c r="O288" s="12" t="s">
        <v>3507</v>
      </c>
      <c r="P288" s="12" t="s">
        <v>3508</v>
      </c>
      <c r="Q288" s="16"/>
      <c r="R288" s="12" t="s">
        <v>3509</v>
      </c>
      <c r="S288" s="12" t="s">
        <v>3510</v>
      </c>
      <c r="T288" s="12" t="s">
        <v>3549</v>
      </c>
      <c r="U288" s="12" t="s">
        <v>3582</v>
      </c>
      <c r="V288" s="12" t="s">
        <v>3513</v>
      </c>
      <c r="W288" s="12" t="s">
        <v>3514</v>
      </c>
      <c r="X288" s="12" t="s">
        <v>3515</v>
      </c>
      <c r="Y288" s="12" t="s">
        <v>3516</v>
      </c>
      <c r="Z288" s="12" t="s">
        <v>3517</v>
      </c>
      <c r="AA288" s="12" t="s">
        <v>3518</v>
      </c>
      <c r="AB288" s="12" t="s">
        <v>3519</v>
      </c>
      <c r="AC288" s="12" t="s">
        <v>3638</v>
      </c>
      <c r="AD288" s="12" t="s">
        <v>3521</v>
      </c>
      <c r="AE288" s="12" t="s">
        <v>3522</v>
      </c>
      <c r="AF288" s="12" t="s">
        <v>3523</v>
      </c>
      <c r="AG288" s="12" t="s">
        <v>3524</v>
      </c>
      <c r="AH288" s="12" t="s">
        <v>3525</v>
      </c>
      <c r="AI288" s="12" t="s">
        <v>3526</v>
      </c>
      <c r="AJ288" s="12" t="s">
        <v>3527</v>
      </c>
      <c r="AK288" s="12" t="s">
        <v>3528</v>
      </c>
      <c r="AL288" s="12" t="s">
        <v>3860</v>
      </c>
      <c r="AM288" s="12" t="s">
        <v>3530</v>
      </c>
      <c r="AN288" s="12" t="s">
        <v>3531</v>
      </c>
      <c r="AO288" s="12" t="s">
        <v>3557</v>
      </c>
      <c r="AP288" s="12" t="s">
        <v>3577</v>
      </c>
      <c r="AQ288" s="12" t="s">
        <v>3534</v>
      </c>
      <c r="AR288" s="12" t="s">
        <v>3535</v>
      </c>
      <c r="AS288" s="12" t="s">
        <v>3536</v>
      </c>
      <c r="AT288" s="12" t="s">
        <v>3562</v>
      </c>
      <c r="AU288" s="12" t="s">
        <v>6</v>
      </c>
      <c r="AV288" s="12" t="s">
        <v>3538</v>
      </c>
      <c r="AW288" s="12" t="s">
        <v>3539</v>
      </c>
      <c r="AX288" s="12" t="s">
        <v>3540</v>
      </c>
      <c r="AY288" s="12" t="s">
        <v>3541</v>
      </c>
      <c r="AZ288" s="12" t="s">
        <v>3706</v>
      </c>
      <c r="BA288" s="12" t="s">
        <v>3631</v>
      </c>
      <c r="BB288" s="12" t="s">
        <v>3544</v>
      </c>
      <c r="BC288" s="17"/>
    </row>
    <row r="289" ht="22.5" customHeight="1">
      <c r="A289" s="18">
        <v>46183.07606346065</v>
      </c>
      <c r="B289" s="19" t="s">
        <v>4360</v>
      </c>
      <c r="C289" s="20">
        <v>38.0</v>
      </c>
      <c r="D289" s="24" t="s">
        <v>4361</v>
      </c>
      <c r="E289" s="22">
        <f t="shared" si="1"/>
        <v>43</v>
      </c>
      <c r="F289" s="19" t="s">
        <v>4362</v>
      </c>
      <c r="G289" s="19" t="s">
        <v>2607</v>
      </c>
      <c r="H289" s="19" t="s">
        <v>2606</v>
      </c>
      <c r="I289" s="22">
        <v>6.358853389E9</v>
      </c>
      <c r="J289" s="19" t="s">
        <v>3547</v>
      </c>
      <c r="K289" s="19" t="s">
        <v>3504</v>
      </c>
      <c r="L289" s="19" t="s">
        <v>3505</v>
      </c>
      <c r="M289" s="21"/>
      <c r="N289" s="19" t="s">
        <v>3548</v>
      </c>
      <c r="O289" s="19" t="s">
        <v>3507</v>
      </c>
      <c r="P289" s="19" t="s">
        <v>3508</v>
      </c>
      <c r="Q289" s="21"/>
      <c r="R289" s="19" t="s">
        <v>3509</v>
      </c>
      <c r="S289" s="19" t="s">
        <v>3510</v>
      </c>
      <c r="T289" s="19" t="s">
        <v>3549</v>
      </c>
      <c r="U289" s="19" t="s">
        <v>3512</v>
      </c>
      <c r="V289" s="19" t="s">
        <v>3513</v>
      </c>
      <c r="W289" s="19" t="s">
        <v>3514</v>
      </c>
      <c r="X289" s="19" t="s">
        <v>3515</v>
      </c>
      <c r="Y289" s="19" t="s">
        <v>3516</v>
      </c>
      <c r="Z289" s="19" t="s">
        <v>3517</v>
      </c>
      <c r="AA289" s="19" t="s">
        <v>3518</v>
      </c>
      <c r="AB289" s="19" t="s">
        <v>3519</v>
      </c>
      <c r="AC289" s="19" t="s">
        <v>3520</v>
      </c>
      <c r="AD289" s="19" t="s">
        <v>3521</v>
      </c>
      <c r="AE289" s="19" t="s">
        <v>3522</v>
      </c>
      <c r="AF289" s="19" t="s">
        <v>3523</v>
      </c>
      <c r="AG289" s="19" t="s">
        <v>3524</v>
      </c>
      <c r="AH289" s="19" t="s">
        <v>3525</v>
      </c>
      <c r="AI289" s="19" t="s">
        <v>3526</v>
      </c>
      <c r="AJ289" s="19" t="s">
        <v>3527</v>
      </c>
      <c r="AK289" s="19" t="s">
        <v>3528</v>
      </c>
      <c r="AL289" s="19" t="s">
        <v>3529</v>
      </c>
      <c r="AM289" s="19" t="s">
        <v>3530</v>
      </c>
      <c r="AN289" s="19" t="s">
        <v>3531</v>
      </c>
      <c r="AO289" s="19" t="s">
        <v>3557</v>
      </c>
      <c r="AP289" s="19" t="s">
        <v>3533</v>
      </c>
      <c r="AQ289" s="19" t="s">
        <v>3534</v>
      </c>
      <c r="AR289" s="19" t="s">
        <v>3535</v>
      </c>
      <c r="AS289" s="19" t="s">
        <v>3536</v>
      </c>
      <c r="AT289" s="19" t="s">
        <v>3537</v>
      </c>
      <c r="AU289" s="19" t="s">
        <v>6</v>
      </c>
      <c r="AV289" s="19" t="s">
        <v>3538</v>
      </c>
      <c r="AW289" s="19" t="s">
        <v>3558</v>
      </c>
      <c r="AX289" s="19" t="s">
        <v>3540</v>
      </c>
      <c r="AY289" s="19" t="s">
        <v>3541</v>
      </c>
      <c r="AZ289" s="19" t="s">
        <v>3542</v>
      </c>
      <c r="BA289" s="19" t="s">
        <v>3543</v>
      </c>
      <c r="BB289" s="19" t="s">
        <v>3544</v>
      </c>
      <c r="BC289" s="23"/>
    </row>
    <row r="290" ht="22.5" customHeight="1">
      <c r="A290" s="28">
        <v>46183.77880136574</v>
      </c>
      <c r="B290" s="29" t="s">
        <v>4363</v>
      </c>
      <c r="C290" s="30">
        <v>30.0</v>
      </c>
      <c r="D290" s="31"/>
      <c r="E290" s="32">
        <f t="shared" si="1"/>
        <v>30</v>
      </c>
      <c r="F290" s="29" t="s">
        <v>4364</v>
      </c>
      <c r="G290" s="29" t="s">
        <v>4365</v>
      </c>
      <c r="H290" s="29" t="s">
        <v>127</v>
      </c>
      <c r="I290" s="32">
        <v>9.396453012E9</v>
      </c>
      <c r="J290" s="31"/>
      <c r="K290" s="31"/>
      <c r="L290" s="29" t="s">
        <v>3556</v>
      </c>
      <c r="M290" s="29" t="s">
        <v>3506</v>
      </c>
      <c r="N290" s="29" t="s">
        <v>3507</v>
      </c>
      <c r="O290" s="31"/>
      <c r="P290" s="29" t="s">
        <v>3509</v>
      </c>
      <c r="Q290" s="29" t="s">
        <v>3510</v>
      </c>
      <c r="R290" s="29" t="s">
        <v>3549</v>
      </c>
      <c r="S290" s="29" t="s">
        <v>3512</v>
      </c>
      <c r="T290" s="29" t="s">
        <v>3513</v>
      </c>
      <c r="U290" s="29" t="s">
        <v>3514</v>
      </c>
      <c r="V290" s="29" t="s">
        <v>3515</v>
      </c>
      <c r="W290" s="29" t="s">
        <v>3516</v>
      </c>
      <c r="X290" s="31"/>
      <c r="Y290" s="29" t="s">
        <v>4366</v>
      </c>
      <c r="Z290" s="29" t="s">
        <v>3519</v>
      </c>
      <c r="AA290" s="29" t="s">
        <v>4367</v>
      </c>
      <c r="AB290" s="29" t="s">
        <v>3521</v>
      </c>
      <c r="AC290" s="29" t="s">
        <v>3522</v>
      </c>
      <c r="AD290" s="31"/>
      <c r="AE290" s="29" t="s">
        <v>3524</v>
      </c>
      <c r="AF290" s="29" t="s">
        <v>4319</v>
      </c>
      <c r="AG290" s="29" t="s">
        <v>3526</v>
      </c>
      <c r="AH290" s="29" t="s">
        <v>3527</v>
      </c>
      <c r="AI290" s="29" t="s">
        <v>3528</v>
      </c>
      <c r="AJ290" s="29" t="s">
        <v>3529</v>
      </c>
      <c r="AK290" s="29" t="s">
        <v>3544</v>
      </c>
      <c r="AL290" s="29" t="s">
        <v>3540</v>
      </c>
      <c r="AM290" s="29" t="s">
        <v>3543</v>
      </c>
      <c r="AN290" s="29" t="s">
        <v>3542</v>
      </c>
      <c r="AO290" s="29" t="s">
        <v>3541</v>
      </c>
      <c r="AP290" s="29" t="s">
        <v>3530</v>
      </c>
      <c r="AQ290" s="29" t="s">
        <v>3531</v>
      </c>
      <c r="AR290" s="29" t="s">
        <v>3532</v>
      </c>
      <c r="AS290" s="29" t="s">
        <v>3539</v>
      </c>
      <c r="AT290" s="29" t="s">
        <v>3533</v>
      </c>
      <c r="AU290" s="29" t="s">
        <v>3752</v>
      </c>
      <c r="AV290" s="29" t="s">
        <v>3535</v>
      </c>
      <c r="AW290" s="29" t="s">
        <v>3643</v>
      </c>
      <c r="AX290" s="29" t="s">
        <v>6</v>
      </c>
      <c r="AY290" s="29" t="s">
        <v>3538</v>
      </c>
      <c r="AZ290" s="33" t="s">
        <v>4368</v>
      </c>
      <c r="BA290" s="34"/>
      <c r="BB290" s="34"/>
      <c r="BC290" s="35"/>
    </row>
  </sheetData>
  <hyperlinks>
    <hyperlink r:id="rId1" ref="D2"/>
    <hyperlink r:id="rId2" ref="D4"/>
    <hyperlink r:id="rId3" ref="D5"/>
    <hyperlink r:id="rId4" ref="D7"/>
    <hyperlink r:id="rId5" ref="D8"/>
    <hyperlink r:id="rId6" ref="D9"/>
    <hyperlink r:id="rId7" ref="D12"/>
    <hyperlink r:id="rId8" ref="D13"/>
    <hyperlink r:id="rId9" ref="D14"/>
    <hyperlink r:id="rId10" ref="D15"/>
    <hyperlink r:id="rId11" ref="D17"/>
    <hyperlink r:id="rId12" ref="D18"/>
    <hyperlink r:id="rId13" ref="D19"/>
    <hyperlink r:id="rId14" ref="D20"/>
    <hyperlink r:id="rId15" ref="D21"/>
    <hyperlink r:id="rId16" ref="D22"/>
    <hyperlink r:id="rId17" ref="D23"/>
    <hyperlink r:id="rId18" ref="D24"/>
    <hyperlink r:id="rId19" ref="D27"/>
    <hyperlink r:id="rId20" ref="D28"/>
    <hyperlink r:id="rId21" ref="D29"/>
    <hyperlink r:id="rId22" ref="D31"/>
    <hyperlink r:id="rId23" ref="D32"/>
    <hyperlink r:id="rId24" ref="D33"/>
    <hyperlink r:id="rId25" ref="D35"/>
    <hyperlink r:id="rId26" ref="D37"/>
    <hyperlink r:id="rId27" ref="H37"/>
    <hyperlink r:id="rId28" ref="D38"/>
    <hyperlink r:id="rId29" ref="D39"/>
    <hyperlink r:id="rId30" ref="D40"/>
    <hyperlink r:id="rId31" ref="D41"/>
    <hyperlink r:id="rId32" location="scrollTo=_-5Fm4DCwEez" ref="D42"/>
    <hyperlink r:id="rId33" ref="D43"/>
    <hyperlink r:id="rId34" ref="D44"/>
    <hyperlink r:id="rId35" ref="D45"/>
    <hyperlink r:id="rId36" ref="D46"/>
    <hyperlink r:id="rId37" ref="D47"/>
    <hyperlink r:id="rId38" ref="D48"/>
    <hyperlink r:id="rId39" ref="D49"/>
    <hyperlink r:id="rId40" ref="D50"/>
    <hyperlink r:id="rId41" ref="D51"/>
    <hyperlink r:id="rId42" ref="D53"/>
    <hyperlink r:id="rId43" ref="D54"/>
    <hyperlink r:id="rId44" ref="D56"/>
    <hyperlink r:id="rId45" ref="D57"/>
    <hyperlink r:id="rId46" ref="D61"/>
    <hyperlink r:id="rId47" ref="D62"/>
    <hyperlink r:id="rId48" ref="D63"/>
    <hyperlink r:id="rId49" ref="D65"/>
    <hyperlink r:id="rId50" ref="D66"/>
    <hyperlink r:id="rId51" ref="D69"/>
    <hyperlink r:id="rId52" ref="D70"/>
    <hyperlink r:id="rId53" ref="D71"/>
    <hyperlink r:id="rId54" ref="D73"/>
    <hyperlink r:id="rId55" ref="D75"/>
    <hyperlink r:id="rId56" ref="D76"/>
    <hyperlink r:id="rId57" ref="D77"/>
    <hyperlink r:id="rId58" ref="D78"/>
    <hyperlink r:id="rId59" ref="D79"/>
    <hyperlink r:id="rId60" ref="D80"/>
    <hyperlink r:id="rId61" ref="D81"/>
    <hyperlink r:id="rId62" ref="D82"/>
    <hyperlink r:id="rId63" ref="D84"/>
    <hyperlink r:id="rId64" ref="D86"/>
    <hyperlink r:id="rId65" ref="D88"/>
    <hyperlink r:id="rId66" ref="D90"/>
    <hyperlink r:id="rId67" ref="D91"/>
    <hyperlink r:id="rId68" ref="D92"/>
    <hyperlink r:id="rId69" ref="D93"/>
    <hyperlink r:id="rId70" ref="D94"/>
    <hyperlink r:id="rId71" ref="D95"/>
    <hyperlink r:id="rId72" ref="D97"/>
    <hyperlink r:id="rId73" ref="D99"/>
    <hyperlink r:id="rId74" ref="D100"/>
    <hyperlink r:id="rId75" ref="D103"/>
    <hyperlink r:id="rId76" ref="D105"/>
    <hyperlink r:id="rId77" location="scrollTo=dc5f098d" ref="D106"/>
    <hyperlink r:id="rId78" ref="D107"/>
    <hyperlink r:id="rId79" ref="D108"/>
    <hyperlink r:id="rId80" ref="D109"/>
    <hyperlink r:id="rId81" ref="D110"/>
    <hyperlink r:id="rId82" ref="D112"/>
    <hyperlink r:id="rId83" ref="D113"/>
    <hyperlink r:id="rId84" ref="D115"/>
    <hyperlink r:id="rId85" ref="D116"/>
    <hyperlink r:id="rId86" ref="D118"/>
    <hyperlink r:id="rId87" ref="D119"/>
    <hyperlink r:id="rId88" ref="D120"/>
    <hyperlink r:id="rId89" ref="D121"/>
    <hyperlink r:id="rId90" ref="D124"/>
    <hyperlink r:id="rId91" ref="D125"/>
    <hyperlink r:id="rId92" ref="D126"/>
    <hyperlink r:id="rId93" ref="D128"/>
    <hyperlink r:id="rId94" ref="D129"/>
    <hyperlink r:id="rId95" ref="D130"/>
    <hyperlink r:id="rId96" ref="D131"/>
    <hyperlink r:id="rId97" ref="D134"/>
    <hyperlink r:id="rId98" ref="D136"/>
    <hyperlink r:id="rId99" ref="D137"/>
    <hyperlink r:id="rId100" ref="D138"/>
    <hyperlink r:id="rId101" ref="D140"/>
    <hyperlink r:id="rId102" ref="D142"/>
    <hyperlink r:id="rId103" ref="D143"/>
    <hyperlink r:id="rId104" ref="D144"/>
    <hyperlink r:id="rId105" ref="D145"/>
    <hyperlink r:id="rId106" ref="D146"/>
    <hyperlink r:id="rId107" ref="D148"/>
    <hyperlink r:id="rId108" ref="D149"/>
    <hyperlink r:id="rId109" ref="D151"/>
    <hyperlink r:id="rId110" ref="D153"/>
    <hyperlink r:id="rId111" ref="D154"/>
    <hyperlink r:id="rId112" ref="D155"/>
    <hyperlink r:id="rId113" ref="D156"/>
    <hyperlink r:id="rId114" ref="D157"/>
    <hyperlink r:id="rId115" ref="D158"/>
    <hyperlink r:id="rId116" ref="D159"/>
    <hyperlink r:id="rId117" ref="D160"/>
    <hyperlink r:id="rId118" ref="D161"/>
    <hyperlink r:id="rId119" ref="D163"/>
    <hyperlink r:id="rId120" ref="D164"/>
    <hyperlink r:id="rId121" ref="D165"/>
    <hyperlink r:id="rId122" ref="D166"/>
    <hyperlink r:id="rId123" ref="D169"/>
    <hyperlink r:id="rId124" ref="D170"/>
    <hyperlink r:id="rId125" ref="D171"/>
    <hyperlink r:id="rId126" location="scrollTo=2c2f3121" ref="D172"/>
    <hyperlink r:id="rId127" ref="D173"/>
    <hyperlink r:id="rId128" ref="D174"/>
    <hyperlink r:id="rId129" location="scrollTo=dc5f098d" ref="D175"/>
    <hyperlink r:id="rId130" ref="D176"/>
    <hyperlink r:id="rId131" ref="D178"/>
    <hyperlink r:id="rId132" ref="D180"/>
    <hyperlink r:id="rId133" ref="D181"/>
    <hyperlink r:id="rId134" ref="D183"/>
    <hyperlink r:id="rId135" ref="D184"/>
    <hyperlink r:id="rId136" ref="D185"/>
    <hyperlink r:id="rId137" ref="D186"/>
    <hyperlink r:id="rId138" ref="D187"/>
    <hyperlink r:id="rId139" ref="D188"/>
    <hyperlink r:id="rId140" ref="D189"/>
    <hyperlink r:id="rId141" ref="D190"/>
    <hyperlink r:id="rId142" ref="D192"/>
    <hyperlink r:id="rId143" ref="D197"/>
    <hyperlink r:id="rId144" ref="D198"/>
    <hyperlink r:id="rId145" ref="D200"/>
    <hyperlink r:id="rId146" ref="D201"/>
    <hyperlink r:id="rId147" ref="D202"/>
    <hyperlink r:id="rId148" ref="D203"/>
    <hyperlink r:id="rId149" ref="D204"/>
    <hyperlink r:id="rId150" ref="D205"/>
    <hyperlink r:id="rId151" ref="D206"/>
    <hyperlink r:id="rId152" ref="D207"/>
    <hyperlink r:id="rId153" ref="D208"/>
    <hyperlink r:id="rId154" ref="D209"/>
    <hyperlink r:id="rId155" ref="D210"/>
    <hyperlink r:id="rId156" location="scrollTo=24b32d24" ref="D211"/>
    <hyperlink r:id="rId157" ref="D214"/>
    <hyperlink r:id="rId158" ref="D215"/>
    <hyperlink r:id="rId159" ref="D216"/>
    <hyperlink r:id="rId160" ref="D217"/>
    <hyperlink r:id="rId161" ref="D218"/>
    <hyperlink r:id="rId162" ref="D219"/>
    <hyperlink r:id="rId163" ref="D220"/>
    <hyperlink r:id="rId164" location="scrollTo=dc5f098d" ref="D221"/>
    <hyperlink r:id="rId165" ref="D223"/>
    <hyperlink r:id="rId166" ref="D224"/>
    <hyperlink r:id="rId167" ref="D226"/>
    <hyperlink r:id="rId168" ref="D227"/>
    <hyperlink r:id="rId169" ref="D228"/>
    <hyperlink r:id="rId170" ref="D229"/>
    <hyperlink r:id="rId171" ref="D230"/>
    <hyperlink r:id="rId172" ref="D232"/>
    <hyperlink r:id="rId173" ref="D233"/>
    <hyperlink r:id="rId174" ref="D234"/>
    <hyperlink r:id="rId175" ref="D235"/>
    <hyperlink r:id="rId176" location="scrollTo=24b32d24" ref="D236"/>
    <hyperlink r:id="rId177" ref="D238"/>
    <hyperlink r:id="rId178" ref="D239"/>
    <hyperlink r:id="rId179" ref="D240"/>
    <hyperlink r:id="rId180" ref="D241"/>
    <hyperlink r:id="rId181" ref="D243"/>
    <hyperlink r:id="rId182" ref="D244"/>
    <hyperlink r:id="rId183" ref="D245"/>
    <hyperlink r:id="rId184" location="scrollTo=601fa7b9" ref="D247"/>
    <hyperlink r:id="rId185" ref="D248"/>
    <hyperlink r:id="rId186" ref="D252"/>
    <hyperlink r:id="rId187" ref="D254"/>
    <hyperlink r:id="rId188" ref="D256"/>
    <hyperlink r:id="rId189" ref="D257"/>
    <hyperlink r:id="rId190" ref="D259"/>
    <hyperlink r:id="rId191" ref="D260"/>
    <hyperlink r:id="rId192" ref="D265"/>
    <hyperlink r:id="rId193" ref="D267"/>
    <hyperlink r:id="rId194" ref="D268"/>
    <hyperlink r:id="rId195" ref="D270"/>
    <hyperlink r:id="rId196" ref="D271"/>
    <hyperlink r:id="rId197" ref="D274"/>
    <hyperlink r:id="rId198" ref="D278"/>
    <hyperlink r:id="rId199" ref="D279"/>
    <hyperlink r:id="rId200" ref="D280"/>
    <hyperlink r:id="rId201" ref="D281"/>
    <hyperlink r:id="rId202" ref="D283"/>
    <hyperlink r:id="rId203" ref="D287"/>
    <hyperlink r:id="rId204" location="scrollTo=5404eb68" ref="D289"/>
    <hyperlink r:id="rId205" ref="AZ290"/>
  </hyperlinks>
  <drawing r:id="rId206"/>
  <tableParts count="1">
    <tablePart r:id="rId208"/>
  </tableParts>
</worksheet>
</file>